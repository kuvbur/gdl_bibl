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огожин ДА\prog\YandexDisk\sourse\_MEP\MEP Macros 20\rules\"/>
    </mc:Choice>
  </mc:AlternateContent>
  <xr:revisionPtr revIDLastSave="0" documentId="13_ncr:1_{DA3B0C6E-58B8-4AD7-8255-DB185667C001}" xr6:coauthVersionLast="47" xr6:coauthVersionMax="47" xr10:uidLastSave="{00000000-0000-0000-0000-000000000000}"/>
  <bookViews>
    <workbookView xWindow="-38520" yWindow="-15" windowWidth="38640" windowHeight="21120" firstSheet="23" activeTab="32" xr2:uid="{00000000-000D-0000-FFFF-FFFF00000000}"/>
  </bookViews>
  <sheets>
    <sheet name="mep_rule" sheetId="1" r:id="rId1"/>
    <sheet name="ду_ЭСБШ" sheetId="4" r:id="rId2"/>
    <sheet name="ду_din" sheetId="5" r:id="rId3"/>
    <sheet name="ду_PVC-U" sheetId="17" r:id="rId4"/>
    <sheet name="ду_PVC-U_Pin" sheetId="36" r:id="rId5"/>
    <sheet name="отвод_PVC_U_Pin" sheetId="26" r:id="rId6"/>
    <sheet name="трой_PVC_U_Pin" sheetId="37" r:id="rId7"/>
    <sheet name="фл_PVC_U_Pin" sheetId="38" r:id="rId8"/>
    <sheet name="бурт_PVC_U_Pin" sheetId="42" r:id="rId9"/>
    <sheet name="заглушка_PVC_U_Pin" sheetId="40" r:id="rId10"/>
    <sheet name="переход_PVC_U_Pin" sheetId="41" r:id="rId11"/>
    <sheet name="ду_09Г2С" sheetId="14" r:id="rId12"/>
    <sheet name="ду_12Х18Н10Т" sheetId="28" r:id="rId13"/>
    <sheet name="ду_медь" sheetId="29" r:id="rId14"/>
    <sheet name="ду_ВГ" sheetId="20" r:id="rId15"/>
    <sheet name="ду_ПЭ100" sheetId="6" r:id="rId16"/>
    <sheet name="ду_PPR" sheetId="35" r:id="rId17"/>
    <sheet name="ду_ВГП" sheetId="7" r:id="rId18"/>
    <sheet name="тр_к_10704" sheetId="2" r:id="rId19"/>
    <sheet name="трой_и2_17376" sheetId="8" r:id="rId20"/>
    <sheet name="трой_ОСТ_34_10_764_97" sheetId="19" r:id="rId21"/>
    <sheet name="трой_ОСТ_34_10_762_97" sheetId="24" r:id="rId22"/>
    <sheet name="отвод_и1_17375" sheetId="32" r:id="rId23"/>
    <sheet name="отвод_и2_17375" sheetId="9" r:id="rId24"/>
    <sheet name="отвод_ОСТ_34_10_699_9" sheetId="25" r:id="rId25"/>
    <sheet name="кран_7890-93" sheetId="27" r:id="rId26"/>
    <sheet name="переход_и1_17378" sheetId="33" r:id="rId27"/>
    <sheet name="переход_и2_17378" sheetId="10" r:id="rId28"/>
    <sheet name="переход_ОСТ_34_10_764_97" sheetId="22" r:id="rId29"/>
    <sheet name="фл_т" sheetId="11" r:id="rId30"/>
    <sheet name="фл_т1_33259" sheetId="12" r:id="rId31"/>
    <sheet name="фл_т11_33259" sheetId="16" r:id="rId32"/>
    <sheet name="фл_т2_33259" sheetId="15" r:id="rId33"/>
    <sheet name="фл_вес" sheetId="13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37" l="1"/>
  <c r="D19" i="37"/>
  <c r="E20" i="37"/>
  <c r="D20" i="37"/>
</calcChain>
</file>

<file path=xl/sharedStrings.xml><?xml version="1.0" encoding="utf-8"?>
<sst xmlns="http://schemas.openxmlformats.org/spreadsheetml/2006/main" count="10612" uniqueCount="3651">
  <si>
    <t>ТройникТ1</t>
  </si>
  <si>
    <t>ТройникТ2</t>
  </si>
  <si>
    <t>ТройникУ2</t>
  </si>
  <si>
    <t>Нипель</t>
  </si>
  <si>
    <t>Фланец1</t>
  </si>
  <si>
    <t>Фланец2</t>
  </si>
  <si>
    <t>Фланец3</t>
  </si>
  <si>
    <t>Фланец4</t>
  </si>
  <si>
    <t>Имя правил</t>
  </si>
  <si>
    <t>Сталь</t>
  </si>
  <si>
    <t>ДУ</t>
  </si>
  <si>
    <t>Вес</t>
  </si>
  <si>
    <t>D</t>
  </si>
  <si>
    <t>s</t>
  </si>
  <si>
    <t>1</t>
  </si>
  <si>
    <t>10x1</t>
  </si>
  <si>
    <t>0.222</t>
  </si>
  <si>
    <t>10</t>
  </si>
  <si>
    <t>2</t>
  </si>
  <si>
    <t>10x1.2</t>
  </si>
  <si>
    <t>0.26</t>
  </si>
  <si>
    <t>1.2</t>
  </si>
  <si>
    <t>3</t>
  </si>
  <si>
    <t>10.2x1</t>
  </si>
  <si>
    <t>0.227</t>
  </si>
  <si>
    <t>10.2</t>
  </si>
  <si>
    <t>4</t>
  </si>
  <si>
    <t>10.2x1.2</t>
  </si>
  <si>
    <t>0.266</t>
  </si>
  <si>
    <t>5</t>
  </si>
  <si>
    <t>12x1</t>
  </si>
  <si>
    <t>0.271</t>
  </si>
  <si>
    <t>0.41</t>
  </si>
  <si>
    <t>12</t>
  </si>
  <si>
    <t>6</t>
  </si>
  <si>
    <t>12x1.2</t>
  </si>
  <si>
    <t>0.32</t>
  </si>
  <si>
    <t>7</t>
  </si>
  <si>
    <t>12x1.4</t>
  </si>
  <si>
    <t>0.366</t>
  </si>
  <si>
    <t>1.4</t>
  </si>
  <si>
    <t>8</t>
  </si>
  <si>
    <t>12x1.5</t>
  </si>
  <si>
    <t>0.388</t>
  </si>
  <si>
    <t>1.5</t>
  </si>
  <si>
    <t>9</t>
  </si>
  <si>
    <t>12x1.6</t>
  </si>
  <si>
    <t>1.6</t>
  </si>
  <si>
    <t>13x1</t>
  </si>
  <si>
    <t>0.296</t>
  </si>
  <si>
    <t>13</t>
  </si>
  <si>
    <t>11</t>
  </si>
  <si>
    <t>13x1.2</t>
  </si>
  <si>
    <t>0.349</t>
  </si>
  <si>
    <t>13x1.4</t>
  </si>
  <si>
    <t>0.401</t>
  </si>
  <si>
    <t>13x1.5</t>
  </si>
  <si>
    <t>0.425</t>
  </si>
  <si>
    <t>14</t>
  </si>
  <si>
    <t>13x1.6</t>
  </si>
  <si>
    <t>0.45</t>
  </si>
  <si>
    <t>15</t>
  </si>
  <si>
    <t>14x1</t>
  </si>
  <si>
    <t>0.321</t>
  </si>
  <si>
    <t>0.47</t>
  </si>
  <si>
    <t>16</t>
  </si>
  <si>
    <t>14x1.2</t>
  </si>
  <si>
    <t>0.379</t>
  </si>
  <si>
    <t>17</t>
  </si>
  <si>
    <t>14x1.4</t>
  </si>
  <si>
    <t>0.435</t>
  </si>
  <si>
    <t>18</t>
  </si>
  <si>
    <t>14x1.5</t>
  </si>
  <si>
    <t>0.462</t>
  </si>
  <si>
    <t>19</t>
  </si>
  <si>
    <t>14x1.6</t>
  </si>
  <si>
    <t>0.489</t>
  </si>
  <si>
    <t>0.78</t>
  </si>
  <si>
    <t>20</t>
  </si>
  <si>
    <t>15x1</t>
  </si>
  <si>
    <t>0.345</t>
  </si>
  <si>
    <t>21</t>
  </si>
  <si>
    <t>15x1.2</t>
  </si>
  <si>
    <t>0.408</t>
  </si>
  <si>
    <t>0.61</t>
  </si>
  <si>
    <t>22</t>
  </si>
  <si>
    <t>15x1.4</t>
  </si>
  <si>
    <t>23</t>
  </si>
  <si>
    <t>15x1.5</t>
  </si>
  <si>
    <t>0.499</t>
  </si>
  <si>
    <t>24</t>
  </si>
  <si>
    <t>15x1.6</t>
  </si>
  <si>
    <t>0.529</t>
  </si>
  <si>
    <t>25</t>
  </si>
  <si>
    <t>16x1</t>
  </si>
  <si>
    <t>0.37</t>
  </si>
  <si>
    <t>26</t>
  </si>
  <si>
    <t>16x1.2</t>
  </si>
  <si>
    <t>0.438</t>
  </si>
  <si>
    <t>27</t>
  </si>
  <si>
    <t>16x1.4</t>
  </si>
  <si>
    <t>0.504</t>
  </si>
  <si>
    <t>28</t>
  </si>
  <si>
    <t>16x1.5</t>
  </si>
  <si>
    <t>0.536</t>
  </si>
  <si>
    <t>29</t>
  </si>
  <si>
    <t>16x1.6</t>
  </si>
  <si>
    <t>0.568</t>
  </si>
  <si>
    <t>30</t>
  </si>
  <si>
    <t>17x1</t>
  </si>
  <si>
    <t>0.395</t>
  </si>
  <si>
    <t>31</t>
  </si>
  <si>
    <t>17x1.2</t>
  </si>
  <si>
    <t>0.468</t>
  </si>
  <si>
    <t>32</t>
  </si>
  <si>
    <t>17x1.4</t>
  </si>
  <si>
    <t>0.539</t>
  </si>
  <si>
    <t>33</t>
  </si>
  <si>
    <t>17x1.5</t>
  </si>
  <si>
    <t>0.573</t>
  </si>
  <si>
    <t>34</t>
  </si>
  <si>
    <t>17x1.6</t>
  </si>
  <si>
    <t>0.608</t>
  </si>
  <si>
    <t>35</t>
  </si>
  <si>
    <t>18x1</t>
  </si>
  <si>
    <t>0.419</t>
  </si>
  <si>
    <t>36</t>
  </si>
  <si>
    <t>18x1.2</t>
  </si>
  <si>
    <t>0.497</t>
  </si>
  <si>
    <t>37</t>
  </si>
  <si>
    <t>18x1.4</t>
  </si>
  <si>
    <t>38</t>
  </si>
  <si>
    <t>18x1.5</t>
  </si>
  <si>
    <t>39</t>
  </si>
  <si>
    <t>18x1.6</t>
  </si>
  <si>
    <t>0.719</t>
  </si>
  <si>
    <t>40</t>
  </si>
  <si>
    <t>18x1.8</t>
  </si>
  <si>
    <t>0.789</t>
  </si>
  <si>
    <t>1.12</t>
  </si>
  <si>
    <t>1.8</t>
  </si>
  <si>
    <t>41</t>
  </si>
  <si>
    <t>19x1</t>
  </si>
  <si>
    <t>0.444</t>
  </si>
  <si>
    <t>42</t>
  </si>
  <si>
    <t>19x1.2</t>
  </si>
  <si>
    <t>0.527</t>
  </si>
  <si>
    <t>43</t>
  </si>
  <si>
    <t>19x1.4</t>
  </si>
  <si>
    <t>44</t>
  </si>
  <si>
    <t>19x1.5</t>
  </si>
  <si>
    <t>0.647</t>
  </si>
  <si>
    <t>45</t>
  </si>
  <si>
    <t>19x1.6</t>
  </si>
  <si>
    <t>0.687</t>
  </si>
  <si>
    <t>1.04</t>
  </si>
  <si>
    <t>46</t>
  </si>
  <si>
    <t>19x1.8</t>
  </si>
  <si>
    <t>0.764</t>
  </si>
  <si>
    <t>1.18</t>
  </si>
  <si>
    <t>47</t>
  </si>
  <si>
    <t>19x2</t>
  </si>
  <si>
    <t>0.838</t>
  </si>
  <si>
    <t>1.32</t>
  </si>
  <si>
    <t>48</t>
  </si>
  <si>
    <t>20x1</t>
  </si>
  <si>
    <t>0.469</t>
  </si>
  <si>
    <t>49</t>
  </si>
  <si>
    <t>20x1.2</t>
  </si>
  <si>
    <t>0.556</t>
  </si>
  <si>
    <t>50</t>
  </si>
  <si>
    <t>20x1.4</t>
  </si>
  <si>
    <t>0.642</t>
  </si>
  <si>
    <t>51</t>
  </si>
  <si>
    <t>20x1.5</t>
  </si>
  <si>
    <t>0.684</t>
  </si>
  <si>
    <t>52</t>
  </si>
  <si>
    <t>20x1.6</t>
  </si>
  <si>
    <t>0.726</t>
  </si>
  <si>
    <t>1.09</t>
  </si>
  <si>
    <t>53</t>
  </si>
  <si>
    <t>20x1.8</t>
  </si>
  <si>
    <t>0.808</t>
  </si>
  <si>
    <t>1.23</t>
  </si>
  <si>
    <t>54</t>
  </si>
  <si>
    <t>20x2</t>
  </si>
  <si>
    <t>0.888</t>
  </si>
  <si>
    <t>1.38</t>
  </si>
  <si>
    <t>55</t>
  </si>
  <si>
    <t>21.3x1</t>
  </si>
  <si>
    <t>0.501</t>
  </si>
  <si>
    <t>21.3</t>
  </si>
  <si>
    <t>56</t>
  </si>
  <si>
    <t>21.3x1.2</t>
  </si>
  <si>
    <t>0.595</t>
  </si>
  <si>
    <t>57</t>
  </si>
  <si>
    <t>21.3x1.4</t>
  </si>
  <si>
    <t>58</t>
  </si>
  <si>
    <t>21.3x1.5</t>
  </si>
  <si>
    <t>0.732</t>
  </si>
  <si>
    <t>1.07</t>
  </si>
  <si>
    <t>59</t>
  </si>
  <si>
    <t>21.3x1.6</t>
  </si>
  <si>
    <t>0.777</t>
  </si>
  <si>
    <t>1.15</t>
  </si>
  <si>
    <t>60</t>
  </si>
  <si>
    <t>21.3x1.8</t>
  </si>
  <si>
    <t>0.866</t>
  </si>
  <si>
    <t>61</t>
  </si>
  <si>
    <t>21.3x2</t>
  </si>
  <si>
    <t>0.952</t>
  </si>
  <si>
    <t>62</t>
  </si>
  <si>
    <t>22x1</t>
  </si>
  <si>
    <t>0.518</t>
  </si>
  <si>
    <t>63</t>
  </si>
  <si>
    <t>22x1.2</t>
  </si>
  <si>
    <t>0.616</t>
  </si>
  <si>
    <t>64</t>
  </si>
  <si>
    <t>22x1.4</t>
  </si>
  <si>
    <t>0.711</t>
  </si>
  <si>
    <t>1.03</t>
  </si>
  <si>
    <t>65</t>
  </si>
  <si>
    <t>22x1.5</t>
  </si>
  <si>
    <t>0.758</t>
  </si>
  <si>
    <t>66</t>
  </si>
  <si>
    <t>22x1.6</t>
  </si>
  <si>
    <t>0.805</t>
  </si>
  <si>
    <t>1.19</t>
  </si>
  <si>
    <t>67</t>
  </si>
  <si>
    <t>22x1.8</t>
  </si>
  <si>
    <t>0.897</t>
  </si>
  <si>
    <t>1.35</t>
  </si>
  <si>
    <t>68</t>
  </si>
  <si>
    <t>22x2</t>
  </si>
  <si>
    <t>0.986</t>
  </si>
  <si>
    <t>1.51</t>
  </si>
  <si>
    <t>69</t>
  </si>
  <si>
    <t>23x1</t>
  </si>
  <si>
    <t>0.543</t>
  </si>
  <si>
    <t>70</t>
  </si>
  <si>
    <t>23x1.2</t>
  </si>
  <si>
    <t>0.645</t>
  </si>
  <si>
    <t>71</t>
  </si>
  <si>
    <t>23x1.4</t>
  </si>
  <si>
    <t>0.746</t>
  </si>
  <si>
    <t>72</t>
  </si>
  <si>
    <t>23x1.5</t>
  </si>
  <si>
    <t>0.795</t>
  </si>
  <si>
    <t>73</t>
  </si>
  <si>
    <t>23x1.6</t>
  </si>
  <si>
    <t>0.844</t>
  </si>
  <si>
    <t>1.24</t>
  </si>
  <si>
    <t>74</t>
  </si>
  <si>
    <t>23x1.8</t>
  </si>
  <si>
    <t>0.941</t>
  </si>
  <si>
    <t>75</t>
  </si>
  <si>
    <t>23x2</t>
  </si>
  <si>
    <t>1.57</t>
  </si>
  <si>
    <t>76</t>
  </si>
  <si>
    <t>23x2.2</t>
  </si>
  <si>
    <t>1.13</t>
  </si>
  <si>
    <t>2.2</t>
  </si>
  <si>
    <t>77</t>
  </si>
  <si>
    <t>23x2.5</t>
  </si>
  <si>
    <t>1.26</t>
  </si>
  <si>
    <t>2.5</t>
  </si>
  <si>
    <t>78</t>
  </si>
  <si>
    <t>24x1</t>
  </si>
  <si>
    <t>0.567</t>
  </si>
  <si>
    <t>79</t>
  </si>
  <si>
    <t>24x1.2</t>
  </si>
  <si>
    <t>0.675</t>
  </si>
  <si>
    <t>80</t>
  </si>
  <si>
    <t>24x1.4</t>
  </si>
  <si>
    <t>81</t>
  </si>
  <si>
    <t>24x1.5</t>
  </si>
  <si>
    <t>0.832</t>
  </si>
  <si>
    <t>82</t>
  </si>
  <si>
    <t>24x1.6</t>
  </si>
  <si>
    <t>0.884</t>
  </si>
  <si>
    <t>1.29</t>
  </si>
  <si>
    <t>83</t>
  </si>
  <si>
    <t>24x1.8</t>
  </si>
  <si>
    <t>0.985</t>
  </si>
  <si>
    <t>84</t>
  </si>
  <si>
    <t>24x2</t>
  </si>
  <si>
    <t>1.63</t>
  </si>
  <si>
    <t>85</t>
  </si>
  <si>
    <t>24x2.2</t>
  </si>
  <si>
    <t>86</t>
  </si>
  <si>
    <t>24x2.5</t>
  </si>
  <si>
    <t>1.33</t>
  </si>
  <si>
    <t>87</t>
  </si>
  <si>
    <t>25x1</t>
  </si>
  <si>
    <t>0.592</t>
  </si>
  <si>
    <t>88</t>
  </si>
  <si>
    <t>25x1.2</t>
  </si>
  <si>
    <t>0.704</t>
  </si>
  <si>
    <t>89</t>
  </si>
  <si>
    <t>25x1.4</t>
  </si>
  <si>
    <t>0.815</t>
  </si>
  <si>
    <t>1.16</t>
  </si>
  <si>
    <t>90</t>
  </si>
  <si>
    <t>25x1.5</t>
  </si>
  <si>
    <t>0.869</t>
  </si>
  <si>
    <t>1.25</t>
  </si>
  <si>
    <t>91</t>
  </si>
  <si>
    <t>25x1.6</t>
  </si>
  <si>
    <t>0.923</t>
  </si>
  <si>
    <t>1.34</t>
  </si>
  <si>
    <t>92</t>
  </si>
  <si>
    <t>25x1.8</t>
  </si>
  <si>
    <t>1.52</t>
  </si>
  <si>
    <t>93</t>
  </si>
  <si>
    <t>25x2</t>
  </si>
  <si>
    <t>1.7</t>
  </si>
  <si>
    <t>94</t>
  </si>
  <si>
    <t>25x2.2</t>
  </si>
  <si>
    <t>1.88</t>
  </si>
  <si>
    <t>95</t>
  </si>
  <si>
    <t>25x2.5</t>
  </si>
  <si>
    <t>1.39</t>
  </si>
  <si>
    <t>2.16</t>
  </si>
  <si>
    <t>96</t>
  </si>
  <si>
    <t>26x1</t>
  </si>
  <si>
    <t>0.617</t>
  </si>
  <si>
    <t>97</t>
  </si>
  <si>
    <t>26x1.2</t>
  </si>
  <si>
    <t>0.734</t>
  </si>
  <si>
    <t>98</t>
  </si>
  <si>
    <t>26x1.4</t>
  </si>
  <si>
    <t>0.849</t>
  </si>
  <si>
    <t>1.21</t>
  </si>
  <si>
    <t>99</t>
  </si>
  <si>
    <t>26x1.5</t>
  </si>
  <si>
    <t>0.906</t>
  </si>
  <si>
    <t>1.3</t>
  </si>
  <si>
    <t>100</t>
  </si>
  <si>
    <t>26x1.6</t>
  </si>
  <si>
    <t>0.963</t>
  </si>
  <si>
    <t>101</t>
  </si>
  <si>
    <t>26x1.8</t>
  </si>
  <si>
    <t>102</t>
  </si>
  <si>
    <t>26x2</t>
  </si>
  <si>
    <t>103</t>
  </si>
  <si>
    <t>26x2.2</t>
  </si>
  <si>
    <t>1.95</t>
  </si>
  <si>
    <t>104</t>
  </si>
  <si>
    <t>26x2.5</t>
  </si>
  <si>
    <t>1.45</t>
  </si>
  <si>
    <t>105</t>
  </si>
  <si>
    <t>27x1</t>
  </si>
  <si>
    <t>0.641</t>
  </si>
  <si>
    <t>106</t>
  </si>
  <si>
    <t>27x1.2</t>
  </si>
  <si>
    <t>1.06</t>
  </si>
  <si>
    <t>107</t>
  </si>
  <si>
    <t>27x1.4</t>
  </si>
  <si>
    <t>108</t>
  </si>
  <si>
    <t>27x1.5</t>
  </si>
  <si>
    <t>0.943</t>
  </si>
  <si>
    <t>109</t>
  </si>
  <si>
    <t>27x1.6</t>
  </si>
  <si>
    <t>1.44</t>
  </si>
  <si>
    <t>110</t>
  </si>
  <si>
    <t>27x1.8</t>
  </si>
  <si>
    <t>111</t>
  </si>
  <si>
    <t>27x2</t>
  </si>
  <si>
    <t>1.82</t>
  </si>
  <si>
    <t>112</t>
  </si>
  <si>
    <t>27x2.2</t>
  </si>
  <si>
    <t>2.02</t>
  </si>
  <si>
    <t>113</t>
  </si>
  <si>
    <t>27x2.5</t>
  </si>
  <si>
    <t>2.32</t>
  </si>
  <si>
    <t>114</t>
  </si>
  <si>
    <t>28x1</t>
  </si>
  <si>
    <t>0.666</t>
  </si>
  <si>
    <t>115</t>
  </si>
  <si>
    <t>28x1.2</t>
  </si>
  <si>
    <t>0.793</t>
  </si>
  <si>
    <t>116</t>
  </si>
  <si>
    <t>28x1.4</t>
  </si>
  <si>
    <t>0.918</t>
  </si>
  <si>
    <t>117</t>
  </si>
  <si>
    <t>28x1.5</t>
  </si>
  <si>
    <t>0.98</t>
  </si>
  <si>
    <t>118</t>
  </si>
  <si>
    <t>28x1.6</t>
  </si>
  <si>
    <t>1.49</t>
  </si>
  <si>
    <t>119</t>
  </si>
  <si>
    <t>28x1.8</t>
  </si>
  <si>
    <t>1.69</t>
  </si>
  <si>
    <t>120</t>
  </si>
  <si>
    <t>28x2</t>
  </si>
  <si>
    <t>1.28</t>
  </si>
  <si>
    <t>121</t>
  </si>
  <si>
    <t>28x2.2</t>
  </si>
  <si>
    <t>2.09</t>
  </si>
  <si>
    <t>122</t>
  </si>
  <si>
    <t>28x2.5</t>
  </si>
  <si>
    <t>123</t>
  </si>
  <si>
    <t>30x1</t>
  </si>
  <si>
    <t>0.715</t>
  </si>
  <si>
    <t>124</t>
  </si>
  <si>
    <t>30x1.2</t>
  </si>
  <si>
    <t>0.852</t>
  </si>
  <si>
    <t>125</t>
  </si>
  <si>
    <t>30x1.4</t>
  </si>
  <si>
    <t>0.987</t>
  </si>
  <si>
    <t>126</t>
  </si>
  <si>
    <t>30x1.5</t>
  </si>
  <si>
    <t>1.05</t>
  </si>
  <si>
    <t>1.48</t>
  </si>
  <si>
    <t>127</t>
  </si>
  <si>
    <t>30x1.6</t>
  </si>
  <si>
    <t>1.59</t>
  </si>
  <si>
    <t>128</t>
  </si>
  <si>
    <t>30x1.8</t>
  </si>
  <si>
    <t>129</t>
  </si>
  <si>
    <t>30x2</t>
  </si>
  <si>
    <t>130</t>
  </si>
  <si>
    <t>30x2.2</t>
  </si>
  <si>
    <t>131</t>
  </si>
  <si>
    <t>30x2.5</t>
  </si>
  <si>
    <t>132</t>
  </si>
  <si>
    <t>32x1</t>
  </si>
  <si>
    <t>0.765</t>
  </si>
  <si>
    <t>133</t>
  </si>
  <si>
    <t>32x1.2</t>
  </si>
  <si>
    <t>0.911</t>
  </si>
  <si>
    <t>134</t>
  </si>
  <si>
    <t>32x1.4</t>
  </si>
  <si>
    <t>1.47</t>
  </si>
  <si>
    <t>135</t>
  </si>
  <si>
    <t>32x1.5</t>
  </si>
  <si>
    <t>136</t>
  </si>
  <si>
    <t>32x1.6</t>
  </si>
  <si>
    <t>137</t>
  </si>
  <si>
    <t>32x1.8</t>
  </si>
  <si>
    <t>1.91</t>
  </si>
  <si>
    <t>138</t>
  </si>
  <si>
    <t>32x2</t>
  </si>
  <si>
    <t>2.14</t>
  </si>
  <si>
    <t>139</t>
  </si>
  <si>
    <t>32x2.2</t>
  </si>
  <si>
    <t>1.62</t>
  </si>
  <si>
    <t>140</t>
  </si>
  <si>
    <t>32x2.5</t>
  </si>
  <si>
    <t>2.71</t>
  </si>
  <si>
    <t>141</t>
  </si>
  <si>
    <t>32x2.8</t>
  </si>
  <si>
    <t>2.8</t>
  </si>
  <si>
    <t>142</t>
  </si>
  <si>
    <t>32x3</t>
  </si>
  <si>
    <t>2.15</t>
  </si>
  <si>
    <t>143</t>
  </si>
  <si>
    <t>33x1</t>
  </si>
  <si>
    <t>144</t>
  </si>
  <si>
    <t>33x1.2</t>
  </si>
  <si>
    <t>145</t>
  </si>
  <si>
    <t>33x1.4</t>
  </si>
  <si>
    <t>146</t>
  </si>
  <si>
    <t>33x1.5</t>
  </si>
  <si>
    <t>1.17</t>
  </si>
  <si>
    <t>147</t>
  </si>
  <si>
    <t>33x1.6</t>
  </si>
  <si>
    <t>148</t>
  </si>
  <si>
    <t>33x1.8</t>
  </si>
  <si>
    <t>1.97</t>
  </si>
  <si>
    <t>149</t>
  </si>
  <si>
    <t>33x2</t>
  </si>
  <si>
    <t>1.53</t>
  </si>
  <si>
    <t>150</t>
  </si>
  <si>
    <t>33x2.2</t>
  </si>
  <si>
    <t>1.67</t>
  </si>
  <si>
    <t>2.43</t>
  </si>
  <si>
    <t>151</t>
  </si>
  <si>
    <t>33x2.5</t>
  </si>
  <si>
    <t>152</t>
  </si>
  <si>
    <t>33x2.8</t>
  </si>
  <si>
    <t>153</t>
  </si>
  <si>
    <t>33x3</t>
  </si>
  <si>
    <t>2.22</t>
  </si>
  <si>
    <t>154</t>
  </si>
  <si>
    <t>33.7x1.2</t>
  </si>
  <si>
    <t>0.962</t>
  </si>
  <si>
    <t>33.7</t>
  </si>
  <si>
    <t>155</t>
  </si>
  <si>
    <t>33.7x1.4</t>
  </si>
  <si>
    <t>156</t>
  </si>
  <si>
    <t>33.7x1.5</t>
  </si>
  <si>
    <t>157</t>
  </si>
  <si>
    <t>33.7x1.6</t>
  </si>
  <si>
    <t>1.27</t>
  </si>
  <si>
    <t>158</t>
  </si>
  <si>
    <t>33.7x1.8</t>
  </si>
  <si>
    <t>1.42</t>
  </si>
  <si>
    <t>159</t>
  </si>
  <si>
    <t>33.7x2</t>
  </si>
  <si>
    <t>1.56</t>
  </si>
  <si>
    <t>160</t>
  </si>
  <si>
    <t>33.7x2.2</t>
  </si>
  <si>
    <t>1.71</t>
  </si>
  <si>
    <t>2.48</t>
  </si>
  <si>
    <t>161</t>
  </si>
  <si>
    <t>33.7x2.5</t>
  </si>
  <si>
    <t>1.92</t>
  </si>
  <si>
    <t>162</t>
  </si>
  <si>
    <t>33.7x2.8</t>
  </si>
  <si>
    <t>2.13</t>
  </si>
  <si>
    <t>3.21</t>
  </si>
  <si>
    <t>163</t>
  </si>
  <si>
    <t>33.7x3</t>
  </si>
  <si>
    <t>2.27</t>
  </si>
  <si>
    <t>164</t>
  </si>
  <si>
    <t>35x1.2</t>
  </si>
  <si>
    <t>1.36</t>
  </si>
  <si>
    <t>165</t>
  </si>
  <si>
    <t>35x1.4</t>
  </si>
  <si>
    <t>166</t>
  </si>
  <si>
    <t>35x1.5</t>
  </si>
  <si>
    <t>1.72</t>
  </si>
  <si>
    <t>167</t>
  </si>
  <si>
    <t>35x1.6</t>
  </si>
  <si>
    <t>1.84</t>
  </si>
  <si>
    <t>168</t>
  </si>
  <si>
    <t>35x1.8</t>
  </si>
  <si>
    <t>169</t>
  </si>
  <si>
    <t>35x2</t>
  </si>
  <si>
    <t>170</t>
  </si>
  <si>
    <t>35x2.2</t>
  </si>
  <si>
    <t>1.78</t>
  </si>
  <si>
    <t>2.57</t>
  </si>
  <si>
    <t>171</t>
  </si>
  <si>
    <t>35x2.5</t>
  </si>
  <si>
    <t>172</t>
  </si>
  <si>
    <t>35x2.8</t>
  </si>
  <si>
    <t>3.33</t>
  </si>
  <si>
    <t>173</t>
  </si>
  <si>
    <t>35x3</t>
  </si>
  <si>
    <t>2.37</t>
  </si>
  <si>
    <t>174</t>
  </si>
  <si>
    <t>36x1.2</t>
  </si>
  <si>
    <t>175</t>
  </si>
  <si>
    <t>36x1.4</t>
  </si>
  <si>
    <t>176</t>
  </si>
  <si>
    <t>36x1.5</t>
  </si>
  <si>
    <t>177</t>
  </si>
  <si>
    <t>36x1.6</t>
  </si>
  <si>
    <t>178</t>
  </si>
  <si>
    <t>36x1.8</t>
  </si>
  <si>
    <t>179</t>
  </si>
  <si>
    <t>36x2</t>
  </si>
  <si>
    <t>1.68</t>
  </si>
  <si>
    <t>180</t>
  </si>
  <si>
    <t>36x2.2</t>
  </si>
  <si>
    <t>1.83</t>
  </si>
  <si>
    <t>2.64</t>
  </si>
  <si>
    <t>181</t>
  </si>
  <si>
    <t>36x2.5</t>
  </si>
  <si>
    <t>2.07</t>
  </si>
  <si>
    <t>182</t>
  </si>
  <si>
    <t>36x2.8</t>
  </si>
  <si>
    <t>2.29</t>
  </si>
  <si>
    <t>183</t>
  </si>
  <si>
    <t>36x3</t>
  </si>
  <si>
    <t>2.44</t>
  </si>
  <si>
    <t>3.68</t>
  </si>
  <si>
    <t>184</t>
  </si>
  <si>
    <t>38x1.2</t>
  </si>
  <si>
    <t>185</t>
  </si>
  <si>
    <t>38x1.4</t>
  </si>
  <si>
    <t>1.73</t>
  </si>
  <si>
    <t>186</t>
  </si>
  <si>
    <t>38x1.5</t>
  </si>
  <si>
    <t>187</t>
  </si>
  <si>
    <t>38x1.6</t>
  </si>
  <si>
    <t>188</t>
  </si>
  <si>
    <t>38x1.8</t>
  </si>
  <si>
    <t>1.61</t>
  </si>
  <si>
    <t>189</t>
  </si>
  <si>
    <t>38x2</t>
  </si>
  <si>
    <t>190</t>
  </si>
  <si>
    <t>38x2.2</t>
  </si>
  <si>
    <t>1.94</t>
  </si>
  <si>
    <t>191</t>
  </si>
  <si>
    <t>38x2.5</t>
  </si>
  <si>
    <t>2.19</t>
  </si>
  <si>
    <t>3.18</t>
  </si>
  <si>
    <t>192</t>
  </si>
  <si>
    <t>38x2.8</t>
  </si>
  <si>
    <t>193</t>
  </si>
  <si>
    <t>38x3</t>
  </si>
  <si>
    <t>2.59</t>
  </si>
  <si>
    <t>194</t>
  </si>
  <si>
    <t>40x1.2</t>
  </si>
  <si>
    <t>195</t>
  </si>
  <si>
    <t>40x1.4</t>
  </si>
  <si>
    <t>196</t>
  </si>
  <si>
    <t>40x1.5</t>
  </si>
  <si>
    <t>197</t>
  </si>
  <si>
    <t>40x1.6</t>
  </si>
  <si>
    <t>198</t>
  </si>
  <si>
    <t>40x1.8</t>
  </si>
  <si>
    <t>199</t>
  </si>
  <si>
    <t>40x2</t>
  </si>
  <si>
    <t>1.87</t>
  </si>
  <si>
    <t>200</t>
  </si>
  <si>
    <t>40x2.2</t>
  </si>
  <si>
    <t>2.05</t>
  </si>
  <si>
    <t>201</t>
  </si>
  <si>
    <t>40x2.5</t>
  </si>
  <si>
    <t>2.31</t>
  </si>
  <si>
    <t>202</t>
  </si>
  <si>
    <t>40x2.8</t>
  </si>
  <si>
    <t>3.76</t>
  </si>
  <si>
    <t>203</t>
  </si>
  <si>
    <t>40x3</t>
  </si>
  <si>
    <t>2.74</t>
  </si>
  <si>
    <t>204</t>
  </si>
  <si>
    <t>42x1.2</t>
  </si>
  <si>
    <t>205</t>
  </si>
  <si>
    <t>42x1.4</t>
  </si>
  <si>
    <t>206</t>
  </si>
  <si>
    <t>42x1.5</t>
  </si>
  <si>
    <t>207</t>
  </si>
  <si>
    <t>42x1.6</t>
  </si>
  <si>
    <t>208</t>
  </si>
  <si>
    <t>42x1.8</t>
  </si>
  <si>
    <t>209</t>
  </si>
  <si>
    <t>42x2</t>
  </si>
  <si>
    <t>2.76</t>
  </si>
  <si>
    <t>210</t>
  </si>
  <si>
    <t>42x2.2</t>
  </si>
  <si>
    <t>211</t>
  </si>
  <si>
    <t>42x2.5</t>
  </si>
  <si>
    <t>3.5</t>
  </si>
  <si>
    <t>212</t>
  </si>
  <si>
    <t>42x2.8</t>
  </si>
  <si>
    <t>213</t>
  </si>
  <si>
    <t>42x3</t>
  </si>
  <si>
    <t>2.89</t>
  </si>
  <si>
    <t>214</t>
  </si>
  <si>
    <t>44.5x1.2</t>
  </si>
  <si>
    <t>44.5</t>
  </si>
  <si>
    <t>215</t>
  </si>
  <si>
    <t>44.5x1.4</t>
  </si>
  <si>
    <t>216</t>
  </si>
  <si>
    <t>44.5x1.5</t>
  </si>
  <si>
    <t>217</t>
  </si>
  <si>
    <t>44.5x1.6</t>
  </si>
  <si>
    <t>218</t>
  </si>
  <si>
    <t>44.5x1.8</t>
  </si>
  <si>
    <t>1.9</t>
  </si>
  <si>
    <t>2.62</t>
  </si>
  <si>
    <t>219</t>
  </si>
  <si>
    <t>44.5x2</t>
  </si>
  <si>
    <t>2.1</t>
  </si>
  <si>
    <t>220</t>
  </si>
  <si>
    <t>44.5x2.2</t>
  </si>
  <si>
    <t>221</t>
  </si>
  <si>
    <t>44.5x2.5</t>
  </si>
  <si>
    <t>222</t>
  </si>
  <si>
    <t>44.5x2.8</t>
  </si>
  <si>
    <t>2.88</t>
  </si>
  <si>
    <t>4.16</t>
  </si>
  <si>
    <t>223</t>
  </si>
  <si>
    <t>44.5x3</t>
  </si>
  <si>
    <t>3.07</t>
  </si>
  <si>
    <t>4.48</t>
  </si>
  <si>
    <t>224</t>
  </si>
  <si>
    <t>45x1.2</t>
  </si>
  <si>
    <t>225</t>
  </si>
  <si>
    <t>45x1.4</t>
  </si>
  <si>
    <t>226</t>
  </si>
  <si>
    <t>45x1.5</t>
  </si>
  <si>
    <t>227</t>
  </si>
  <si>
    <t>45x1.6</t>
  </si>
  <si>
    <t>228</t>
  </si>
  <si>
    <t>45x1.8</t>
  </si>
  <si>
    <t>2.65</t>
  </si>
  <si>
    <t>229</t>
  </si>
  <si>
    <t>45x2</t>
  </si>
  <si>
    <t>2.12</t>
  </si>
  <si>
    <t>230</t>
  </si>
  <si>
    <t>45x2.2</t>
  </si>
  <si>
    <t>231</t>
  </si>
  <si>
    <t>45x2.5</t>
  </si>
  <si>
    <t>232</t>
  </si>
  <si>
    <t>45x2.8</t>
  </si>
  <si>
    <t>2.91</t>
  </si>
  <si>
    <t>233</t>
  </si>
  <si>
    <t>45x3</t>
  </si>
  <si>
    <t>3.11</t>
  </si>
  <si>
    <t>234</t>
  </si>
  <si>
    <t>48x1.4</t>
  </si>
  <si>
    <t>235</t>
  </si>
  <si>
    <t>48x1.5</t>
  </si>
  <si>
    <t>236</t>
  </si>
  <si>
    <t>48x1.6</t>
  </si>
  <si>
    <t>237</t>
  </si>
  <si>
    <t>48x1.8</t>
  </si>
  <si>
    <t>2.82</t>
  </si>
  <si>
    <t>238</t>
  </si>
  <si>
    <t>48x2</t>
  </si>
  <si>
    <t>3.14</t>
  </si>
  <si>
    <t>239</t>
  </si>
  <si>
    <t>48x2.2</t>
  </si>
  <si>
    <t>3.47</t>
  </si>
  <si>
    <t>240</t>
  </si>
  <si>
    <t>48x2.5</t>
  </si>
  <si>
    <t>2.81</t>
  </si>
  <si>
    <t>241</t>
  </si>
  <si>
    <t>48x2.8</t>
  </si>
  <si>
    <t>3.12</t>
  </si>
  <si>
    <t>242</t>
  </si>
  <si>
    <t>48x3</t>
  </si>
  <si>
    <t>243</t>
  </si>
  <si>
    <t>48x3.2</t>
  </si>
  <si>
    <t>3.54</t>
  </si>
  <si>
    <t>3.2</t>
  </si>
  <si>
    <t>244</t>
  </si>
  <si>
    <t>48x3.5</t>
  </si>
  <si>
    <t>3.84</t>
  </si>
  <si>
    <t>245</t>
  </si>
  <si>
    <t>48.3x1.4</t>
  </si>
  <si>
    <t>48.3</t>
  </si>
  <si>
    <t>246</t>
  </si>
  <si>
    <t>48.3x1.5</t>
  </si>
  <si>
    <t>247</t>
  </si>
  <si>
    <t>48.3x1.6</t>
  </si>
  <si>
    <t>248</t>
  </si>
  <si>
    <t>48.3x1.8</t>
  </si>
  <si>
    <t>2.06</t>
  </si>
  <si>
    <t>249</t>
  </si>
  <si>
    <t>48.3x2</t>
  </si>
  <si>
    <t>2.28</t>
  </si>
  <si>
    <t>3.16</t>
  </si>
  <si>
    <t>250</t>
  </si>
  <si>
    <t>48.3x2.2</t>
  </si>
  <si>
    <t>251</t>
  </si>
  <si>
    <t>48.3x2.5</t>
  </si>
  <si>
    <t>252</t>
  </si>
  <si>
    <t>48.3x2.8</t>
  </si>
  <si>
    <t>253</t>
  </si>
  <si>
    <t>48.3x3</t>
  </si>
  <si>
    <t>3.35</t>
  </si>
  <si>
    <t>254</t>
  </si>
  <si>
    <t>48.3x3.2</t>
  </si>
  <si>
    <t>3.56</t>
  </si>
  <si>
    <t>5.18</t>
  </si>
  <si>
    <t>255</t>
  </si>
  <si>
    <t>48.3x3.5</t>
  </si>
  <si>
    <t>3.87</t>
  </si>
  <si>
    <t>5.7</t>
  </si>
  <si>
    <t>256</t>
  </si>
  <si>
    <t>51x1.4</t>
  </si>
  <si>
    <t>2.3</t>
  </si>
  <si>
    <t>257</t>
  </si>
  <si>
    <t>51x1.5</t>
  </si>
  <si>
    <t>2.47</t>
  </si>
  <si>
    <t>258</t>
  </si>
  <si>
    <t>51x1.6</t>
  </si>
  <si>
    <t>259</t>
  </si>
  <si>
    <t>51x1.8</t>
  </si>
  <si>
    <t>2.18</t>
  </si>
  <si>
    <t>2.99</t>
  </si>
  <si>
    <t>260</t>
  </si>
  <si>
    <t>51x2</t>
  </si>
  <si>
    <t>2.42</t>
  </si>
  <si>
    <t>261</t>
  </si>
  <si>
    <t>51x2.2</t>
  </si>
  <si>
    <t>262</t>
  </si>
  <si>
    <t>51x2.5</t>
  </si>
  <si>
    <t>263</t>
  </si>
  <si>
    <t>51x2.8</t>
  </si>
  <si>
    <t>264</t>
  </si>
  <si>
    <t>51x3</t>
  </si>
  <si>
    <t>3.55</t>
  </si>
  <si>
    <t>265</t>
  </si>
  <si>
    <t>51x3.2</t>
  </si>
  <si>
    <t>3.77</t>
  </si>
  <si>
    <t>266</t>
  </si>
  <si>
    <t>51x3.5</t>
  </si>
  <si>
    <t>4.1</t>
  </si>
  <si>
    <t>267</t>
  </si>
  <si>
    <t>53x1.4</t>
  </si>
  <si>
    <t>268</t>
  </si>
  <si>
    <t>53x1.5</t>
  </si>
  <si>
    <t>269</t>
  </si>
  <si>
    <t>53x1.6</t>
  </si>
  <si>
    <t>2.03</t>
  </si>
  <si>
    <t>270</t>
  </si>
  <si>
    <t>53x1.8</t>
  </si>
  <si>
    <t>271</t>
  </si>
  <si>
    <t>53x2</t>
  </si>
  <si>
    <t>2.52</t>
  </si>
  <si>
    <t>272</t>
  </si>
  <si>
    <t>53x2.2</t>
  </si>
  <si>
    <t>273</t>
  </si>
  <si>
    <t>53x2.5</t>
  </si>
  <si>
    <t>4.36</t>
  </si>
  <si>
    <t>274</t>
  </si>
  <si>
    <t>53x2.8</t>
  </si>
  <si>
    <t>275</t>
  </si>
  <si>
    <t>53x3</t>
  </si>
  <si>
    <t>3.7</t>
  </si>
  <si>
    <t>276</t>
  </si>
  <si>
    <t>53x3.2</t>
  </si>
  <si>
    <t>3.93</t>
  </si>
  <si>
    <t>277</t>
  </si>
  <si>
    <t>53x3.5</t>
  </si>
  <si>
    <t>4.27</t>
  </si>
  <si>
    <t>278</t>
  </si>
  <si>
    <t>54x1.4</t>
  </si>
  <si>
    <t>279</t>
  </si>
  <si>
    <t>54x1.5</t>
  </si>
  <si>
    <t>280</t>
  </si>
  <si>
    <t>54x1.6</t>
  </si>
  <si>
    <t>281</t>
  </si>
  <si>
    <t>54x1.8</t>
  </si>
  <si>
    <t>282</t>
  </si>
  <si>
    <t>54x2</t>
  </si>
  <si>
    <t>2.56</t>
  </si>
  <si>
    <t>283</t>
  </si>
  <si>
    <t>54x2.2</t>
  </si>
  <si>
    <t>284</t>
  </si>
  <si>
    <t>54x2.5</t>
  </si>
  <si>
    <t>285</t>
  </si>
  <si>
    <t>54x2.8</t>
  </si>
  <si>
    <t>286</t>
  </si>
  <si>
    <t>54x3</t>
  </si>
  <si>
    <t>287</t>
  </si>
  <si>
    <t>54x3.2</t>
  </si>
  <si>
    <t>4.01</t>
  </si>
  <si>
    <t>288</t>
  </si>
  <si>
    <t>54x3.5</t>
  </si>
  <si>
    <t>289</t>
  </si>
  <si>
    <t>57x1.4</t>
  </si>
  <si>
    <t>290</t>
  </si>
  <si>
    <t>57x1.5</t>
  </si>
  <si>
    <t>291</t>
  </si>
  <si>
    <t>57x1.6</t>
  </si>
  <si>
    <t>292</t>
  </si>
  <si>
    <t>57x1.8</t>
  </si>
  <si>
    <t>2.45</t>
  </si>
  <si>
    <t>293</t>
  </si>
  <si>
    <t>57x2</t>
  </si>
  <si>
    <t>294</t>
  </si>
  <si>
    <t>57x2.2</t>
  </si>
  <si>
    <t>2.97</t>
  </si>
  <si>
    <t>295</t>
  </si>
  <si>
    <t>57x2.5</t>
  </si>
  <si>
    <t>3.36</t>
  </si>
  <si>
    <t>296</t>
  </si>
  <si>
    <t>57x2.8</t>
  </si>
  <si>
    <t>3.74</t>
  </si>
  <si>
    <t>297</t>
  </si>
  <si>
    <t>57x3</t>
  </si>
  <si>
    <t>298</t>
  </si>
  <si>
    <t>57x3.2</t>
  </si>
  <si>
    <t>4.25</t>
  </si>
  <si>
    <t>299</t>
  </si>
  <si>
    <t>57x3.5</t>
  </si>
  <si>
    <t>4.62</t>
  </si>
  <si>
    <t>300</t>
  </si>
  <si>
    <t>60x1.4</t>
  </si>
  <si>
    <t>2.7</t>
  </si>
  <si>
    <t>301</t>
  </si>
  <si>
    <t>60x1.5</t>
  </si>
  <si>
    <t>302</t>
  </si>
  <si>
    <t>60x1.6</t>
  </si>
  <si>
    <t>303</t>
  </si>
  <si>
    <t>60x1.8</t>
  </si>
  <si>
    <t>2.58</t>
  </si>
  <si>
    <t>304</t>
  </si>
  <si>
    <t>60x2</t>
  </si>
  <si>
    <t>2.86</t>
  </si>
  <si>
    <t>305</t>
  </si>
  <si>
    <t>60x2.2</t>
  </si>
  <si>
    <t>306</t>
  </si>
  <si>
    <t>60x2.5</t>
  </si>
  <si>
    <t>307</t>
  </si>
  <si>
    <t>60x2.8</t>
  </si>
  <si>
    <t>3.95</t>
  </si>
  <si>
    <t>5.52</t>
  </si>
  <si>
    <t>308</t>
  </si>
  <si>
    <t>60x3</t>
  </si>
  <si>
    <t>4.22</t>
  </si>
  <si>
    <t>309</t>
  </si>
  <si>
    <t>60x3.2</t>
  </si>
  <si>
    <t>310</t>
  </si>
  <si>
    <t>60x3.5</t>
  </si>
  <si>
    <t>4.88</t>
  </si>
  <si>
    <t>6.98</t>
  </si>
  <si>
    <t>311</t>
  </si>
  <si>
    <t>60x3.8</t>
  </si>
  <si>
    <t>5.27</t>
  </si>
  <si>
    <t>3.8</t>
  </si>
  <si>
    <t>312</t>
  </si>
  <si>
    <t>63.5x1.4</t>
  </si>
  <si>
    <t>63.5</t>
  </si>
  <si>
    <t>313</t>
  </si>
  <si>
    <t>63.5x1.5</t>
  </si>
  <si>
    <t>314</t>
  </si>
  <si>
    <t>63.5x1.6</t>
  </si>
  <si>
    <t>315</t>
  </si>
  <si>
    <t>63.5x1.8</t>
  </si>
  <si>
    <t>316</t>
  </si>
  <si>
    <t>63.5x2</t>
  </si>
  <si>
    <t>3.03</t>
  </si>
  <si>
    <t>317</t>
  </si>
  <si>
    <t>63.5x2.2</t>
  </si>
  <si>
    <t>318</t>
  </si>
  <si>
    <t>63.5x2.5</t>
  </si>
  <si>
    <t>319</t>
  </si>
  <si>
    <t>63.5x2.8</t>
  </si>
  <si>
    <t>4.19</t>
  </si>
  <si>
    <t>320</t>
  </si>
  <si>
    <t>63.5x3</t>
  </si>
  <si>
    <t>321</t>
  </si>
  <si>
    <t>63.5x3.2</t>
  </si>
  <si>
    <t>4.76</t>
  </si>
  <si>
    <t>322</t>
  </si>
  <si>
    <t>63.5x3.5</t>
  </si>
  <si>
    <t>323</t>
  </si>
  <si>
    <t>63.5x3.8</t>
  </si>
  <si>
    <t>5.59</t>
  </si>
  <si>
    <t>324</t>
  </si>
  <si>
    <t>70x1.4</t>
  </si>
  <si>
    <t>325</t>
  </si>
  <si>
    <t>70x1.5</t>
  </si>
  <si>
    <t>2.53</t>
  </si>
  <si>
    <t>326</t>
  </si>
  <si>
    <t>70x1.6</t>
  </si>
  <si>
    <t>3.6</t>
  </si>
  <si>
    <t>327</t>
  </si>
  <si>
    <t>70x1.8</t>
  </si>
  <si>
    <t>328</t>
  </si>
  <si>
    <t>70x2</t>
  </si>
  <si>
    <t>329</t>
  </si>
  <si>
    <t>70x2.2</t>
  </si>
  <si>
    <t>330</t>
  </si>
  <si>
    <t>70x2.5</t>
  </si>
  <si>
    <t>331</t>
  </si>
  <si>
    <t>70x2.8</t>
  </si>
  <si>
    <t>4.64</t>
  </si>
  <si>
    <t>332</t>
  </si>
  <si>
    <t>70x3</t>
  </si>
  <si>
    <t>4.96</t>
  </si>
  <si>
    <t>333</t>
  </si>
  <si>
    <t>70x3.2</t>
  </si>
  <si>
    <t>334</t>
  </si>
  <si>
    <t>70x3.5</t>
  </si>
  <si>
    <t>5.74</t>
  </si>
  <si>
    <t>335</t>
  </si>
  <si>
    <t>70x3.8</t>
  </si>
  <si>
    <t>6.2</t>
  </si>
  <si>
    <t>336</t>
  </si>
  <si>
    <t>70x4</t>
  </si>
  <si>
    <t>6.51</t>
  </si>
  <si>
    <t>337</t>
  </si>
  <si>
    <t>73x1.4</t>
  </si>
  <si>
    <t>338</t>
  </si>
  <si>
    <t>73x1.5</t>
  </si>
  <si>
    <t>339</t>
  </si>
  <si>
    <t>73x1.6</t>
  </si>
  <si>
    <t>340</t>
  </si>
  <si>
    <t>73x1.8</t>
  </si>
  <si>
    <t>341</t>
  </si>
  <si>
    <t>73x2</t>
  </si>
  <si>
    <t>4.71</t>
  </si>
  <si>
    <t>342</t>
  </si>
  <si>
    <t>73x2.2</t>
  </si>
  <si>
    <t>343</t>
  </si>
  <si>
    <t>73x2.5</t>
  </si>
  <si>
    <t>4.35</t>
  </si>
  <si>
    <t>344</t>
  </si>
  <si>
    <t>73x2.8</t>
  </si>
  <si>
    <t>4.85</t>
  </si>
  <si>
    <t>6.67</t>
  </si>
  <si>
    <t>345</t>
  </si>
  <si>
    <t>73x3</t>
  </si>
  <si>
    <t>346</t>
  </si>
  <si>
    <t>73x3.2</t>
  </si>
  <si>
    <t>5.51</t>
  </si>
  <si>
    <t>347</t>
  </si>
  <si>
    <t>73x3.5</t>
  </si>
  <si>
    <t>348</t>
  </si>
  <si>
    <t>73x3.8</t>
  </si>
  <si>
    <t>6.48</t>
  </si>
  <si>
    <t>9.17</t>
  </si>
  <si>
    <t>349</t>
  </si>
  <si>
    <t>73x4</t>
  </si>
  <si>
    <t>6.81</t>
  </si>
  <si>
    <t>350</t>
  </si>
  <si>
    <t>76x1.4</t>
  </si>
  <si>
    <t>351</t>
  </si>
  <si>
    <t>76x1.5</t>
  </si>
  <si>
    <t>3.65</t>
  </si>
  <si>
    <t>352</t>
  </si>
  <si>
    <t>76x1.6</t>
  </si>
  <si>
    <t>2.94</t>
  </si>
  <si>
    <t>353</t>
  </si>
  <si>
    <t>76x1.8</t>
  </si>
  <si>
    <t>3.29</t>
  </si>
  <si>
    <t>354</t>
  </si>
  <si>
    <t>76x2</t>
  </si>
  <si>
    <t>355</t>
  </si>
  <si>
    <t>76x2.2</t>
  </si>
  <si>
    <t>5.4</t>
  </si>
  <si>
    <t>356</t>
  </si>
  <si>
    <t>76x2.5</t>
  </si>
  <si>
    <t>4.53</t>
  </si>
  <si>
    <t>6.17</t>
  </si>
  <si>
    <t>357</t>
  </si>
  <si>
    <t>76x2.8</t>
  </si>
  <si>
    <t>5.05</t>
  </si>
  <si>
    <t>358</t>
  </si>
  <si>
    <t>76x3</t>
  </si>
  <si>
    <t>359</t>
  </si>
  <si>
    <t>76x3.2</t>
  </si>
  <si>
    <t>360</t>
  </si>
  <si>
    <t>76x3.5</t>
  </si>
  <si>
    <t>6.26</t>
  </si>
  <si>
    <t>8.74</t>
  </si>
  <si>
    <t>361</t>
  </si>
  <si>
    <t>76x3.8</t>
  </si>
  <si>
    <t>6.77</t>
  </si>
  <si>
    <t>9.53</t>
  </si>
  <si>
    <t>362</t>
  </si>
  <si>
    <t>76x4</t>
  </si>
  <si>
    <t>7.1</t>
  </si>
  <si>
    <t>363</t>
  </si>
  <si>
    <t>76x4.5</t>
  </si>
  <si>
    <t>7.93</t>
  </si>
  <si>
    <t>4.5</t>
  </si>
  <si>
    <t>364</t>
  </si>
  <si>
    <t>76x5</t>
  </si>
  <si>
    <t>8.75</t>
  </si>
  <si>
    <t>12.72</t>
  </si>
  <si>
    <t>365</t>
  </si>
  <si>
    <t>76x5.5</t>
  </si>
  <si>
    <t>9.56</t>
  </si>
  <si>
    <t>5.5</t>
  </si>
  <si>
    <t>366</t>
  </si>
  <si>
    <t>83x1.6</t>
  </si>
  <si>
    <t>367</t>
  </si>
  <si>
    <t>83x1.8</t>
  </si>
  <si>
    <t>368</t>
  </si>
  <si>
    <t>83x2</t>
  </si>
  <si>
    <t>369</t>
  </si>
  <si>
    <t>83x2.2</t>
  </si>
  <si>
    <t>4.38</t>
  </si>
  <si>
    <t>370</t>
  </si>
  <si>
    <t>83x2.5</t>
  </si>
  <si>
    <t>371</t>
  </si>
  <si>
    <t>83x2.8</t>
  </si>
  <si>
    <t>5.54</t>
  </si>
  <si>
    <t>372</t>
  </si>
  <si>
    <t>83x3</t>
  </si>
  <si>
    <t>5.92</t>
  </si>
  <si>
    <t>373</t>
  </si>
  <si>
    <t>83x3.2</t>
  </si>
  <si>
    <t>6.3</t>
  </si>
  <si>
    <t>8.67</t>
  </si>
  <si>
    <t>374</t>
  </si>
  <si>
    <t>83x3.5</t>
  </si>
  <si>
    <t>6.86</t>
  </si>
  <si>
    <t>375</t>
  </si>
  <si>
    <t>83x3.8</t>
  </si>
  <si>
    <t>7.42</t>
  </si>
  <si>
    <t>10.36</t>
  </si>
  <si>
    <t>376</t>
  </si>
  <si>
    <t>83x4</t>
  </si>
  <si>
    <t>7.79</t>
  </si>
  <si>
    <t>377</t>
  </si>
  <si>
    <t>83x4.5</t>
  </si>
  <si>
    <t>8.71</t>
  </si>
  <si>
    <t>378</t>
  </si>
  <si>
    <t>83x5</t>
  </si>
  <si>
    <t>9.62</t>
  </si>
  <si>
    <t>379</t>
  </si>
  <si>
    <t>83x5.5</t>
  </si>
  <si>
    <t>10.51</t>
  </si>
  <si>
    <t>15.29</t>
  </si>
  <si>
    <t>380</t>
  </si>
  <si>
    <t>89x1.6</t>
  </si>
  <si>
    <t>3.45</t>
  </si>
  <si>
    <t>381</t>
  </si>
  <si>
    <t>89x1.8</t>
  </si>
  <si>
    <t>382</t>
  </si>
  <si>
    <t>89x2</t>
  </si>
  <si>
    <t>4.29</t>
  </si>
  <si>
    <t>383</t>
  </si>
  <si>
    <t>89x2.2</t>
  </si>
  <si>
    <t>384</t>
  </si>
  <si>
    <t>89x2.5</t>
  </si>
  <si>
    <t>5.33</t>
  </si>
  <si>
    <t>385</t>
  </si>
  <si>
    <t>89x2.8</t>
  </si>
  <si>
    <t>5.95</t>
  </si>
  <si>
    <t>386</t>
  </si>
  <si>
    <t>89x3</t>
  </si>
  <si>
    <t>6.36</t>
  </si>
  <si>
    <t>387</t>
  </si>
  <si>
    <t>89x3.2</t>
  </si>
  <si>
    <t>388</t>
  </si>
  <si>
    <t>89x3.5</t>
  </si>
  <si>
    <t>7.38</t>
  </si>
  <si>
    <t>389</t>
  </si>
  <si>
    <t>89x3.8</t>
  </si>
  <si>
    <t>7.98</t>
  </si>
  <si>
    <t>390</t>
  </si>
  <si>
    <t>89x4</t>
  </si>
  <si>
    <t>8.38</t>
  </si>
  <si>
    <t>391</t>
  </si>
  <si>
    <t>89x4.5</t>
  </si>
  <si>
    <t>9.38</t>
  </si>
  <si>
    <t>392</t>
  </si>
  <si>
    <t>89x5</t>
  </si>
  <si>
    <t>393</t>
  </si>
  <si>
    <t>89x5.5</t>
  </si>
  <si>
    <t>11.33</t>
  </si>
  <si>
    <t>394</t>
  </si>
  <si>
    <t>95x2</t>
  </si>
  <si>
    <t>4.59</t>
  </si>
  <si>
    <t>395</t>
  </si>
  <si>
    <t>95x2.5</t>
  </si>
  <si>
    <t>396</t>
  </si>
  <si>
    <t>95x3.2</t>
  </si>
  <si>
    <t>7.24</t>
  </si>
  <si>
    <t>397</t>
  </si>
  <si>
    <t>95x5</t>
  </si>
  <si>
    <t>11.1</t>
  </si>
  <si>
    <t>398</t>
  </si>
  <si>
    <t>102x1.8</t>
  </si>
  <si>
    <t>4.45</t>
  </si>
  <si>
    <t>399</t>
  </si>
  <si>
    <t>102x2</t>
  </si>
  <si>
    <t>4.93</t>
  </si>
  <si>
    <t>400</t>
  </si>
  <si>
    <t>102x2.2</t>
  </si>
  <si>
    <t>5.41</t>
  </si>
  <si>
    <t>401</t>
  </si>
  <si>
    <t>102x2.5</t>
  </si>
  <si>
    <t>6.13</t>
  </si>
  <si>
    <t>8.21</t>
  </si>
  <si>
    <t>402</t>
  </si>
  <si>
    <t>102x2.8</t>
  </si>
  <si>
    <t>6.85</t>
  </si>
  <si>
    <t>9.22</t>
  </si>
  <si>
    <t>403</t>
  </si>
  <si>
    <t>102x3</t>
  </si>
  <si>
    <t>7.32</t>
  </si>
  <si>
    <t>404</t>
  </si>
  <si>
    <t>102x3.2</t>
  </si>
  <si>
    <t>7.8</t>
  </si>
  <si>
    <t>405</t>
  </si>
  <si>
    <t>102x3.5</t>
  </si>
  <si>
    <t>8.5</t>
  </si>
  <si>
    <t>406</t>
  </si>
  <si>
    <t>102x3.8</t>
  </si>
  <si>
    <t>9.2</t>
  </si>
  <si>
    <t>407</t>
  </si>
  <si>
    <t>102x4</t>
  </si>
  <si>
    <t>9.67</t>
  </si>
  <si>
    <t>408</t>
  </si>
  <si>
    <t>102x4.5</t>
  </si>
  <si>
    <t>10.82</t>
  </si>
  <si>
    <t>409</t>
  </si>
  <si>
    <t>102x5</t>
  </si>
  <si>
    <t>11.96</t>
  </si>
  <si>
    <t>410</t>
  </si>
  <si>
    <t>102x5.5</t>
  </si>
  <si>
    <t>13.09</t>
  </si>
  <si>
    <t>411</t>
  </si>
  <si>
    <t>108x1.8</t>
  </si>
  <si>
    <t>412</t>
  </si>
  <si>
    <t>108x2</t>
  </si>
  <si>
    <t>5.23</t>
  </si>
  <si>
    <t>413</t>
  </si>
  <si>
    <t>108x2.2</t>
  </si>
  <si>
    <t>414</t>
  </si>
  <si>
    <t>108x2.5</t>
  </si>
  <si>
    <t>6.5</t>
  </si>
  <si>
    <t>415</t>
  </si>
  <si>
    <t>108x2.8</t>
  </si>
  <si>
    <t>7.26</t>
  </si>
  <si>
    <t>416</t>
  </si>
  <si>
    <t>108x3</t>
  </si>
  <si>
    <t>7.77</t>
  </si>
  <si>
    <t>417</t>
  </si>
  <si>
    <t>108x3.2</t>
  </si>
  <si>
    <t>8.27</t>
  </si>
  <si>
    <t>11.18</t>
  </si>
  <si>
    <t>418</t>
  </si>
  <si>
    <t>108x3.5</t>
  </si>
  <si>
    <t>9.02</t>
  </si>
  <si>
    <t>419</t>
  </si>
  <si>
    <t>108x3.8</t>
  </si>
  <si>
    <t>9.76</t>
  </si>
  <si>
    <t>13.35</t>
  </si>
  <si>
    <t>420</t>
  </si>
  <si>
    <t>108x4</t>
  </si>
  <si>
    <t>10.26</t>
  </si>
  <si>
    <t>421</t>
  </si>
  <si>
    <t>108x4.5</t>
  </si>
  <si>
    <t>11.49</t>
  </si>
  <si>
    <t>422</t>
  </si>
  <si>
    <t>108x5</t>
  </si>
  <si>
    <t>12.7</t>
  </si>
  <si>
    <t>423</t>
  </si>
  <si>
    <t>108x5.5</t>
  </si>
  <si>
    <t>13.9</t>
  </si>
  <si>
    <t>424</t>
  </si>
  <si>
    <t>114x1.8</t>
  </si>
  <si>
    <t>4.98</t>
  </si>
  <si>
    <t>425</t>
  </si>
  <si>
    <t>114x2</t>
  </si>
  <si>
    <t>426</t>
  </si>
  <si>
    <t>114x2.2</t>
  </si>
  <si>
    <t>6.07</t>
  </si>
  <si>
    <t>427</t>
  </si>
  <si>
    <t>114x2.5</t>
  </si>
  <si>
    <t>6.87</t>
  </si>
  <si>
    <t>428</t>
  </si>
  <si>
    <t>114x2.8</t>
  </si>
  <si>
    <t>7.68</t>
  </si>
  <si>
    <t>429</t>
  </si>
  <si>
    <t>114x3</t>
  </si>
  <si>
    <t>430</t>
  </si>
  <si>
    <t>114x3.2</t>
  </si>
  <si>
    <t>11.78</t>
  </si>
  <si>
    <t>431</t>
  </si>
  <si>
    <t>114x3.5</t>
  </si>
  <si>
    <t>9.54</t>
  </si>
  <si>
    <t>432</t>
  </si>
  <si>
    <t>114x3.8</t>
  </si>
  <si>
    <t>10.33</t>
  </si>
  <si>
    <t>433</t>
  </si>
  <si>
    <t>114x4</t>
  </si>
  <si>
    <t>10.85</t>
  </si>
  <si>
    <t>434</t>
  </si>
  <si>
    <t>114x4.5</t>
  </si>
  <si>
    <t>12.15</t>
  </si>
  <si>
    <t>435</t>
  </si>
  <si>
    <t>114x5</t>
  </si>
  <si>
    <t>13.44</t>
  </si>
  <si>
    <t>436</t>
  </si>
  <si>
    <t>114x5.5</t>
  </si>
  <si>
    <t>14.72</t>
  </si>
  <si>
    <t>437</t>
  </si>
  <si>
    <t>127x1.8</t>
  </si>
  <si>
    <t>5.56</t>
  </si>
  <si>
    <t>438</t>
  </si>
  <si>
    <t>127x2</t>
  </si>
  <si>
    <t>439</t>
  </si>
  <si>
    <t>127x2.2</t>
  </si>
  <si>
    <t>440</t>
  </si>
  <si>
    <t>127x2.5</t>
  </si>
  <si>
    <t>441</t>
  </si>
  <si>
    <t>127x2.8</t>
  </si>
  <si>
    <t>8.58</t>
  </si>
  <si>
    <t>442</t>
  </si>
  <si>
    <t>127x3</t>
  </si>
  <si>
    <t>443</t>
  </si>
  <si>
    <t>127x3.2</t>
  </si>
  <si>
    <t>9.77</t>
  </si>
  <si>
    <t>444</t>
  </si>
  <si>
    <t>127x3.5</t>
  </si>
  <si>
    <t>10.66</t>
  </si>
  <si>
    <t>445</t>
  </si>
  <si>
    <t>127x3.8</t>
  </si>
  <si>
    <t>11.55</t>
  </si>
  <si>
    <t>446</t>
  </si>
  <si>
    <t>127x4</t>
  </si>
  <si>
    <t>12.13</t>
  </si>
  <si>
    <t>447</t>
  </si>
  <si>
    <t>127x4.5</t>
  </si>
  <si>
    <t>13.59</t>
  </si>
  <si>
    <t>448</t>
  </si>
  <si>
    <t>127x5</t>
  </si>
  <si>
    <t>15.04</t>
  </si>
  <si>
    <t>449</t>
  </si>
  <si>
    <t>127x5.5</t>
  </si>
  <si>
    <t>16.48</t>
  </si>
  <si>
    <t>450</t>
  </si>
  <si>
    <t>133x1.8</t>
  </si>
  <si>
    <t>5.82</t>
  </si>
  <si>
    <t>451</t>
  </si>
  <si>
    <t>133x2</t>
  </si>
  <si>
    <t>6.46</t>
  </si>
  <si>
    <t>8.48</t>
  </si>
  <si>
    <t>452</t>
  </si>
  <si>
    <t>133x2.2</t>
  </si>
  <si>
    <t>453</t>
  </si>
  <si>
    <t>133x2.5</t>
  </si>
  <si>
    <t>8.05</t>
  </si>
  <si>
    <t>454</t>
  </si>
  <si>
    <t>133x2.8</t>
  </si>
  <si>
    <t>8.99</t>
  </si>
  <si>
    <t>455</t>
  </si>
  <si>
    <t>133x3</t>
  </si>
  <si>
    <t>12.82</t>
  </si>
  <si>
    <t>456</t>
  </si>
  <si>
    <t>133x3.2</t>
  </si>
  <si>
    <t>10.24</t>
  </si>
  <si>
    <t>457</t>
  </si>
  <si>
    <t>133x3.5</t>
  </si>
  <si>
    <t>458</t>
  </si>
  <si>
    <t>133x3.8</t>
  </si>
  <si>
    <t>12.11</t>
  </si>
  <si>
    <t>459</t>
  </si>
  <si>
    <t>133x4</t>
  </si>
  <si>
    <t>460</t>
  </si>
  <si>
    <t>133x4.5</t>
  </si>
  <si>
    <t>14.26</t>
  </si>
  <si>
    <t>461</t>
  </si>
  <si>
    <t>133x5</t>
  </si>
  <si>
    <t>15.78</t>
  </si>
  <si>
    <t>462</t>
  </si>
  <si>
    <t>133x5.5</t>
  </si>
  <si>
    <t>17.29</t>
  </si>
  <si>
    <t>463</t>
  </si>
  <si>
    <t>140x1.8</t>
  </si>
  <si>
    <t>464</t>
  </si>
  <si>
    <t>140x2</t>
  </si>
  <si>
    <t>465</t>
  </si>
  <si>
    <t>140x2.2</t>
  </si>
  <si>
    <t>7.48</t>
  </si>
  <si>
    <t>466</t>
  </si>
  <si>
    <t>140x2.5</t>
  </si>
  <si>
    <t>467</t>
  </si>
  <si>
    <t>140x2.8</t>
  </si>
  <si>
    <t>9.47</t>
  </si>
  <si>
    <t>468</t>
  </si>
  <si>
    <t>140x3</t>
  </si>
  <si>
    <t>10.14</t>
  </si>
  <si>
    <t>469</t>
  </si>
  <si>
    <t>140x3.2</t>
  </si>
  <si>
    <t>10.8</t>
  </si>
  <si>
    <t>470</t>
  </si>
  <si>
    <t>140x3.5</t>
  </si>
  <si>
    <t>471</t>
  </si>
  <si>
    <t>140x3.8</t>
  </si>
  <si>
    <t>12.76</t>
  </si>
  <si>
    <t>472</t>
  </si>
  <si>
    <t>140x4</t>
  </si>
  <si>
    <t>13.42</t>
  </si>
  <si>
    <t>473</t>
  </si>
  <si>
    <t>140x4.5</t>
  </si>
  <si>
    <t>474</t>
  </si>
  <si>
    <t>140x5</t>
  </si>
  <si>
    <t>16.65</t>
  </si>
  <si>
    <t>475</t>
  </si>
  <si>
    <t>140x5.5</t>
  </si>
  <si>
    <t>18.24</t>
  </si>
  <si>
    <t>476</t>
  </si>
  <si>
    <t>152x1.8</t>
  </si>
  <si>
    <t>477</t>
  </si>
  <si>
    <t>152x2</t>
  </si>
  <si>
    <t>7.4</t>
  </si>
  <si>
    <t>478</t>
  </si>
  <si>
    <t>152x2.2</t>
  </si>
  <si>
    <t>8.13</t>
  </si>
  <si>
    <t>479</t>
  </si>
  <si>
    <t>152x2.5</t>
  </si>
  <si>
    <t>480</t>
  </si>
  <si>
    <t>152x2.8</t>
  </si>
  <si>
    <t>10.3</t>
  </si>
  <si>
    <t>481</t>
  </si>
  <si>
    <t>152x3</t>
  </si>
  <si>
    <t>11.02</t>
  </si>
  <si>
    <t>482</t>
  </si>
  <si>
    <t>152x3.2</t>
  </si>
  <si>
    <t>11.74</t>
  </si>
  <si>
    <t>483</t>
  </si>
  <si>
    <t>152x3.5</t>
  </si>
  <si>
    <t>484</t>
  </si>
  <si>
    <t>152x3.8</t>
  </si>
  <si>
    <t>13.89</t>
  </si>
  <si>
    <t>18.6</t>
  </si>
  <si>
    <t>485</t>
  </si>
  <si>
    <t>152x4</t>
  </si>
  <si>
    <t>14.6</t>
  </si>
  <si>
    <t>486</t>
  </si>
  <si>
    <t>152x4.5</t>
  </si>
  <si>
    <t>16.37</t>
  </si>
  <si>
    <t>487</t>
  </si>
  <si>
    <t>152x5</t>
  </si>
  <si>
    <t>18.13</t>
  </si>
  <si>
    <t>488</t>
  </si>
  <si>
    <t>152x5.5</t>
  </si>
  <si>
    <t>19.87</t>
  </si>
  <si>
    <t>489</t>
  </si>
  <si>
    <t>159x1.8</t>
  </si>
  <si>
    <t>490</t>
  </si>
  <si>
    <t>159x2</t>
  </si>
  <si>
    <t>7.74</t>
  </si>
  <si>
    <t>491</t>
  </si>
  <si>
    <t>159x2.2</t>
  </si>
  <si>
    <t>8.51</t>
  </si>
  <si>
    <t>492</t>
  </si>
  <si>
    <t>159x2.5</t>
  </si>
  <si>
    <t>9.65</t>
  </si>
  <si>
    <t>493</t>
  </si>
  <si>
    <t>159x2.8</t>
  </si>
  <si>
    <t>10.79</t>
  </si>
  <si>
    <t>494</t>
  </si>
  <si>
    <t>159x3</t>
  </si>
  <si>
    <t>11.54</t>
  </si>
  <si>
    <t>495</t>
  </si>
  <si>
    <t>159x3.2</t>
  </si>
  <si>
    <t>12.29</t>
  </si>
  <si>
    <t>16.31</t>
  </si>
  <si>
    <t>496</t>
  </si>
  <si>
    <t>159x3.5</t>
  </si>
  <si>
    <t>17.87</t>
  </si>
  <si>
    <t>497</t>
  </si>
  <si>
    <t>159x3.8</t>
  </si>
  <si>
    <t>14.54</t>
  </si>
  <si>
    <t>498</t>
  </si>
  <si>
    <t>159x4</t>
  </si>
  <si>
    <t>499</t>
  </si>
  <si>
    <t>159x4.5</t>
  </si>
  <si>
    <t>17.15</t>
  </si>
  <si>
    <t>500</t>
  </si>
  <si>
    <t>159x5</t>
  </si>
  <si>
    <t>18.99</t>
  </si>
  <si>
    <t>501</t>
  </si>
  <si>
    <t>159x5.5</t>
  </si>
  <si>
    <t>20.82</t>
  </si>
  <si>
    <t>502</t>
  </si>
  <si>
    <t>159x6</t>
  </si>
  <si>
    <t>22.64</t>
  </si>
  <si>
    <t>503</t>
  </si>
  <si>
    <t>159x7</t>
  </si>
  <si>
    <t>26.24</t>
  </si>
  <si>
    <t>504</t>
  </si>
  <si>
    <t>159x8</t>
  </si>
  <si>
    <t>29.79</t>
  </si>
  <si>
    <t>505</t>
  </si>
  <si>
    <t>168x1.8</t>
  </si>
  <si>
    <t>506</t>
  </si>
  <si>
    <t>168x2</t>
  </si>
  <si>
    <t>8.19</t>
  </si>
  <si>
    <t>507</t>
  </si>
  <si>
    <t>168x2.2</t>
  </si>
  <si>
    <t>508</t>
  </si>
  <si>
    <t>168x2.5</t>
  </si>
  <si>
    <t>509</t>
  </si>
  <si>
    <t>168x2.8</t>
  </si>
  <si>
    <t>11.41</t>
  </si>
  <si>
    <t>510</t>
  </si>
  <si>
    <t>168x3</t>
  </si>
  <si>
    <t>12.21</t>
  </si>
  <si>
    <t>511</t>
  </si>
  <si>
    <t>168x3.2</t>
  </si>
  <si>
    <t>13.01</t>
  </si>
  <si>
    <t>512</t>
  </si>
  <si>
    <t>168x3.5</t>
  </si>
  <si>
    <t>14.2</t>
  </si>
  <si>
    <t>513</t>
  </si>
  <si>
    <t>168x3.8</t>
  </si>
  <si>
    <t>15.39</t>
  </si>
  <si>
    <t>514</t>
  </si>
  <si>
    <t>168x4</t>
  </si>
  <si>
    <t>16.18</t>
  </si>
  <si>
    <t>515</t>
  </si>
  <si>
    <t>168x4.5</t>
  </si>
  <si>
    <t>18.14</t>
  </si>
  <si>
    <t>516</t>
  </si>
  <si>
    <t>168x5</t>
  </si>
  <si>
    <t>20.1</t>
  </si>
  <si>
    <t>517</t>
  </si>
  <si>
    <t>168x5.5</t>
  </si>
  <si>
    <t>22.04</t>
  </si>
  <si>
    <t>518</t>
  </si>
  <si>
    <t>168x6</t>
  </si>
  <si>
    <t>23.97</t>
  </si>
  <si>
    <t>519</t>
  </si>
  <si>
    <t>168x7</t>
  </si>
  <si>
    <t>27.79</t>
  </si>
  <si>
    <t>520</t>
  </si>
  <si>
    <t>168x8</t>
  </si>
  <si>
    <t>31.57</t>
  </si>
  <si>
    <t>521</t>
  </si>
  <si>
    <t>177.8x1.8</t>
  </si>
  <si>
    <t>7.81</t>
  </si>
  <si>
    <t>177.8</t>
  </si>
  <si>
    <t>522</t>
  </si>
  <si>
    <t>177.8x2</t>
  </si>
  <si>
    <t>523</t>
  </si>
  <si>
    <t>177.8x2.2</t>
  </si>
  <si>
    <t>524</t>
  </si>
  <si>
    <t>177.8x2.5</t>
  </si>
  <si>
    <t>10.81</t>
  </si>
  <si>
    <t>525</t>
  </si>
  <si>
    <t>177.8x2.8</t>
  </si>
  <si>
    <t>12.08</t>
  </si>
  <si>
    <t>526</t>
  </si>
  <si>
    <t>177.8x3</t>
  </si>
  <si>
    <t>12.93</t>
  </si>
  <si>
    <t>527</t>
  </si>
  <si>
    <t>177.8x3.2</t>
  </si>
  <si>
    <t>13.78</t>
  </si>
  <si>
    <t>528</t>
  </si>
  <si>
    <t>177.8x3.5</t>
  </si>
  <si>
    <t>529</t>
  </si>
  <si>
    <t>177.8x3.8</t>
  </si>
  <si>
    <t>530</t>
  </si>
  <si>
    <t>177.8x4</t>
  </si>
  <si>
    <t>17.14</t>
  </si>
  <si>
    <t>531</t>
  </si>
  <si>
    <t>177.8x4.5</t>
  </si>
  <si>
    <t>19.23</t>
  </si>
  <si>
    <t>532</t>
  </si>
  <si>
    <t>177.8x5</t>
  </si>
  <si>
    <t>21.31</t>
  </si>
  <si>
    <t>533</t>
  </si>
  <si>
    <t>177.8x5.5</t>
  </si>
  <si>
    <t>23.37</t>
  </si>
  <si>
    <t>534</t>
  </si>
  <si>
    <t>177.8x6</t>
  </si>
  <si>
    <t>25.42</t>
  </si>
  <si>
    <t>535</t>
  </si>
  <si>
    <t>177.8x7</t>
  </si>
  <si>
    <t>29.48</t>
  </si>
  <si>
    <t>536</t>
  </si>
  <si>
    <t>177.8x8</t>
  </si>
  <si>
    <t>33.5</t>
  </si>
  <si>
    <t>537</t>
  </si>
  <si>
    <t>180x4</t>
  </si>
  <si>
    <t>17.36</t>
  </si>
  <si>
    <t>538</t>
  </si>
  <si>
    <t>180x5</t>
  </si>
  <si>
    <t>21.58</t>
  </si>
  <si>
    <t>539</t>
  </si>
  <si>
    <t>193.7x2</t>
  </si>
  <si>
    <t>9.45</t>
  </si>
  <si>
    <t>193.7</t>
  </si>
  <si>
    <t>540</t>
  </si>
  <si>
    <t>193.7x2.2</t>
  </si>
  <si>
    <t>10.39</t>
  </si>
  <si>
    <t>541</t>
  </si>
  <si>
    <t>193.7x2.5</t>
  </si>
  <si>
    <t>11.79</t>
  </si>
  <si>
    <t>542</t>
  </si>
  <si>
    <t>193.7x2.8</t>
  </si>
  <si>
    <t>13.18</t>
  </si>
  <si>
    <t>543</t>
  </si>
  <si>
    <t>193.7x3</t>
  </si>
  <si>
    <t>14.11</t>
  </si>
  <si>
    <t>544</t>
  </si>
  <si>
    <t>193.7x3.2</t>
  </si>
  <si>
    <t>15.03</t>
  </si>
  <si>
    <t>545</t>
  </si>
  <si>
    <t>193.7x3.5</t>
  </si>
  <si>
    <t>16.42</t>
  </si>
  <si>
    <t>546</t>
  </si>
  <si>
    <t>193.7x3.8</t>
  </si>
  <si>
    <t>17.8</t>
  </si>
  <si>
    <t>547</t>
  </si>
  <si>
    <t>193.7x4</t>
  </si>
  <si>
    <t>18.71</t>
  </si>
  <si>
    <t>548</t>
  </si>
  <si>
    <t>193.7x4.5</t>
  </si>
  <si>
    <t>549</t>
  </si>
  <si>
    <t>193.7x5</t>
  </si>
  <si>
    <t>23.27</t>
  </si>
  <si>
    <t>550</t>
  </si>
  <si>
    <t>193.7x5.5</t>
  </si>
  <si>
    <t>25.53</t>
  </si>
  <si>
    <t>551</t>
  </si>
  <si>
    <t>193.7x6</t>
  </si>
  <si>
    <t>27.77</t>
  </si>
  <si>
    <t>552</t>
  </si>
  <si>
    <t>193.7x7</t>
  </si>
  <si>
    <t>32.23</t>
  </si>
  <si>
    <t>553</t>
  </si>
  <si>
    <t>193.7x8</t>
  </si>
  <si>
    <t>36.64</t>
  </si>
  <si>
    <t>554</t>
  </si>
  <si>
    <t>219x2.5</t>
  </si>
  <si>
    <t>555</t>
  </si>
  <si>
    <t>219x2.8</t>
  </si>
  <si>
    <t>14.93</t>
  </si>
  <si>
    <t>556</t>
  </si>
  <si>
    <t>219x3</t>
  </si>
  <si>
    <t>15.98</t>
  </si>
  <si>
    <t>557</t>
  </si>
  <si>
    <t>219x3.2</t>
  </si>
  <si>
    <t>17.03</t>
  </si>
  <si>
    <t>558</t>
  </si>
  <si>
    <t>219x3.5</t>
  </si>
  <si>
    <t>559</t>
  </si>
  <si>
    <t>219x3.8</t>
  </si>
  <si>
    <t>20.17</t>
  </si>
  <si>
    <t>560</t>
  </si>
  <si>
    <t>219x4</t>
  </si>
  <si>
    <t>21.21</t>
  </si>
  <si>
    <t>561</t>
  </si>
  <si>
    <t>219x4.5</t>
  </si>
  <si>
    <t>23.8</t>
  </si>
  <si>
    <t>562</t>
  </si>
  <si>
    <t>219x5</t>
  </si>
  <si>
    <t>26.39</t>
  </si>
  <si>
    <t>563</t>
  </si>
  <si>
    <t>219x5.5</t>
  </si>
  <si>
    <t>28.96</t>
  </si>
  <si>
    <t>564</t>
  </si>
  <si>
    <t>219x6</t>
  </si>
  <si>
    <t>31.52</t>
  </si>
  <si>
    <t>565</t>
  </si>
  <si>
    <t>219x7</t>
  </si>
  <si>
    <t>36.6</t>
  </si>
  <si>
    <t>566</t>
  </si>
  <si>
    <t>219x8</t>
  </si>
  <si>
    <t>41.63</t>
  </si>
  <si>
    <t>567</t>
  </si>
  <si>
    <t>219x9</t>
  </si>
  <si>
    <t>46.61</t>
  </si>
  <si>
    <t>568</t>
  </si>
  <si>
    <t>244.5x3</t>
  </si>
  <si>
    <t>244.5</t>
  </si>
  <si>
    <t>569</t>
  </si>
  <si>
    <t>244.5x3.2</t>
  </si>
  <si>
    <t>19.04</t>
  </si>
  <si>
    <t>570</t>
  </si>
  <si>
    <t>244.5x3.5</t>
  </si>
  <si>
    <t>20.8</t>
  </si>
  <si>
    <t>571</t>
  </si>
  <si>
    <t>244.5x3.8</t>
  </si>
  <si>
    <t>22.56</t>
  </si>
  <si>
    <t>572</t>
  </si>
  <si>
    <t>244.5x4</t>
  </si>
  <si>
    <t>23.72</t>
  </si>
  <si>
    <t>573</t>
  </si>
  <si>
    <t>244.5x4.5</t>
  </si>
  <si>
    <t>26.63</t>
  </si>
  <si>
    <t>574</t>
  </si>
  <si>
    <t>244.5x5</t>
  </si>
  <si>
    <t>29.53</t>
  </si>
  <si>
    <t>575</t>
  </si>
  <si>
    <t>244.5x5.5</t>
  </si>
  <si>
    <t>32.42</t>
  </si>
  <si>
    <t>576</t>
  </si>
  <si>
    <t>244.5x6</t>
  </si>
  <si>
    <t>35.29</t>
  </si>
  <si>
    <t>577</t>
  </si>
  <si>
    <t>244.5x7</t>
  </si>
  <si>
    <t>578</t>
  </si>
  <si>
    <t>244.5x8</t>
  </si>
  <si>
    <t>46.66</t>
  </si>
  <si>
    <t>579</t>
  </si>
  <si>
    <t>244.5x9</t>
  </si>
  <si>
    <t>52.27</t>
  </si>
  <si>
    <t>580</t>
  </si>
  <si>
    <t>273x3.5</t>
  </si>
  <si>
    <t>23.26</t>
  </si>
  <si>
    <t>581</t>
  </si>
  <si>
    <t>273x3.8</t>
  </si>
  <si>
    <t>25.23</t>
  </si>
  <si>
    <t>582</t>
  </si>
  <si>
    <t>273x4</t>
  </si>
  <si>
    <t>26.53</t>
  </si>
  <si>
    <t>583</t>
  </si>
  <si>
    <t>273x4.5</t>
  </si>
  <si>
    <t>29.8</t>
  </si>
  <si>
    <t>584</t>
  </si>
  <si>
    <t>273x5</t>
  </si>
  <si>
    <t>33.05</t>
  </si>
  <si>
    <t>585</t>
  </si>
  <si>
    <t>273x5.5</t>
  </si>
  <si>
    <t>36.28</t>
  </si>
  <si>
    <t>586</t>
  </si>
  <si>
    <t>273x6</t>
  </si>
  <si>
    <t>39.51</t>
  </si>
  <si>
    <t>587</t>
  </si>
  <si>
    <t>273x7</t>
  </si>
  <si>
    <t>45.92</t>
  </si>
  <si>
    <t>588</t>
  </si>
  <si>
    <t>273x8</t>
  </si>
  <si>
    <t>52.28</t>
  </si>
  <si>
    <t>589</t>
  </si>
  <si>
    <t>273x9</t>
  </si>
  <si>
    <t>58.59</t>
  </si>
  <si>
    <t>590</t>
  </si>
  <si>
    <t>325x4</t>
  </si>
  <si>
    <t>31.66</t>
  </si>
  <si>
    <t>41.34</t>
  </si>
  <si>
    <t>591</t>
  </si>
  <si>
    <t>325x4.5</t>
  </si>
  <si>
    <t>35.57</t>
  </si>
  <si>
    <t>592</t>
  </si>
  <si>
    <t>325x5</t>
  </si>
  <si>
    <t>39.46</t>
  </si>
  <si>
    <t>593</t>
  </si>
  <si>
    <t>325x5.5</t>
  </si>
  <si>
    <t>43.34</t>
  </si>
  <si>
    <t>594</t>
  </si>
  <si>
    <t>325x6</t>
  </si>
  <si>
    <t>47.2</t>
  </si>
  <si>
    <t>595</t>
  </si>
  <si>
    <t>325x7</t>
  </si>
  <si>
    <t>54.89</t>
  </si>
  <si>
    <t>596</t>
  </si>
  <si>
    <t>325x8</t>
  </si>
  <si>
    <t>62.54</t>
  </si>
  <si>
    <t>597</t>
  </si>
  <si>
    <t>325x9</t>
  </si>
  <si>
    <t>70.14</t>
  </si>
  <si>
    <t>598</t>
  </si>
  <si>
    <t>355.6x4</t>
  </si>
  <si>
    <t>34.68</t>
  </si>
  <si>
    <t>355.6</t>
  </si>
  <si>
    <t>599</t>
  </si>
  <si>
    <t>355.6x4.5</t>
  </si>
  <si>
    <t>38.96</t>
  </si>
  <si>
    <t>600</t>
  </si>
  <si>
    <t>355.6x5</t>
  </si>
  <si>
    <t>43.23</t>
  </si>
  <si>
    <t>601</t>
  </si>
  <si>
    <t>355.6x5.5</t>
  </si>
  <si>
    <t>47.49</t>
  </si>
  <si>
    <t>602</t>
  </si>
  <si>
    <t>355.6x6</t>
  </si>
  <si>
    <t>51.73</t>
  </si>
  <si>
    <t>603</t>
  </si>
  <si>
    <t>355.6x7</t>
  </si>
  <si>
    <t>60.18</t>
  </si>
  <si>
    <t>604</t>
  </si>
  <si>
    <t>355.6x8</t>
  </si>
  <si>
    <t>68.58</t>
  </si>
  <si>
    <t>605</t>
  </si>
  <si>
    <t>355.6x9</t>
  </si>
  <si>
    <t>76.93</t>
  </si>
  <si>
    <t>606</t>
  </si>
  <si>
    <t>355.6x10</t>
  </si>
  <si>
    <t>85.23</t>
  </si>
  <si>
    <t>607</t>
  </si>
  <si>
    <t>377x4</t>
  </si>
  <si>
    <t>36.79</t>
  </si>
  <si>
    <t>608</t>
  </si>
  <si>
    <t>377x4.5</t>
  </si>
  <si>
    <t>609</t>
  </si>
  <si>
    <t>377x5</t>
  </si>
  <si>
    <t>45.87</t>
  </si>
  <si>
    <t>610</t>
  </si>
  <si>
    <t>377x5.5</t>
  </si>
  <si>
    <t>50.39</t>
  </si>
  <si>
    <t>611</t>
  </si>
  <si>
    <t>377x6</t>
  </si>
  <si>
    <t>612</t>
  </si>
  <si>
    <t>377x7</t>
  </si>
  <si>
    <t>63.87</t>
  </si>
  <si>
    <t>613</t>
  </si>
  <si>
    <t>377x8</t>
  </si>
  <si>
    <t>72.8</t>
  </si>
  <si>
    <t>614</t>
  </si>
  <si>
    <t>377x9</t>
  </si>
  <si>
    <t>81.68</t>
  </si>
  <si>
    <t>615</t>
  </si>
  <si>
    <t>377x10</t>
  </si>
  <si>
    <t>90.51</t>
  </si>
  <si>
    <t>616</t>
  </si>
  <si>
    <t>406.4x4</t>
  </si>
  <si>
    <t>39.69</t>
  </si>
  <si>
    <t>406.4</t>
  </si>
  <si>
    <t>617</t>
  </si>
  <si>
    <t>406.4x4.5</t>
  </si>
  <si>
    <t>44.6</t>
  </si>
  <si>
    <t>618</t>
  </si>
  <si>
    <t>406.4x5</t>
  </si>
  <si>
    <t>49.49</t>
  </si>
  <si>
    <t>619</t>
  </si>
  <si>
    <t>406.4x5.5</t>
  </si>
  <si>
    <t>54.38</t>
  </si>
  <si>
    <t>620</t>
  </si>
  <si>
    <t>406.4x6</t>
  </si>
  <si>
    <t>59.25</t>
  </si>
  <si>
    <t>621</t>
  </si>
  <si>
    <t>406.4x7</t>
  </si>
  <si>
    <t>68.95</t>
  </si>
  <si>
    <t>622</t>
  </si>
  <si>
    <t>406.4x8</t>
  </si>
  <si>
    <t>78.6</t>
  </si>
  <si>
    <t>623</t>
  </si>
  <si>
    <t>406.4x9</t>
  </si>
  <si>
    <t>88.2</t>
  </si>
  <si>
    <t>624</t>
  </si>
  <si>
    <t>406.4x10</t>
  </si>
  <si>
    <t>97.76</t>
  </si>
  <si>
    <t>625</t>
  </si>
  <si>
    <t>406.4x11</t>
  </si>
  <si>
    <t>107.26</t>
  </si>
  <si>
    <t>626</t>
  </si>
  <si>
    <t>406.4x12</t>
  </si>
  <si>
    <t>116.71</t>
  </si>
  <si>
    <t>627</t>
  </si>
  <si>
    <t>426x4</t>
  </si>
  <si>
    <t>628</t>
  </si>
  <si>
    <t>426x4.5</t>
  </si>
  <si>
    <t>46.78</t>
  </si>
  <si>
    <t>629</t>
  </si>
  <si>
    <t>426x5</t>
  </si>
  <si>
    <t>51.91</t>
  </si>
  <si>
    <t>630</t>
  </si>
  <si>
    <t>426x5.5</t>
  </si>
  <si>
    <t>57.03</t>
  </si>
  <si>
    <t>631</t>
  </si>
  <si>
    <t>426x6</t>
  </si>
  <si>
    <t>62.15</t>
  </si>
  <si>
    <t>632</t>
  </si>
  <si>
    <t>426x7</t>
  </si>
  <si>
    <t>72.33</t>
  </si>
  <si>
    <t>633</t>
  </si>
  <si>
    <t>426x8</t>
  </si>
  <si>
    <t>82.47</t>
  </si>
  <si>
    <t>634</t>
  </si>
  <si>
    <t>426x9</t>
  </si>
  <si>
    <t>92.55</t>
  </si>
  <si>
    <t>635</t>
  </si>
  <si>
    <t>426x10</t>
  </si>
  <si>
    <t>102.59</t>
  </si>
  <si>
    <t>636</t>
  </si>
  <si>
    <t>426x11</t>
  </si>
  <si>
    <t>112.58</t>
  </si>
  <si>
    <t>637</t>
  </si>
  <si>
    <t>426x12</t>
  </si>
  <si>
    <t>122.51</t>
  </si>
  <si>
    <t>638</t>
  </si>
  <si>
    <t>478x5</t>
  </si>
  <si>
    <t>58.32</t>
  </si>
  <si>
    <t>639</t>
  </si>
  <si>
    <t>478x5.5</t>
  </si>
  <si>
    <t>64.09</t>
  </si>
  <si>
    <t>640</t>
  </si>
  <si>
    <t>478x6</t>
  </si>
  <si>
    <t>69.84</t>
  </si>
  <si>
    <t>641</t>
  </si>
  <si>
    <t>478x7</t>
  </si>
  <si>
    <t>81.31</t>
  </si>
  <si>
    <t>642</t>
  </si>
  <si>
    <t>478x8</t>
  </si>
  <si>
    <t>92.72</t>
  </si>
  <si>
    <t>643</t>
  </si>
  <si>
    <t>478x9</t>
  </si>
  <si>
    <t>104.09</t>
  </si>
  <si>
    <t>644</t>
  </si>
  <si>
    <t>478x10</t>
  </si>
  <si>
    <t>115.41</t>
  </si>
  <si>
    <t>645</t>
  </si>
  <si>
    <t>478x11</t>
  </si>
  <si>
    <t>126.68</t>
  </si>
  <si>
    <t>646</t>
  </si>
  <si>
    <t>478x12</t>
  </si>
  <si>
    <t>137.9</t>
  </si>
  <si>
    <t>647</t>
  </si>
  <si>
    <t>530x5</t>
  </si>
  <si>
    <t>64.73</t>
  </si>
  <si>
    <t>648</t>
  </si>
  <si>
    <t>530x5.5</t>
  </si>
  <si>
    <t>71.14</t>
  </si>
  <si>
    <t>649</t>
  </si>
  <si>
    <t>530x6</t>
  </si>
  <si>
    <t>77.53</t>
  </si>
  <si>
    <t>650</t>
  </si>
  <si>
    <t>530x7</t>
  </si>
  <si>
    <t>90.28</t>
  </si>
  <si>
    <t>651</t>
  </si>
  <si>
    <t>530x8</t>
  </si>
  <si>
    <t>102.98</t>
  </si>
  <si>
    <t>652</t>
  </si>
  <si>
    <t>530x9</t>
  </si>
  <si>
    <t>115.63</t>
  </si>
  <si>
    <t>653</t>
  </si>
  <si>
    <t>530x10</t>
  </si>
  <si>
    <t>128.24</t>
  </si>
  <si>
    <t>654</t>
  </si>
  <si>
    <t>530x11</t>
  </si>
  <si>
    <t>140.79</t>
  </si>
  <si>
    <t>655</t>
  </si>
  <si>
    <t>530x12</t>
  </si>
  <si>
    <t>153.29</t>
  </si>
  <si>
    <t>656</t>
  </si>
  <si>
    <t>530x13</t>
  </si>
  <si>
    <t>165.75</t>
  </si>
  <si>
    <t>657</t>
  </si>
  <si>
    <t>530x14</t>
  </si>
  <si>
    <t>178.15</t>
  </si>
  <si>
    <t>658</t>
  </si>
  <si>
    <t>530x16</t>
  </si>
  <si>
    <t>202.81</t>
  </si>
  <si>
    <t>659</t>
  </si>
  <si>
    <t>530x17</t>
  </si>
  <si>
    <t>215.07</t>
  </si>
  <si>
    <t>660</t>
  </si>
  <si>
    <t>530x17.5</t>
  </si>
  <si>
    <t>221.18</t>
  </si>
  <si>
    <t>17.5</t>
  </si>
  <si>
    <t>661</t>
  </si>
  <si>
    <t>530x18</t>
  </si>
  <si>
    <t>227.27</t>
  </si>
  <si>
    <t>662</t>
  </si>
  <si>
    <t>530x19</t>
  </si>
  <si>
    <t>239.43</t>
  </si>
  <si>
    <t>663</t>
  </si>
  <si>
    <t>530x20</t>
  </si>
  <si>
    <t>251.54</t>
  </si>
  <si>
    <t>664</t>
  </si>
  <si>
    <t>530x21</t>
  </si>
  <si>
    <t>263.6</t>
  </si>
  <si>
    <t>665</t>
  </si>
  <si>
    <t>530x22</t>
  </si>
  <si>
    <t>275.61</t>
  </si>
  <si>
    <t>666</t>
  </si>
  <si>
    <t>530x23</t>
  </si>
  <si>
    <t>287.57</t>
  </si>
  <si>
    <t>667</t>
  </si>
  <si>
    <t>530x24</t>
  </si>
  <si>
    <t>299.48</t>
  </si>
  <si>
    <t>668</t>
  </si>
  <si>
    <t>630x7</t>
  </si>
  <si>
    <t>107.55</t>
  </si>
  <si>
    <t>669</t>
  </si>
  <si>
    <t>630x8</t>
  </si>
  <si>
    <t>122.71</t>
  </si>
  <si>
    <t>670</t>
  </si>
  <si>
    <t>630x9</t>
  </si>
  <si>
    <t>137.83</t>
  </si>
  <si>
    <t>671</t>
  </si>
  <si>
    <t>630x10</t>
  </si>
  <si>
    <t>152.9</t>
  </si>
  <si>
    <t>672</t>
  </si>
  <si>
    <t>630x11</t>
  </si>
  <si>
    <t>167.92</t>
  </si>
  <si>
    <t>673</t>
  </si>
  <si>
    <t>630x12</t>
  </si>
  <si>
    <t>182.88</t>
  </si>
  <si>
    <t>674</t>
  </si>
  <si>
    <t>630x13</t>
  </si>
  <si>
    <t>197.8</t>
  </si>
  <si>
    <t>675</t>
  </si>
  <si>
    <t>630x14</t>
  </si>
  <si>
    <t>212.67</t>
  </si>
  <si>
    <t>676</t>
  </si>
  <si>
    <t>630x16</t>
  </si>
  <si>
    <t>242.27</t>
  </si>
  <si>
    <t>677</t>
  </si>
  <si>
    <t>630x17</t>
  </si>
  <si>
    <t>256.99</t>
  </si>
  <si>
    <t>678</t>
  </si>
  <si>
    <t>630x17.5</t>
  </si>
  <si>
    <t>264.33</t>
  </si>
  <si>
    <t>679</t>
  </si>
  <si>
    <t>630x18</t>
  </si>
  <si>
    <t>271.66</t>
  </si>
  <si>
    <t>680</t>
  </si>
  <si>
    <t>630x19</t>
  </si>
  <si>
    <t>286.29</t>
  </si>
  <si>
    <t>681</t>
  </si>
  <si>
    <t>630x20</t>
  </si>
  <si>
    <t>300.86</t>
  </si>
  <si>
    <t>682</t>
  </si>
  <si>
    <t>720x7</t>
  </si>
  <si>
    <t>123.08</t>
  </si>
  <si>
    <t>720</t>
  </si>
  <si>
    <t>683</t>
  </si>
  <si>
    <t>720x8</t>
  </si>
  <si>
    <t>140.47</t>
  </si>
  <si>
    <t>684</t>
  </si>
  <si>
    <t>720x9</t>
  </si>
  <si>
    <t>157.8</t>
  </si>
  <si>
    <t>685</t>
  </si>
  <si>
    <t>720x10</t>
  </si>
  <si>
    <t>175.09</t>
  </si>
  <si>
    <t>686</t>
  </si>
  <si>
    <t>720x11</t>
  </si>
  <si>
    <t>192.33</t>
  </si>
  <si>
    <t>687</t>
  </si>
  <si>
    <t>720x12</t>
  </si>
  <si>
    <t>209.52</t>
  </si>
  <si>
    <t>688</t>
  </si>
  <si>
    <t>720x13</t>
  </si>
  <si>
    <t>226.66</t>
  </si>
  <si>
    <t>689</t>
  </si>
  <si>
    <t>720x14</t>
  </si>
  <si>
    <t>243.75</t>
  </si>
  <si>
    <t>322.83</t>
  </si>
  <si>
    <t>690</t>
  </si>
  <si>
    <t>720x16</t>
  </si>
  <si>
    <t>277.78</t>
  </si>
  <si>
    <t>691</t>
  </si>
  <si>
    <t>720x17</t>
  </si>
  <si>
    <t>294.72</t>
  </si>
  <si>
    <t>692</t>
  </si>
  <si>
    <t>720x17.5</t>
  </si>
  <si>
    <t>303.17</t>
  </si>
  <si>
    <t>693</t>
  </si>
  <si>
    <t>720x18</t>
  </si>
  <si>
    <t>311.61</t>
  </si>
  <si>
    <t>694</t>
  </si>
  <si>
    <t>720x19</t>
  </si>
  <si>
    <t>328.46</t>
  </si>
  <si>
    <t>695</t>
  </si>
  <si>
    <t>720x20</t>
  </si>
  <si>
    <t>345.25</t>
  </si>
  <si>
    <t>696</t>
  </si>
  <si>
    <t>720x21</t>
  </si>
  <si>
    <t>697</t>
  </si>
  <si>
    <t>720x22</t>
  </si>
  <si>
    <t>378.69</t>
  </si>
  <si>
    <t>698</t>
  </si>
  <si>
    <t>720x23</t>
  </si>
  <si>
    <t>395.34</t>
  </si>
  <si>
    <t>699</t>
  </si>
  <si>
    <t>720x24</t>
  </si>
  <si>
    <t>411.93</t>
  </si>
  <si>
    <t>700</t>
  </si>
  <si>
    <t>720x25</t>
  </si>
  <si>
    <t>428.48</t>
  </si>
  <si>
    <t>701</t>
  </si>
  <si>
    <t>720x26</t>
  </si>
  <si>
    <t>444.98</t>
  </si>
  <si>
    <t>702</t>
  </si>
  <si>
    <t>720x27</t>
  </si>
  <si>
    <t>461.43</t>
  </si>
  <si>
    <t>703</t>
  </si>
  <si>
    <t>720x28</t>
  </si>
  <si>
    <t>477.83</t>
  </si>
  <si>
    <t>704</t>
  </si>
  <si>
    <t>720x29</t>
  </si>
  <si>
    <t>494.18</t>
  </si>
  <si>
    <t>705</t>
  </si>
  <si>
    <t>720x30</t>
  </si>
  <si>
    <t>510.48</t>
  </si>
  <si>
    <t>706</t>
  </si>
  <si>
    <t>820x7</t>
  </si>
  <si>
    <t>140.34</t>
  </si>
  <si>
    <t>820</t>
  </si>
  <si>
    <t>707</t>
  </si>
  <si>
    <t>820x8</t>
  </si>
  <si>
    <t>160.2</t>
  </si>
  <si>
    <t>708</t>
  </si>
  <si>
    <t>820x9</t>
  </si>
  <si>
    <t>709</t>
  </si>
  <si>
    <t>820x10</t>
  </si>
  <si>
    <t>199.75</t>
  </si>
  <si>
    <t>710</t>
  </si>
  <si>
    <t>820x11</t>
  </si>
  <si>
    <t>219.46</t>
  </si>
  <si>
    <t>711</t>
  </si>
  <si>
    <t>820x12</t>
  </si>
  <si>
    <t>239.11</t>
  </si>
  <si>
    <t>712</t>
  </si>
  <si>
    <t>820x13</t>
  </si>
  <si>
    <t>258.72</t>
  </si>
  <si>
    <t>713</t>
  </si>
  <si>
    <t>820x14</t>
  </si>
  <si>
    <t>278.27</t>
  </si>
  <si>
    <t>714</t>
  </si>
  <si>
    <t>820x16</t>
  </si>
  <si>
    <t>317.24</t>
  </si>
  <si>
    <t>715</t>
  </si>
  <si>
    <t>820x17</t>
  </si>
  <si>
    <t>336.64</t>
  </si>
  <si>
    <t>716</t>
  </si>
  <si>
    <t>820x17.5</t>
  </si>
  <si>
    <t>346.33</t>
  </si>
  <si>
    <t>717</t>
  </si>
  <si>
    <t>820x18</t>
  </si>
  <si>
    <t>718</t>
  </si>
  <si>
    <t>820x19</t>
  </si>
  <si>
    <t>375.31</t>
  </si>
  <si>
    <t>719</t>
  </si>
  <si>
    <t>820x20</t>
  </si>
  <si>
    <t>394.57</t>
  </si>
  <si>
    <t>820x21</t>
  </si>
  <si>
    <t>413.78</t>
  </si>
  <si>
    <t>721</t>
  </si>
  <si>
    <t>820x22</t>
  </si>
  <si>
    <t>432.94</t>
  </si>
  <si>
    <t>722</t>
  </si>
  <si>
    <t>820x23</t>
  </si>
  <si>
    <t>452.06</t>
  </si>
  <si>
    <t>723</t>
  </si>
  <si>
    <t>820x24</t>
  </si>
  <si>
    <t>471.12</t>
  </si>
  <si>
    <t>724</t>
  </si>
  <si>
    <t>820x25</t>
  </si>
  <si>
    <t>490.13</t>
  </si>
  <si>
    <t>725</t>
  </si>
  <si>
    <t>820x26</t>
  </si>
  <si>
    <t>509.1</t>
  </si>
  <si>
    <t>726</t>
  </si>
  <si>
    <t>820x27</t>
  </si>
  <si>
    <t>528.01</t>
  </si>
  <si>
    <t>727</t>
  </si>
  <si>
    <t>820x28</t>
  </si>
  <si>
    <t>546.88</t>
  </si>
  <si>
    <t>728</t>
  </si>
  <si>
    <t>820x29</t>
  </si>
  <si>
    <t>565.69</t>
  </si>
  <si>
    <t>729</t>
  </si>
  <si>
    <t>820x30</t>
  </si>
  <si>
    <t>584.46</t>
  </si>
  <si>
    <t>730</t>
  </si>
  <si>
    <t>920x7</t>
  </si>
  <si>
    <t>157.61</t>
  </si>
  <si>
    <t>920</t>
  </si>
  <si>
    <t>731</t>
  </si>
  <si>
    <t>920x8</t>
  </si>
  <si>
    <t>179.93</t>
  </si>
  <si>
    <t>732</t>
  </si>
  <si>
    <t>920x9</t>
  </si>
  <si>
    <t>202.19</t>
  </si>
  <si>
    <t>733</t>
  </si>
  <si>
    <t>920x10</t>
  </si>
  <si>
    <t>224.41</t>
  </si>
  <si>
    <t>734</t>
  </si>
  <si>
    <t>920x11</t>
  </si>
  <si>
    <t>246.58</t>
  </si>
  <si>
    <t>735</t>
  </si>
  <si>
    <t>920x12</t>
  </si>
  <si>
    <t>268.7</t>
  </si>
  <si>
    <t>736</t>
  </si>
  <si>
    <t>920x13</t>
  </si>
  <si>
    <t>290.78</t>
  </si>
  <si>
    <t>737</t>
  </si>
  <si>
    <t>920x14</t>
  </si>
  <si>
    <t>312.8</t>
  </si>
  <si>
    <t>738</t>
  </si>
  <si>
    <t>920x16</t>
  </si>
  <si>
    <t>356.69</t>
  </si>
  <si>
    <t>739</t>
  </si>
  <si>
    <t>920x17</t>
  </si>
  <si>
    <t>378.57</t>
  </si>
  <si>
    <t>740</t>
  </si>
  <si>
    <t>920x17.5</t>
  </si>
  <si>
    <t>389.49</t>
  </si>
  <si>
    <t>741</t>
  </si>
  <si>
    <t>920x18</t>
  </si>
  <si>
    <t>400.39</t>
  </si>
  <si>
    <t>742</t>
  </si>
  <si>
    <t>920x19</t>
  </si>
  <si>
    <t>422.17</t>
  </si>
  <si>
    <t>743</t>
  </si>
  <si>
    <t>920x20</t>
  </si>
  <si>
    <t>443.89</t>
  </si>
  <si>
    <t>744</t>
  </si>
  <si>
    <t>1020x8</t>
  </si>
  <si>
    <t>199.65</t>
  </si>
  <si>
    <t>1020</t>
  </si>
  <si>
    <t>745</t>
  </si>
  <si>
    <t>1020x9</t>
  </si>
  <si>
    <t>224.39</t>
  </si>
  <si>
    <t>746</t>
  </si>
  <si>
    <t>1020x10</t>
  </si>
  <si>
    <t>249.07</t>
  </si>
  <si>
    <t>747</t>
  </si>
  <si>
    <t>1020x11</t>
  </si>
  <si>
    <t>273.71</t>
  </si>
  <si>
    <t>748</t>
  </si>
  <si>
    <t>1020x12</t>
  </si>
  <si>
    <t>298.3</t>
  </si>
  <si>
    <t>749</t>
  </si>
  <si>
    <t>1020x13</t>
  </si>
  <si>
    <t>750</t>
  </si>
  <si>
    <t>1020x14</t>
  </si>
  <si>
    <t>347.32</t>
  </si>
  <si>
    <t>751</t>
  </si>
  <si>
    <t>1020x16</t>
  </si>
  <si>
    <t>396.15</t>
  </si>
  <si>
    <t>752</t>
  </si>
  <si>
    <t>1020x17</t>
  </si>
  <si>
    <t>420.49</t>
  </si>
  <si>
    <t>753</t>
  </si>
  <si>
    <t>1020x17.5</t>
  </si>
  <si>
    <t>432.64</t>
  </si>
  <si>
    <t>754</t>
  </si>
  <si>
    <t>1020x18</t>
  </si>
  <si>
    <t>444.78</t>
  </si>
  <si>
    <t>755</t>
  </si>
  <si>
    <t>1020x19</t>
  </si>
  <si>
    <t>469.02</t>
  </si>
  <si>
    <t>756</t>
  </si>
  <si>
    <t>1020x20</t>
  </si>
  <si>
    <t>493.22</t>
  </si>
  <si>
    <t>757</t>
  </si>
  <si>
    <t>1020x21</t>
  </si>
  <si>
    <t>517.36</t>
  </si>
  <si>
    <t>758</t>
  </si>
  <si>
    <t>1020x22</t>
  </si>
  <si>
    <t>541.45</t>
  </si>
  <si>
    <t>759</t>
  </si>
  <si>
    <t>1020x23</t>
  </si>
  <si>
    <t>565.5</t>
  </si>
  <si>
    <t>760</t>
  </si>
  <si>
    <t>1020x24</t>
  </si>
  <si>
    <t>589.49</t>
  </si>
  <si>
    <t>761</t>
  </si>
  <si>
    <t>1020x25</t>
  </si>
  <si>
    <t>613.44</t>
  </si>
  <si>
    <t>762</t>
  </si>
  <si>
    <t>1020x26</t>
  </si>
  <si>
    <t>637.33</t>
  </si>
  <si>
    <t>763</t>
  </si>
  <si>
    <t>1020x27</t>
  </si>
  <si>
    <t>661.18</t>
  </si>
  <si>
    <t>764</t>
  </si>
  <si>
    <t>1020x28</t>
  </si>
  <si>
    <t>684.98</t>
  </si>
  <si>
    <t>765</t>
  </si>
  <si>
    <t>1020x29</t>
  </si>
  <si>
    <t>708.73</t>
  </si>
  <si>
    <t>766</t>
  </si>
  <si>
    <t>1020x30</t>
  </si>
  <si>
    <t>732.43</t>
  </si>
  <si>
    <t>767</t>
  </si>
  <si>
    <t>1020x31</t>
  </si>
  <si>
    <t>756.07</t>
  </si>
  <si>
    <t>768</t>
  </si>
  <si>
    <t>1020x32</t>
  </si>
  <si>
    <t>779.68</t>
  </si>
  <si>
    <t>769</t>
  </si>
  <si>
    <t>1120x8</t>
  </si>
  <si>
    <t>219.38</t>
  </si>
  <si>
    <t>1120</t>
  </si>
  <si>
    <t>770</t>
  </si>
  <si>
    <t>1120x9</t>
  </si>
  <si>
    <t>771</t>
  </si>
  <si>
    <t>1120x10</t>
  </si>
  <si>
    <t>273.73</t>
  </si>
  <si>
    <t>772</t>
  </si>
  <si>
    <t>1120x11</t>
  </si>
  <si>
    <t>300.84</t>
  </si>
  <si>
    <t>773</t>
  </si>
  <si>
    <t>1120x12</t>
  </si>
  <si>
    <t>327.89</t>
  </si>
  <si>
    <t>774</t>
  </si>
  <si>
    <t>1120x13</t>
  </si>
  <si>
    <t>354.89</t>
  </si>
  <si>
    <t>775</t>
  </si>
  <si>
    <t>1120x14</t>
  </si>
  <si>
    <t>381.85</t>
  </si>
  <si>
    <t>776</t>
  </si>
  <si>
    <t>1120x16</t>
  </si>
  <si>
    <t>435.61</t>
  </si>
  <si>
    <t>777</t>
  </si>
  <si>
    <t>1120x17</t>
  </si>
  <si>
    <t>462.41</t>
  </si>
  <si>
    <t>778</t>
  </si>
  <si>
    <t>1120x17.5</t>
  </si>
  <si>
    <t>475.8</t>
  </si>
  <si>
    <t>779</t>
  </si>
  <si>
    <t>1120x18</t>
  </si>
  <si>
    <t>489.17</t>
  </si>
  <si>
    <t>780</t>
  </si>
  <si>
    <t>1120x19</t>
  </si>
  <si>
    <t>515.88</t>
  </si>
  <si>
    <t>781</t>
  </si>
  <si>
    <t>1120x20</t>
  </si>
  <si>
    <t>542.54</t>
  </si>
  <si>
    <t>782</t>
  </si>
  <si>
    <t>1220x9</t>
  </si>
  <si>
    <t>268.78</t>
  </si>
  <si>
    <t>1220</t>
  </si>
  <si>
    <t>783</t>
  </si>
  <si>
    <t>1220x10</t>
  </si>
  <si>
    <t>298.4</t>
  </si>
  <si>
    <t>784</t>
  </si>
  <si>
    <t>1220x11</t>
  </si>
  <si>
    <t>327.96</t>
  </si>
  <si>
    <t>785</t>
  </si>
  <si>
    <t>1220x12</t>
  </si>
  <si>
    <t>357.48</t>
  </si>
  <si>
    <t>786</t>
  </si>
  <si>
    <t>1220x13</t>
  </si>
  <si>
    <t>386.95</t>
  </si>
  <si>
    <t>787</t>
  </si>
  <si>
    <t>1220x14</t>
  </si>
  <si>
    <t>416.37</t>
  </si>
  <si>
    <t>788</t>
  </si>
  <si>
    <t>1220x16</t>
  </si>
  <si>
    <t>475.07</t>
  </si>
  <si>
    <t>789</t>
  </si>
  <si>
    <t>1220x17</t>
  </si>
  <si>
    <t>504.34</t>
  </si>
  <si>
    <t>790</t>
  </si>
  <si>
    <t>1220x17.5</t>
  </si>
  <si>
    <t>518.96</t>
  </si>
  <si>
    <t>791</t>
  </si>
  <si>
    <t>1220x18</t>
  </si>
  <si>
    <t>533.56</t>
  </si>
  <si>
    <t>792</t>
  </si>
  <si>
    <t>1220x19</t>
  </si>
  <si>
    <t>562.73</t>
  </si>
  <si>
    <t>793</t>
  </si>
  <si>
    <t>1220x20</t>
  </si>
  <si>
    <t>591.86</t>
  </si>
  <si>
    <t>794</t>
  </si>
  <si>
    <t>1420x10</t>
  </si>
  <si>
    <t>347.72</t>
  </si>
  <si>
    <t>1420</t>
  </si>
  <si>
    <t>795</t>
  </si>
  <si>
    <t>1420x11</t>
  </si>
  <si>
    <t>382.22</t>
  </si>
  <si>
    <t>796</t>
  </si>
  <si>
    <t>1420x12</t>
  </si>
  <si>
    <t>416.67</t>
  </si>
  <si>
    <t>797</t>
  </si>
  <si>
    <t>1420x13</t>
  </si>
  <si>
    <t>451.07</t>
  </si>
  <si>
    <t>798</t>
  </si>
  <si>
    <t>1420x14</t>
  </si>
  <si>
    <t>485.42</t>
  </si>
  <si>
    <t>799</t>
  </si>
  <si>
    <t>1420x16</t>
  </si>
  <si>
    <t>553.98</t>
  </si>
  <si>
    <t>800</t>
  </si>
  <si>
    <t>1420x17</t>
  </si>
  <si>
    <t>588.18</t>
  </si>
  <si>
    <t>801</t>
  </si>
  <si>
    <t>1420x17.5</t>
  </si>
  <si>
    <t>605.27</t>
  </si>
  <si>
    <t>802</t>
  </si>
  <si>
    <t>1420x18</t>
  </si>
  <si>
    <t>622.34</t>
  </si>
  <si>
    <t>803</t>
  </si>
  <si>
    <t>1420x19</t>
  </si>
  <si>
    <t>656.45</t>
  </si>
  <si>
    <t>804</t>
  </si>
  <si>
    <t>1420x20</t>
  </si>
  <si>
    <t>690.5</t>
  </si>
  <si>
    <t>ГОСТ 10704-91</t>
  </si>
  <si>
    <t>Труба электросварная прямошовная</t>
  </si>
  <si>
    <t>Труба</t>
  </si>
  <si>
    <t>тр_к_10704</t>
  </si>
  <si>
    <t>-</t>
  </si>
  <si>
    <t>Условный проход</t>
  </si>
  <si>
    <t>Диаметр</t>
  </si>
  <si>
    <t>Толщина стенки</t>
  </si>
  <si>
    <t>Дюймы</t>
  </si>
  <si>
    <t>3/8</t>
  </si>
  <si>
    <t>1/2</t>
  </si>
  <si>
    <t>3/4</t>
  </si>
  <si>
    <t>1 1/4</t>
  </si>
  <si>
    <t>1 1/2</t>
  </si>
  <si>
    <t>2 1/2</t>
  </si>
  <si>
    <t>3 1/2</t>
  </si>
  <si>
    <t>0</t>
  </si>
  <si>
    <t>17.2</t>
  </si>
  <si>
    <t>26.9</t>
  </si>
  <si>
    <t>42.4</t>
  </si>
  <si>
    <t>60.3</t>
  </si>
  <si>
    <t>76.1</t>
  </si>
  <si>
    <t>88.9</t>
  </si>
  <si>
    <t>101.6</t>
  </si>
  <si>
    <t>114.3</t>
  </si>
  <si>
    <t>139.7</t>
  </si>
  <si>
    <t>168.3</t>
  </si>
  <si>
    <t>196.7</t>
  </si>
  <si>
    <t>219.1</t>
  </si>
  <si>
    <t>323.9</t>
  </si>
  <si>
    <t>609.6</t>
  </si>
  <si>
    <t>812.8</t>
  </si>
  <si>
    <t>1016</t>
  </si>
  <si>
    <t>1219.2</t>
  </si>
  <si>
    <t>1000</t>
  </si>
  <si>
    <t>1200</t>
  </si>
  <si>
    <t>26.8</t>
  </si>
  <si>
    <t>42.3</t>
  </si>
  <si>
    <t>75.5</t>
  </si>
  <si>
    <t>88.5</t>
  </si>
  <si>
    <t>101.3</t>
  </si>
  <si>
    <t>ду_ЭСБШ</t>
  </si>
  <si>
    <t>Тип</t>
  </si>
  <si>
    <t>Трубопроводы</t>
  </si>
  <si>
    <t>DN</t>
  </si>
  <si>
    <t>T</t>
  </si>
  <si>
    <t>D1</t>
  </si>
  <si>
    <t>F</t>
  </si>
  <si>
    <t>T1</t>
  </si>
  <si>
    <t>H</t>
  </si>
  <si>
    <t>ves</t>
  </si>
  <si>
    <t>8,8</t>
  </si>
  <si>
    <t>12,5</t>
  </si>
  <si>
    <t>трой_и2_17376</t>
  </si>
  <si>
    <t>отвод_и2_17375</t>
  </si>
  <si>
    <t>L</t>
  </si>
  <si>
    <t>переход_и2_17378</t>
  </si>
  <si>
    <t>Нержавейка</t>
  </si>
  <si>
    <t>5,5</t>
  </si>
  <si>
    <t>0,2</t>
  </si>
  <si>
    <t>0,3</t>
  </si>
  <si>
    <t>0,4</t>
  </si>
  <si>
    <t>2,5</t>
  </si>
  <si>
    <t>0,6</t>
  </si>
  <si>
    <t>0,7</t>
  </si>
  <si>
    <t>3,5</t>
  </si>
  <si>
    <t>0,8</t>
  </si>
  <si>
    <t>1,4</t>
  </si>
  <si>
    <t>1,6</t>
  </si>
  <si>
    <t>1,5</t>
  </si>
  <si>
    <t>2,7</t>
  </si>
  <si>
    <t>2,2</t>
  </si>
  <si>
    <t>3,3</t>
  </si>
  <si>
    <t>4,5</t>
  </si>
  <si>
    <t>4,9</t>
  </si>
  <si>
    <t>3,7</t>
  </si>
  <si>
    <t>4,4</t>
  </si>
  <si>
    <t>6,5</t>
  </si>
  <si>
    <t>2,9</t>
  </si>
  <si>
    <t>4,1</t>
  </si>
  <si>
    <t>5,9</t>
  </si>
  <si>
    <t>6,8</t>
  </si>
  <si>
    <t>4,8</t>
  </si>
  <si>
    <t>6,6</t>
  </si>
  <si>
    <t>10,1</t>
  </si>
  <si>
    <t>12,2</t>
  </si>
  <si>
    <t>10,2</t>
  </si>
  <si>
    <t>13,8</t>
  </si>
  <si>
    <t>16,8</t>
  </si>
  <si>
    <t>19,9</t>
  </si>
  <si>
    <t>26,6</t>
  </si>
  <si>
    <t>18,4</t>
  </si>
  <si>
    <t>31,2</t>
  </si>
  <si>
    <t>41,6</t>
  </si>
  <si>
    <t>46,8</t>
  </si>
  <si>
    <t>27,4</t>
  </si>
  <si>
    <t>34,2</t>
  </si>
  <si>
    <t>41,1</t>
  </si>
  <si>
    <t>54,8</t>
  </si>
  <si>
    <t>75,3</t>
  </si>
  <si>
    <t>55,2</t>
  </si>
  <si>
    <t>73,6</t>
  </si>
  <si>
    <t>55,5</t>
  </si>
  <si>
    <t>66,6</t>
  </si>
  <si>
    <t>88,8</t>
  </si>
  <si>
    <t>0,1</t>
  </si>
  <si>
    <t>0,5</t>
  </si>
  <si>
    <t>0,9</t>
  </si>
  <si>
    <t>1,1</t>
  </si>
  <si>
    <t>1,3</t>
  </si>
  <si>
    <t>1,7</t>
  </si>
  <si>
    <t>1,2</t>
  </si>
  <si>
    <t>1,9</t>
  </si>
  <si>
    <t>2,1</t>
  </si>
  <si>
    <t>2,3</t>
  </si>
  <si>
    <t>2,4</t>
  </si>
  <si>
    <t>2,6</t>
  </si>
  <si>
    <t>3,4</t>
  </si>
  <si>
    <t>3,9</t>
  </si>
  <si>
    <t>2,8</t>
  </si>
  <si>
    <t>3,1</t>
  </si>
  <si>
    <t>3,6</t>
  </si>
  <si>
    <t>4,7</t>
  </si>
  <si>
    <t>5,3</t>
  </si>
  <si>
    <t>5,8</t>
  </si>
  <si>
    <t>3,8</t>
  </si>
  <si>
    <t>5,7</t>
  </si>
  <si>
    <t>6,1</t>
  </si>
  <si>
    <t>4,3</t>
  </si>
  <si>
    <t>7,4</t>
  </si>
  <si>
    <t>8,2</t>
  </si>
  <si>
    <t>9,1</t>
  </si>
  <si>
    <t>5,4</t>
  </si>
  <si>
    <t>6,7</t>
  </si>
  <si>
    <t>8,1</t>
  </si>
  <si>
    <t>9,4</t>
  </si>
  <si>
    <t>5,6</t>
  </si>
  <si>
    <t>6,4</t>
  </si>
  <si>
    <t>7,1</t>
  </si>
  <si>
    <t>8,5</t>
  </si>
  <si>
    <t>9,8</t>
  </si>
  <si>
    <t>11,2</t>
  </si>
  <si>
    <t>17,5</t>
  </si>
  <si>
    <t>1,8</t>
  </si>
  <si>
    <t>3,2</t>
  </si>
  <si>
    <t>10,0</t>
  </si>
  <si>
    <t>5,1</t>
  </si>
  <si>
    <t>6,2</t>
  </si>
  <si>
    <t>4,6</t>
  </si>
  <si>
    <t>7,3</t>
  </si>
  <si>
    <t>7,2</t>
  </si>
  <si>
    <t>8,3</t>
  </si>
  <si>
    <t>r</t>
  </si>
  <si>
    <t>116**</t>
  </si>
  <si>
    <t>170**</t>
  </si>
  <si>
    <t>,кгс/см</t>
  </si>
  <si>
    <t>Номинальныйдиаметрболтовилишпилек</t>
  </si>
  <si>
    <t>Ряд1</t>
  </si>
  <si>
    <t>154161170**</t>
  </si>
  <si>
    <t>0,25</t>
  </si>
  <si>
    <t>0,31</t>
  </si>
  <si>
    <t>0,46</t>
  </si>
  <si>
    <t>0,54</t>
  </si>
  <si>
    <t>0,64</t>
  </si>
  <si>
    <t>0,29</t>
  </si>
  <si>
    <t>0,52</t>
  </si>
  <si>
    <t>0,61</t>
  </si>
  <si>
    <t>0,69</t>
  </si>
  <si>
    <t>0,34</t>
  </si>
  <si>
    <t>1,03</t>
  </si>
  <si>
    <t>0,33</t>
  </si>
  <si>
    <t>0,51</t>
  </si>
  <si>
    <t>0,71</t>
  </si>
  <si>
    <t>0,58</t>
  </si>
  <si>
    <t>0,67</t>
  </si>
  <si>
    <t>0,77</t>
  </si>
  <si>
    <t>0,68</t>
  </si>
  <si>
    <t>1,15</t>
  </si>
  <si>
    <t>0,45</t>
  </si>
  <si>
    <t>0,53</t>
  </si>
  <si>
    <t>0,75</t>
  </si>
  <si>
    <t>0,86</t>
  </si>
  <si>
    <t>0,98</t>
  </si>
  <si>
    <t>0,41</t>
  </si>
  <si>
    <t>0,82</t>
  </si>
  <si>
    <t>0,93</t>
  </si>
  <si>
    <t>1,05</t>
  </si>
  <si>
    <t>0,87</t>
  </si>
  <si>
    <t>0,99</t>
  </si>
  <si>
    <t>1,81</t>
  </si>
  <si>
    <t>2,54</t>
  </si>
  <si>
    <t>0,55</t>
  </si>
  <si>
    <t>0,89</t>
  </si>
  <si>
    <t>1,17</t>
  </si>
  <si>
    <t>0,96</t>
  </si>
  <si>
    <t>1,24</t>
  </si>
  <si>
    <t>1,19</t>
  </si>
  <si>
    <t>0,79</t>
  </si>
  <si>
    <t>1,02</t>
  </si>
  <si>
    <t>1,58</t>
  </si>
  <si>
    <t>1,77</t>
  </si>
  <si>
    <t>1,49</t>
  </si>
  <si>
    <t>1,68</t>
  </si>
  <si>
    <t>1,87</t>
  </si>
  <si>
    <t>0,78</t>
  </si>
  <si>
    <t>1,54</t>
  </si>
  <si>
    <t>1,85</t>
  </si>
  <si>
    <t>2,94</t>
  </si>
  <si>
    <t>0,95</t>
  </si>
  <si>
    <t>1,21</t>
  </si>
  <si>
    <t>1,72</t>
  </si>
  <si>
    <t>1,96</t>
  </si>
  <si>
    <t>2,18</t>
  </si>
  <si>
    <t>1,01</t>
  </si>
  <si>
    <t>1,92</t>
  </si>
  <si>
    <t>2,13</t>
  </si>
  <si>
    <t>2,35</t>
  </si>
  <si>
    <t>1,09</t>
  </si>
  <si>
    <t>1,36</t>
  </si>
  <si>
    <t>1,83</t>
  </si>
  <si>
    <t>2,19</t>
  </si>
  <si>
    <t>3,75</t>
  </si>
  <si>
    <t>1,04</t>
  </si>
  <si>
    <t>1,33</t>
  </si>
  <si>
    <t>2,06</t>
  </si>
  <si>
    <t>2,58</t>
  </si>
  <si>
    <t>1,11</t>
  </si>
  <si>
    <t>2,27</t>
  </si>
  <si>
    <t>2,79</t>
  </si>
  <si>
    <t>1,26</t>
  </si>
  <si>
    <t>1,53</t>
  </si>
  <si>
    <t>2,26</t>
  </si>
  <si>
    <t>2,28</t>
  </si>
  <si>
    <t>2,78</t>
  </si>
  <si>
    <t>2,81</t>
  </si>
  <si>
    <t>4,63</t>
  </si>
  <si>
    <t>11,3</t>
  </si>
  <si>
    <t>1,39</t>
  </si>
  <si>
    <t>1,63</t>
  </si>
  <si>
    <t>3,42</t>
  </si>
  <si>
    <t>3,22</t>
  </si>
  <si>
    <t>1,55</t>
  </si>
  <si>
    <t>3,01</t>
  </si>
  <si>
    <t>3,31</t>
  </si>
  <si>
    <t>3,43</t>
  </si>
  <si>
    <t>1,62</t>
  </si>
  <si>
    <t>3,17</t>
  </si>
  <si>
    <t>3,19</t>
  </si>
  <si>
    <t>3,71</t>
  </si>
  <si>
    <t>3,72</t>
  </si>
  <si>
    <t>6,3</t>
  </si>
  <si>
    <t>1,84</t>
  </si>
  <si>
    <t>2,44</t>
  </si>
  <si>
    <t>4,06</t>
  </si>
  <si>
    <t>2,05</t>
  </si>
  <si>
    <t>3,77</t>
  </si>
  <si>
    <t>4,11</t>
  </si>
  <si>
    <t>4,25</t>
  </si>
  <si>
    <t>2,43</t>
  </si>
  <si>
    <t>2,76</t>
  </si>
  <si>
    <t>3,67</t>
  </si>
  <si>
    <t>4,21</t>
  </si>
  <si>
    <t>4,48</t>
  </si>
  <si>
    <t>4,81</t>
  </si>
  <si>
    <t>7,22</t>
  </si>
  <si>
    <t>10,5</t>
  </si>
  <si>
    <t>2,14</t>
  </si>
  <si>
    <t>2,85</t>
  </si>
  <si>
    <t>3,96</t>
  </si>
  <si>
    <t>4,73</t>
  </si>
  <si>
    <t>5,92</t>
  </si>
  <si>
    <t>2,38</t>
  </si>
  <si>
    <t>4,55</t>
  </si>
  <si>
    <t>4,93</t>
  </si>
  <si>
    <t>6,19</t>
  </si>
  <si>
    <t>2,98</t>
  </si>
  <si>
    <t>3,35</t>
  </si>
  <si>
    <t>6,58</t>
  </si>
  <si>
    <t>10,7</t>
  </si>
  <si>
    <t>3,88</t>
  </si>
  <si>
    <t>6,38</t>
  </si>
  <si>
    <t>8,26</t>
  </si>
  <si>
    <t>2,84</t>
  </si>
  <si>
    <t>6,09</t>
  </si>
  <si>
    <t>6,56</t>
  </si>
  <si>
    <t>8,82</t>
  </si>
  <si>
    <t>4,66</t>
  </si>
  <si>
    <t>6,76</t>
  </si>
  <si>
    <t>9,45</t>
  </si>
  <si>
    <t>17,1</t>
  </si>
  <si>
    <t>3,62</t>
  </si>
  <si>
    <t>4,65</t>
  </si>
  <si>
    <t>6,97</t>
  </si>
  <si>
    <t>3,94</t>
  </si>
  <si>
    <t>7,86</t>
  </si>
  <si>
    <t>8,48</t>
  </si>
  <si>
    <t>10,9</t>
  </si>
  <si>
    <t>5,22</t>
  </si>
  <si>
    <t>5,85</t>
  </si>
  <si>
    <t>8,9</t>
  </si>
  <si>
    <t>12,6</t>
  </si>
  <si>
    <t>13,2</t>
  </si>
  <si>
    <t>25,4</t>
  </si>
  <si>
    <t>90,9</t>
  </si>
  <si>
    <t>8,05</t>
  </si>
  <si>
    <t>13,3</t>
  </si>
  <si>
    <t>9,02</t>
  </si>
  <si>
    <t>9,36</t>
  </si>
  <si>
    <t>6,92</t>
  </si>
  <si>
    <t>9,35</t>
  </si>
  <si>
    <t>11,4</t>
  </si>
  <si>
    <t>11,8</t>
  </si>
  <si>
    <t>17,4</t>
  </si>
  <si>
    <t>24,4</t>
  </si>
  <si>
    <t>38,5</t>
  </si>
  <si>
    <t>6,95</t>
  </si>
  <si>
    <t>7,7</t>
  </si>
  <si>
    <t>14,5</t>
  </si>
  <si>
    <t>18,9</t>
  </si>
  <si>
    <t>13,9</t>
  </si>
  <si>
    <t>17,7</t>
  </si>
  <si>
    <t>9,88</t>
  </si>
  <si>
    <t>12,3</t>
  </si>
  <si>
    <t>14,6</t>
  </si>
  <si>
    <t>25,7</t>
  </si>
  <si>
    <t>37,6</t>
  </si>
  <si>
    <t>53,8</t>
  </si>
  <si>
    <t>9,33</t>
  </si>
  <si>
    <t>10,3</t>
  </si>
  <si>
    <t>12,9</t>
  </si>
  <si>
    <t>17,8</t>
  </si>
  <si>
    <t>10,35</t>
  </si>
  <si>
    <t>17,9</t>
  </si>
  <si>
    <t>22,8</t>
  </si>
  <si>
    <t>13,4</t>
  </si>
  <si>
    <t>14,8</t>
  </si>
  <si>
    <t>19,3</t>
  </si>
  <si>
    <t>33,3</t>
  </si>
  <si>
    <t>57,1</t>
  </si>
  <si>
    <t>74,6</t>
  </si>
  <si>
    <t>10,45</t>
  </si>
  <si>
    <t>15,9</t>
  </si>
  <si>
    <t>22,9</t>
  </si>
  <si>
    <t>34,6</t>
  </si>
  <si>
    <t>13,5</t>
  </si>
  <si>
    <t>31,7</t>
  </si>
  <si>
    <t>18,65</t>
  </si>
  <si>
    <t>24,7</t>
  </si>
  <si>
    <t>33,1</t>
  </si>
  <si>
    <t>46,6</t>
  </si>
  <si>
    <t>70,3</t>
  </si>
  <si>
    <t>11,6</t>
  </si>
  <si>
    <t>15,2</t>
  </si>
  <si>
    <t>21,6</t>
  </si>
  <si>
    <t>44,6</t>
  </si>
  <si>
    <t>29,1</t>
  </si>
  <si>
    <t>42,5</t>
  </si>
  <si>
    <t>18,6</t>
  </si>
  <si>
    <t>20,6</t>
  </si>
  <si>
    <t>64,8</t>
  </si>
  <si>
    <t>17,3</t>
  </si>
  <si>
    <t>39,6</t>
  </si>
  <si>
    <t>51,8</t>
  </si>
  <si>
    <t>25,6</t>
  </si>
  <si>
    <t>35,3</t>
  </si>
  <si>
    <t>48,2</t>
  </si>
  <si>
    <t>23,7</t>
  </si>
  <si>
    <t>23,6</t>
  </si>
  <si>
    <t>34,7</t>
  </si>
  <si>
    <t>72,3</t>
  </si>
  <si>
    <t>19,7</t>
  </si>
  <si>
    <t>67,3</t>
  </si>
  <si>
    <t>49,3</t>
  </si>
  <si>
    <t>64,6</t>
  </si>
  <si>
    <t>26,8</t>
  </si>
  <si>
    <t>132,3</t>
  </si>
  <si>
    <t>21,4</t>
  </si>
  <si>
    <t>26,2</t>
  </si>
  <si>
    <t>39,4</t>
  </si>
  <si>
    <t>35,8</t>
  </si>
  <si>
    <t>99,3</t>
  </si>
  <si>
    <t>29,2</t>
  </si>
  <si>
    <t>36,7</t>
  </si>
  <si>
    <t>59,5</t>
  </si>
  <si>
    <t>84,2</t>
  </si>
  <si>
    <t>44,3</t>
  </si>
  <si>
    <t>65,3</t>
  </si>
  <si>
    <t>36,6</t>
  </si>
  <si>
    <t>46,1</t>
  </si>
  <si>
    <t>79,2</t>
  </si>
  <si>
    <t>104,4</t>
  </si>
  <si>
    <t>181,4</t>
  </si>
  <si>
    <t>56,2</t>
  </si>
  <si>
    <t>87,2</t>
  </si>
  <si>
    <t>367,4</t>
  </si>
  <si>
    <t>44,2</t>
  </si>
  <si>
    <t>55,1</t>
  </si>
  <si>
    <t>94,1</t>
  </si>
  <si>
    <t>66,4</t>
  </si>
  <si>
    <t>66,8</t>
  </si>
  <si>
    <t>52,6</t>
  </si>
  <si>
    <t>64,4</t>
  </si>
  <si>
    <t>118,4</t>
  </si>
  <si>
    <t>179,4</t>
  </si>
  <si>
    <t>73,4</t>
  </si>
  <si>
    <t>73,5</t>
  </si>
  <si>
    <t>62,4</t>
  </si>
  <si>
    <t>197,4</t>
  </si>
  <si>
    <t>92,9</t>
  </si>
  <si>
    <t>77,6</t>
  </si>
  <si>
    <t>161,5</t>
  </si>
  <si>
    <t>94,3</t>
  </si>
  <si>
    <t>PN</t>
  </si>
  <si>
    <t>ТИП</t>
  </si>
  <si>
    <t>Внутренний диаметр flange_dnf</t>
  </si>
  <si>
    <t>Толщина flange_t</t>
  </si>
  <si>
    <t>Наружный диаметр</t>
  </si>
  <si>
    <t>Диаметр оси болтов</t>
  </si>
  <si>
    <t>Количество болтов</t>
  </si>
  <si>
    <t>Диаметр болтов</t>
  </si>
  <si>
    <t>фл_т1_33259</t>
  </si>
  <si>
    <t>1400</t>
  </si>
  <si>
    <t>ду_09Г2С</t>
  </si>
  <si>
    <t>Условныйпроход</t>
  </si>
  <si>
    <t>Толщинастенки</t>
  </si>
  <si>
    <t>2,59</t>
  </si>
  <si>
    <t>3,11</t>
  </si>
  <si>
    <t>8,39</t>
  </si>
  <si>
    <t>10,26</t>
  </si>
  <si>
    <t>15,78</t>
  </si>
  <si>
    <t>18,99</t>
  </si>
  <si>
    <t>31,52</t>
  </si>
  <si>
    <t>52,28</t>
  </si>
  <si>
    <t>62,54</t>
  </si>
  <si>
    <t>81,68</t>
  </si>
  <si>
    <t>92,56</t>
  </si>
  <si>
    <t>115,64</t>
  </si>
  <si>
    <t>152,9</t>
  </si>
  <si>
    <t>175,09</t>
  </si>
  <si>
    <t>199,75</t>
  </si>
  <si>
    <t>298,29</t>
  </si>
  <si>
    <t>357,47</t>
  </si>
  <si>
    <t>485,41</t>
  </si>
  <si>
    <t>Давление</t>
  </si>
  <si>
    <t>Диаметрюбки</t>
  </si>
  <si>
    <t>Внутреннийдиаметр</t>
  </si>
  <si>
    <t>Толщинафланца</t>
  </si>
  <si>
    <t>НаружныйдиаметрD</t>
  </si>
  <si>
    <t>ДиаметросиболтовD1</t>
  </si>
  <si>
    <t>Кол-воболтов</t>
  </si>
  <si>
    <t>Диаметрболтов</t>
  </si>
  <si>
    <t>Длинаюбки</t>
  </si>
  <si>
    <t>фл_т11_33259</t>
  </si>
  <si>
    <t>фл_т2_33259</t>
  </si>
  <si>
    <t>фл_вес</t>
  </si>
  <si>
    <t>Диаметркольца</t>
  </si>
  <si>
    <t>Толщинакольца</t>
  </si>
  <si>
    <t>16,4</t>
  </si>
  <si>
    <t>12,7</t>
  </si>
  <si>
    <t>ду_PVC-U</t>
  </si>
  <si>
    <t>PVC-U</t>
  </si>
  <si>
    <t>28,5</t>
  </si>
  <si>
    <t>22,5</t>
  </si>
  <si>
    <t>23,5</t>
  </si>
  <si>
    <t>Диаметр приварной части</t>
  </si>
  <si>
    <t>Длина приварной части</t>
  </si>
  <si>
    <t>5,2</t>
  </si>
  <si>
    <t>7,5</t>
  </si>
  <si>
    <t>8,4</t>
  </si>
  <si>
    <t>9,9</t>
  </si>
  <si>
    <t>10,8</t>
  </si>
  <si>
    <t>12,4</t>
  </si>
  <si>
    <t>11,5</t>
  </si>
  <si>
    <t>14,3</t>
  </si>
  <si>
    <t>16,7</t>
  </si>
  <si>
    <t>20,3</t>
  </si>
  <si>
    <t>21,5</t>
  </si>
  <si>
    <t>25,1</t>
  </si>
  <si>
    <t>29,7</t>
  </si>
  <si>
    <t>30,4</t>
  </si>
  <si>
    <t>31,3</t>
  </si>
  <si>
    <t>40,6</t>
  </si>
  <si>
    <t>40,2</t>
  </si>
  <si>
    <t>40,4</t>
  </si>
  <si>
    <t>41,4</t>
  </si>
  <si>
    <t>55,3</t>
  </si>
  <si>
    <t>41,8</t>
  </si>
  <si>
    <t>43,4</t>
  </si>
  <si>
    <t>66,2</t>
  </si>
  <si>
    <t>39,8</t>
  </si>
  <si>
    <t>53,9</t>
  </si>
  <si>
    <t>54,1</t>
  </si>
  <si>
    <t>82,7</t>
  </si>
  <si>
    <t>140,6</t>
  </si>
  <si>
    <t>169,8</t>
  </si>
  <si>
    <t>66,7</t>
  </si>
  <si>
    <t>48,9</t>
  </si>
  <si>
    <t>65,1</t>
  </si>
  <si>
    <t>65,2</t>
  </si>
  <si>
    <t>81,2</t>
  </si>
  <si>
    <t>82,4</t>
  </si>
  <si>
    <t>101,4</t>
  </si>
  <si>
    <t>102,9</t>
  </si>
  <si>
    <t>76,2</t>
  </si>
  <si>
    <t>60,2</t>
  </si>
  <si>
    <t>129,7</t>
  </si>
  <si>
    <t>103,3</t>
  </si>
  <si>
    <t>71,3</t>
  </si>
  <si>
    <t>134,6</t>
  </si>
  <si>
    <t>103,4</t>
  </si>
  <si>
    <t>70,8</t>
  </si>
  <si>
    <t>71,8</t>
  </si>
  <si>
    <t>86,9</t>
  </si>
  <si>
    <t>91,8</t>
  </si>
  <si>
    <t>107,2</t>
  </si>
  <si>
    <t>103,1</t>
  </si>
  <si>
    <t>129,3</t>
  </si>
  <si>
    <t>104,9</t>
  </si>
  <si>
    <t>106,6</t>
  </si>
  <si>
    <t>94,5</t>
  </si>
  <si>
    <t>95,3</t>
  </si>
  <si>
    <t>150,5</t>
  </si>
  <si>
    <t>156,5</t>
  </si>
  <si>
    <t>132,8</t>
  </si>
  <si>
    <t>180,8</t>
  </si>
  <si>
    <t>153,3</t>
  </si>
  <si>
    <t>208,4</t>
  </si>
  <si>
    <t>157,9</t>
  </si>
  <si>
    <t>128,8</t>
  </si>
  <si>
    <t>115,9</t>
  </si>
  <si>
    <t>116,9</t>
  </si>
  <si>
    <t>119,6</t>
  </si>
  <si>
    <t>185,2</t>
  </si>
  <si>
    <t>148,4</t>
  </si>
  <si>
    <t>125,6</t>
  </si>
  <si>
    <t>188,2</t>
  </si>
  <si>
    <t>195,6</t>
  </si>
  <si>
    <t>149,7</t>
  </si>
  <si>
    <t>279,4</t>
  </si>
  <si>
    <t>182,2</t>
  </si>
  <si>
    <t>281,8</t>
  </si>
  <si>
    <t>218,4</t>
  </si>
  <si>
    <t>297,9</t>
  </si>
  <si>
    <t>230,9</t>
  </si>
  <si>
    <t>172,5</t>
  </si>
  <si>
    <t>214,2</t>
  </si>
  <si>
    <t>137,4</t>
  </si>
  <si>
    <t>217,6</t>
  </si>
  <si>
    <t>171,4</t>
  </si>
  <si>
    <t>266,6</t>
  </si>
  <si>
    <t>168,8</t>
  </si>
  <si>
    <t>354,7</t>
  </si>
  <si>
    <t>365,4</t>
  </si>
  <si>
    <t>230,2</t>
  </si>
  <si>
    <t>296,1</t>
  </si>
  <si>
    <t>239,7</t>
  </si>
  <si>
    <t>477,3</t>
  </si>
  <si>
    <t>376,8</t>
  </si>
  <si>
    <t>252,3</t>
  </si>
  <si>
    <t>333,8</t>
  </si>
  <si>
    <t>261,9</t>
  </si>
  <si>
    <t>332,6</t>
  </si>
  <si>
    <t>260,7</t>
  </si>
  <si>
    <t>336,1</t>
  </si>
  <si>
    <t>342,5</t>
  </si>
  <si>
    <t>263,2</t>
  </si>
  <si>
    <t>456,1</t>
  </si>
  <si>
    <t>349,6</t>
  </si>
  <si>
    <t>530,5</t>
  </si>
  <si>
    <t>353,9</t>
  </si>
  <si>
    <t>343,2</t>
  </si>
  <si>
    <t>548,4</t>
  </si>
  <si>
    <t>438,4</t>
  </si>
  <si>
    <t>676,7</t>
  </si>
  <si>
    <t>530,6</t>
  </si>
  <si>
    <t>415,4</t>
  </si>
  <si>
    <t>735,8</t>
  </si>
  <si>
    <t>537,4</t>
  </si>
  <si>
    <t>418,8</t>
  </si>
  <si>
    <t>453,2</t>
  </si>
  <si>
    <t>356,8</t>
  </si>
  <si>
    <t>458,9</t>
  </si>
  <si>
    <t>358,1</t>
  </si>
  <si>
    <t>460,6</t>
  </si>
  <si>
    <t>355,2</t>
  </si>
  <si>
    <t>452,6</t>
  </si>
  <si>
    <t>356,3</t>
  </si>
  <si>
    <t>652,3</t>
  </si>
  <si>
    <t>422,9</t>
  </si>
  <si>
    <t>650,4</t>
  </si>
  <si>
    <t>522,8</t>
  </si>
  <si>
    <t>412,6</t>
  </si>
  <si>
    <t>535,8</t>
  </si>
  <si>
    <t>428,9</t>
  </si>
  <si>
    <t>884,6</t>
  </si>
  <si>
    <t>647,9</t>
  </si>
  <si>
    <t>901,9</t>
  </si>
  <si>
    <t>792,7</t>
  </si>
  <si>
    <t>490,6</t>
  </si>
  <si>
    <t>948,8</t>
  </si>
  <si>
    <t>717,4</t>
  </si>
  <si>
    <t>480,4</t>
  </si>
  <si>
    <t>420,9</t>
  </si>
  <si>
    <t>422,8</t>
  </si>
  <si>
    <t>414,1</t>
  </si>
  <si>
    <t>488,8</t>
  </si>
  <si>
    <t>487,1</t>
  </si>
  <si>
    <t>618,4</t>
  </si>
  <si>
    <t>481,3</t>
  </si>
  <si>
    <t>638,8</t>
  </si>
  <si>
    <t>487,7</t>
  </si>
  <si>
    <t>482,1</t>
  </si>
  <si>
    <t>587,8</t>
  </si>
  <si>
    <t>575,1</t>
  </si>
  <si>
    <t>878,5</t>
  </si>
  <si>
    <t>591,4</t>
  </si>
  <si>
    <t>1151,8</t>
  </si>
  <si>
    <t>899,5</t>
  </si>
  <si>
    <t>749,7</t>
  </si>
  <si>
    <t>1427,2</t>
  </si>
  <si>
    <t>1115,4</t>
  </si>
  <si>
    <t>871,3</t>
  </si>
  <si>
    <t>500,5</t>
  </si>
  <si>
    <t>570,7</t>
  </si>
  <si>
    <t>571,1</t>
  </si>
  <si>
    <t>644,7</t>
  </si>
  <si>
    <t>503,6</t>
  </si>
  <si>
    <t>652,6</t>
  </si>
  <si>
    <t>501,2</t>
  </si>
  <si>
    <t>714,2</t>
  </si>
  <si>
    <t>559,3</t>
  </si>
  <si>
    <t>558,5</t>
  </si>
  <si>
    <t>546,3</t>
  </si>
  <si>
    <t>834,9</t>
  </si>
  <si>
    <t>1038,3</t>
  </si>
  <si>
    <t>821,6</t>
  </si>
  <si>
    <t>652,7</t>
  </si>
  <si>
    <t>1044,3</t>
  </si>
  <si>
    <t>822,4</t>
  </si>
  <si>
    <t>1782,1</t>
  </si>
  <si>
    <t>1481,4</t>
  </si>
  <si>
    <t>988,4</t>
  </si>
  <si>
    <t>2174,7</t>
  </si>
  <si>
    <t>1763,4</t>
  </si>
  <si>
    <t>1221,9</t>
  </si>
  <si>
    <t>P</t>
  </si>
  <si>
    <t>4,0</t>
  </si>
  <si>
    <t>1,0</t>
  </si>
  <si>
    <t>1620</t>
  </si>
  <si>
    <t>трой_ОСТ_34_10_764_97</t>
  </si>
  <si>
    <t>ду_ВГ</t>
  </si>
  <si>
    <t>62,5</t>
  </si>
  <si>
    <t>53,3</t>
  </si>
  <si>
    <t>42,8</t>
  </si>
  <si>
    <t>31,4</t>
  </si>
  <si>
    <t>102,6</t>
  </si>
  <si>
    <t>90,1</t>
  </si>
  <si>
    <t>113,2</t>
  </si>
  <si>
    <t>101,7</t>
  </si>
  <si>
    <t>71,7</t>
  </si>
  <si>
    <t>47,3</t>
  </si>
  <si>
    <t>176,9</t>
  </si>
  <si>
    <t>140,7</t>
  </si>
  <si>
    <t>102,7</t>
  </si>
  <si>
    <t>56,5</t>
  </si>
  <si>
    <t>314,1</t>
  </si>
  <si>
    <t>269,7</t>
  </si>
  <si>
    <t>215,6</t>
  </si>
  <si>
    <t>155,2</t>
  </si>
  <si>
    <t>522,4</t>
  </si>
  <si>
    <t>391,5</t>
  </si>
  <si>
    <t>221,8</t>
  </si>
  <si>
    <t>87,4</t>
  </si>
  <si>
    <t>36,2</t>
  </si>
  <si>
    <t>100,7</t>
  </si>
  <si>
    <t>147,6</t>
  </si>
  <si>
    <t>118,7</t>
  </si>
  <si>
    <t>48,6</t>
  </si>
  <si>
    <t>228,1</t>
  </si>
  <si>
    <t>193,4</t>
  </si>
  <si>
    <t>113,3</t>
  </si>
  <si>
    <t>392,4</t>
  </si>
  <si>
    <t>295,9</t>
  </si>
  <si>
    <t>165,7</t>
  </si>
  <si>
    <t>560,7</t>
  </si>
  <si>
    <t>408,5</t>
  </si>
  <si>
    <t>223,2</t>
  </si>
  <si>
    <t>815,5</t>
  </si>
  <si>
    <t>663,2</t>
  </si>
  <si>
    <t>477,9</t>
  </si>
  <si>
    <t>264,1</t>
  </si>
  <si>
    <t>62,9</t>
  </si>
  <si>
    <t>53,6</t>
  </si>
  <si>
    <t>43,2</t>
  </si>
  <si>
    <t>103,2</t>
  </si>
  <si>
    <t>90,7</t>
  </si>
  <si>
    <t>76,5</t>
  </si>
  <si>
    <t>40,1</t>
  </si>
  <si>
    <t>116,1</t>
  </si>
  <si>
    <t>102,4</t>
  </si>
  <si>
    <t>72,2</t>
  </si>
  <si>
    <t>48,7</t>
  </si>
  <si>
    <t>178,4</t>
  </si>
  <si>
    <t>142,1</t>
  </si>
  <si>
    <t>103,5</t>
  </si>
  <si>
    <t>57,2</t>
  </si>
  <si>
    <t>316,8</t>
  </si>
  <si>
    <t>272,3</t>
  </si>
  <si>
    <t>217,5</t>
  </si>
  <si>
    <t>156,6</t>
  </si>
  <si>
    <t>527,5</t>
  </si>
  <si>
    <t>460,8</t>
  </si>
  <si>
    <t>395,9</t>
  </si>
  <si>
    <t>225,1</t>
  </si>
  <si>
    <t>88,1</t>
  </si>
  <si>
    <t>72,6</t>
  </si>
  <si>
    <t>36,4</t>
  </si>
  <si>
    <t>101,5</t>
  </si>
  <si>
    <t>37,3</t>
  </si>
  <si>
    <t>148,9</t>
  </si>
  <si>
    <t>119,5</t>
  </si>
  <si>
    <t>84,8</t>
  </si>
  <si>
    <t>229,6</t>
  </si>
  <si>
    <t>194,9</t>
  </si>
  <si>
    <t>159,5</t>
  </si>
  <si>
    <t>114,5</t>
  </si>
  <si>
    <t>395,7</t>
  </si>
  <si>
    <t>167,2</t>
  </si>
  <si>
    <t>629,2</t>
  </si>
  <si>
    <t>614,1</t>
  </si>
  <si>
    <t>412,5</t>
  </si>
  <si>
    <t>224,7</t>
  </si>
  <si>
    <t>668,9</t>
  </si>
  <si>
    <t>481,5</t>
  </si>
  <si>
    <t>265,5</t>
  </si>
  <si>
    <t>переход_ОСТ_34_10_764_97</t>
  </si>
  <si>
    <t>Переход1</t>
  </si>
  <si>
    <t>Переход2</t>
  </si>
  <si>
    <t>500x250</t>
  </si>
  <si>
    <t>500x300</t>
  </si>
  <si>
    <t>500x350</t>
  </si>
  <si>
    <t>500x400</t>
  </si>
  <si>
    <t>600x500</t>
  </si>
  <si>
    <t>600x350</t>
  </si>
  <si>
    <t>600x400</t>
  </si>
  <si>
    <t>700x350</t>
  </si>
  <si>
    <t>700x400</t>
  </si>
  <si>
    <t>700x500</t>
  </si>
  <si>
    <t>700x600</t>
  </si>
  <si>
    <t>800x400</t>
  </si>
  <si>
    <t>800x500</t>
  </si>
  <si>
    <t>800x600</t>
  </si>
  <si>
    <t>800x700</t>
  </si>
  <si>
    <t>1000x500</t>
  </si>
  <si>
    <t>1000x600</t>
  </si>
  <si>
    <t>1000x700</t>
  </si>
  <si>
    <t>1000x800</t>
  </si>
  <si>
    <t>1200x600</t>
  </si>
  <si>
    <t>1200x700</t>
  </si>
  <si>
    <t>1200x800</t>
  </si>
  <si>
    <t>1200x1000</t>
  </si>
  <si>
    <t>600x300</t>
  </si>
  <si>
    <t>1400x700</t>
  </si>
  <si>
    <t>1400x800</t>
  </si>
  <si>
    <t>1400x1000</t>
  </si>
  <si>
    <t>1400x1200</t>
  </si>
  <si>
    <t>1600x800</t>
  </si>
  <si>
    <t>1600x1000</t>
  </si>
  <si>
    <t>1600x1200</t>
  </si>
  <si>
    <t>1600x1400</t>
  </si>
  <si>
    <t>15,6</t>
  </si>
  <si>
    <t>29,9</t>
  </si>
  <si>
    <t>24,6</t>
  </si>
  <si>
    <t>31,9</t>
  </si>
  <si>
    <t>52,1</t>
  </si>
  <si>
    <t>80,5</t>
  </si>
  <si>
    <t>74,2</t>
  </si>
  <si>
    <t>163,9</t>
  </si>
  <si>
    <t>125,9</t>
  </si>
  <si>
    <t>120,8</t>
  </si>
  <si>
    <t>178,5</t>
  </si>
  <si>
    <t>295,6</t>
  </si>
  <si>
    <t>239,9</t>
  </si>
  <si>
    <t>177,5</t>
  </si>
  <si>
    <t>227,9</t>
  </si>
  <si>
    <t>336,2</t>
  </si>
  <si>
    <t>427,7</t>
  </si>
  <si>
    <t>610,9</t>
  </si>
  <si>
    <t>440,8</t>
  </si>
  <si>
    <t>337,6</t>
  </si>
  <si>
    <t>881,2</t>
  </si>
  <si>
    <t>704,9</t>
  </si>
  <si>
    <t>575,5</t>
  </si>
  <si>
    <t>777,7</t>
  </si>
  <si>
    <t>1166,3</t>
  </si>
  <si>
    <t>1344,1</t>
  </si>
  <si>
    <t>1966,4</t>
  </si>
  <si>
    <t>1580,8</t>
  </si>
  <si>
    <t>1353,8</t>
  </si>
  <si>
    <t>1123,3</t>
  </si>
  <si>
    <t>1605,2</t>
  </si>
  <si>
    <t>1926,4</t>
  </si>
  <si>
    <t>3,0</t>
  </si>
  <si>
    <t>трой_ОСТ_34_10_762_97</t>
  </si>
  <si>
    <t>ТройникТ3</t>
  </si>
  <si>
    <t>УголУ1</t>
  </si>
  <si>
    <t>УголУ2</t>
  </si>
  <si>
    <t>R</t>
  </si>
  <si>
    <t>отвод_ОСТ_34_10_699_9</t>
  </si>
  <si>
    <t>8,6</t>
  </si>
  <si>
    <t>15,7</t>
  </si>
  <si>
    <t>9,7</t>
  </si>
  <si>
    <t>УголУ3</t>
  </si>
  <si>
    <t>ang</t>
  </si>
  <si>
    <t>ОКП</t>
  </si>
  <si>
    <t>Lp</t>
  </si>
  <si>
    <t>l</t>
  </si>
  <si>
    <t>A</t>
  </si>
  <si>
    <t>B</t>
  </si>
  <si>
    <t>b</t>
  </si>
  <si>
    <t>h</t>
  </si>
  <si>
    <t>h1</t>
  </si>
  <si>
    <t>Pt</t>
  </si>
  <si>
    <t>Pk</t>
  </si>
  <si>
    <t>q</t>
  </si>
  <si>
    <t>hp</t>
  </si>
  <si>
    <t>np</t>
  </si>
  <si>
    <t>7,5+7,5</t>
  </si>
  <si>
    <t>9,0+9,0</t>
  </si>
  <si>
    <t>10,5+10,5</t>
  </si>
  <si>
    <t>12,0+12,0</t>
  </si>
  <si>
    <t>type</t>
  </si>
  <si>
    <t>0,63</t>
  </si>
  <si>
    <t>4,2</t>
  </si>
  <si>
    <t>7,8</t>
  </si>
  <si>
    <t>0,91</t>
  </si>
  <si>
    <t>9,2</t>
  </si>
  <si>
    <t>1,51</t>
  </si>
  <si>
    <t>6,35</t>
  </si>
  <si>
    <t>0,74</t>
  </si>
  <si>
    <t>13,1</t>
  </si>
  <si>
    <t>6,55</t>
  </si>
  <si>
    <t>6,9</t>
  </si>
  <si>
    <t>1,23</t>
  </si>
  <si>
    <t>7,25</t>
  </si>
  <si>
    <t>1,52</t>
  </si>
  <si>
    <t>15,3</t>
  </si>
  <si>
    <t>7,65</t>
  </si>
  <si>
    <t>1,86</t>
  </si>
  <si>
    <t>19,8</t>
  </si>
  <si>
    <t>10,15</t>
  </si>
  <si>
    <t>1,27</t>
  </si>
  <si>
    <t>1,71</t>
  </si>
  <si>
    <t>1,91</t>
  </si>
  <si>
    <t>23,4</t>
  </si>
  <si>
    <t>11,7</t>
  </si>
  <si>
    <t>2,48</t>
  </si>
  <si>
    <t>7,85</t>
  </si>
  <si>
    <t>1,75</t>
  </si>
  <si>
    <t>16,9</t>
  </si>
  <si>
    <t>8,45</t>
  </si>
  <si>
    <t>2,41</t>
  </si>
  <si>
    <t>8,7</t>
  </si>
  <si>
    <t>8,95</t>
  </si>
  <si>
    <t>3,28</t>
  </si>
  <si>
    <t>42,4</t>
  </si>
  <si>
    <t>10,6</t>
  </si>
  <si>
    <t>50,4</t>
  </si>
  <si>
    <t>75,6</t>
  </si>
  <si>
    <t>79,6</t>
  </si>
  <si>
    <t>82,8</t>
  </si>
  <si>
    <t>20,7</t>
  </si>
  <si>
    <t>77,2</t>
  </si>
  <si>
    <t>84,4</t>
  </si>
  <si>
    <t>21,1</t>
  </si>
  <si>
    <t>81,6</t>
  </si>
  <si>
    <t>20,4</t>
  </si>
  <si>
    <t>89,6</t>
  </si>
  <si>
    <t>22,4</t>
  </si>
  <si>
    <t>1,25</t>
  </si>
  <si>
    <t>4,35</t>
  </si>
  <si>
    <t>1,66</t>
  </si>
  <si>
    <t>4,45</t>
  </si>
  <si>
    <t>9,6</t>
  </si>
  <si>
    <t>14,2</t>
  </si>
  <si>
    <t>2,08</t>
  </si>
  <si>
    <t>15,1</t>
  </si>
  <si>
    <t>7,55</t>
  </si>
  <si>
    <t>15,4</t>
  </si>
  <si>
    <t>2,46</t>
  </si>
  <si>
    <t>21,8</t>
  </si>
  <si>
    <t>1,99</t>
  </si>
  <si>
    <t>2,66</t>
  </si>
  <si>
    <t>23,2</t>
  </si>
  <si>
    <t>3,07</t>
  </si>
  <si>
    <t>17,2</t>
  </si>
  <si>
    <t>3,56</t>
  </si>
  <si>
    <t>3,45</t>
  </si>
  <si>
    <t>0,49</t>
  </si>
  <si>
    <t>11,9</t>
  </si>
  <si>
    <t>5,95</t>
  </si>
  <si>
    <t>0,73</t>
  </si>
  <si>
    <t>9,85</t>
  </si>
  <si>
    <t>0,44</t>
  </si>
  <si>
    <t>19,1</t>
  </si>
  <si>
    <t>9,55</t>
  </si>
  <si>
    <t>26,5</t>
  </si>
  <si>
    <t>13,25</t>
  </si>
  <si>
    <t>26,7</t>
  </si>
  <si>
    <t>13,35</t>
  </si>
  <si>
    <t>27,1</t>
  </si>
  <si>
    <t>13,55</t>
  </si>
  <si>
    <t>27,5</t>
  </si>
  <si>
    <t>13,75</t>
  </si>
  <si>
    <t>1,06</t>
  </si>
  <si>
    <t>27,9</t>
  </si>
  <si>
    <t>13,95</t>
  </si>
  <si>
    <t>ду_12Х18Н10Т</t>
  </si>
  <si>
    <t>SDR 17</t>
  </si>
  <si>
    <t>SDR 13,6</t>
  </si>
  <si>
    <t>900</t>
  </si>
  <si>
    <t>9,5</t>
  </si>
  <si>
    <t>16,6</t>
  </si>
  <si>
    <t>18,7</t>
  </si>
  <si>
    <t>33,2</t>
  </si>
  <si>
    <t>37,4</t>
  </si>
  <si>
    <t>42,1</t>
  </si>
  <si>
    <t>47,4</t>
  </si>
  <si>
    <t>59,3</t>
  </si>
  <si>
    <t>Суффикс</t>
  </si>
  <si>
    <t>44,8</t>
  </si>
  <si>
    <t>14,7</t>
  </si>
  <si>
    <t>26,1</t>
  </si>
  <si>
    <t>29,4</t>
  </si>
  <si>
    <t>36,8</t>
  </si>
  <si>
    <t>41,2</t>
  </si>
  <si>
    <t>46,3</t>
  </si>
  <si>
    <t>52,2</t>
  </si>
  <si>
    <t>58,8</t>
  </si>
  <si>
    <t>отвод_и1_17375</t>
  </si>
  <si>
    <t>УголУ4</t>
  </si>
  <si>
    <t>21,3</t>
  </si>
  <si>
    <t>0,04</t>
  </si>
  <si>
    <t>26,9</t>
  </si>
  <si>
    <t>0,06</t>
  </si>
  <si>
    <t>33,7</t>
  </si>
  <si>
    <t>0,05</t>
  </si>
  <si>
    <t>0,08</t>
  </si>
  <si>
    <t>0,09</t>
  </si>
  <si>
    <t>0,07</t>
  </si>
  <si>
    <t>0,12</t>
  </si>
  <si>
    <t>0,16</t>
  </si>
  <si>
    <t>0,012</t>
  </si>
  <si>
    <t>0,13</t>
  </si>
  <si>
    <t>0,17</t>
  </si>
  <si>
    <t>0,23</t>
  </si>
  <si>
    <t>48,3</t>
  </si>
  <si>
    <t>0,19</t>
  </si>
  <si>
    <t>60,3</t>
  </si>
  <si>
    <t>0,42</t>
  </si>
  <si>
    <t>76,1</t>
  </si>
  <si>
    <t>0,47</t>
  </si>
  <si>
    <t>88,9</t>
  </si>
  <si>
    <t>0,60</t>
  </si>
  <si>
    <t>114,3</t>
  </si>
  <si>
    <t>139,7</t>
  </si>
  <si>
    <t>168,3</t>
  </si>
  <si>
    <t>219,1</t>
  </si>
  <si>
    <t>323,9</t>
  </si>
  <si>
    <t>355,6</t>
  </si>
  <si>
    <t>406,4</t>
  </si>
  <si>
    <t>255,6</t>
  </si>
  <si>
    <t>переход_и1_17378</t>
  </si>
  <si>
    <t>Переход3</t>
  </si>
  <si>
    <t>0,11</t>
  </si>
  <si>
    <t>0,26</t>
  </si>
  <si>
    <t>0,35</t>
  </si>
  <si>
    <t>0,36</t>
  </si>
  <si>
    <t>0,165</t>
  </si>
  <si>
    <t>0,258</t>
  </si>
  <si>
    <t>0,241</t>
  </si>
  <si>
    <t>0,353</t>
  </si>
  <si>
    <t>0,561</t>
  </si>
  <si>
    <t>0,871</t>
  </si>
  <si>
    <t>2,16</t>
  </si>
  <si>
    <t>12,1</t>
  </si>
  <si>
    <t>13,6</t>
  </si>
  <si>
    <t>35,64</t>
  </si>
  <si>
    <r>
      <rPr>
        <sz val="7"/>
        <color rgb="FF000000"/>
        <rFont val="Arial"/>
        <family val="2"/>
        <charset val="204"/>
      </rPr>
      <t>0,138</t>
    </r>
  </si>
  <si>
    <r>
      <rPr>
        <sz val="7"/>
        <color rgb="FF000000"/>
        <rFont val="Arial"/>
        <family val="2"/>
        <charset val="204"/>
      </rPr>
      <t>0,213</t>
    </r>
  </si>
  <si>
    <r>
      <rPr>
        <sz val="7"/>
        <color rgb="FF000000"/>
        <rFont val="Arial"/>
        <family val="2"/>
        <charset val="204"/>
      </rPr>
      <t>0,345</t>
    </r>
  </si>
  <si>
    <r>
      <rPr>
        <sz val="7"/>
        <color rgb="FF000000"/>
        <rFont val="Arial"/>
        <family val="2"/>
        <charset val="204"/>
      </rPr>
      <t>0,530</t>
    </r>
  </si>
  <si>
    <r>
      <rPr>
        <sz val="7"/>
        <color rgb="FF000000"/>
        <rFont val="Arial"/>
        <family val="2"/>
        <charset val="204"/>
      </rPr>
      <t>0,823</t>
    </r>
  </si>
  <si>
    <r>
      <rPr>
        <sz val="7"/>
        <color rgb="FF000000"/>
        <rFont val="Arial"/>
        <family val="2"/>
        <charset val="204"/>
      </rPr>
      <t>500 00 025 2</t>
    </r>
  </si>
  <si>
    <r>
      <rPr>
        <sz val="7"/>
        <color rgb="FF000000"/>
        <rFont val="Arial"/>
        <family val="2"/>
        <charset val="204"/>
      </rPr>
      <t>500 00 032 2</t>
    </r>
  </si>
  <si>
    <r>
      <rPr>
        <sz val="7"/>
        <color rgb="FF000000"/>
        <rFont val="Arial"/>
        <family val="2"/>
        <charset val="204"/>
      </rPr>
      <t>500 00 040 2</t>
    </r>
  </si>
  <si>
    <r>
      <rPr>
        <sz val="7"/>
        <color rgb="FF000000"/>
        <rFont val="Arial"/>
        <family val="2"/>
        <charset val="204"/>
      </rPr>
      <t>500 00 050 2</t>
    </r>
  </si>
  <si>
    <r>
      <rPr>
        <sz val="7"/>
        <color rgb="FF000000"/>
        <rFont val="Arial"/>
        <family val="2"/>
        <charset val="204"/>
      </rPr>
      <t>500 00 063 2</t>
    </r>
  </si>
  <si>
    <r>
      <rPr>
        <sz val="7"/>
        <color rgb="FF000000"/>
        <rFont val="Arial"/>
        <family val="2"/>
        <charset val="204"/>
      </rPr>
      <t>500 00 075 2</t>
    </r>
  </si>
  <si>
    <r>
      <rPr>
        <sz val="7"/>
        <color rgb="FF000000"/>
        <rFont val="Arial"/>
        <family val="2"/>
        <charset val="204"/>
      </rPr>
      <t>500 00 090 2</t>
    </r>
  </si>
  <si>
    <r>
      <rPr>
        <sz val="7"/>
        <color rgb="FF000000"/>
        <rFont val="Arial"/>
        <family val="2"/>
        <charset val="204"/>
      </rPr>
      <t>500 00 110 2</t>
    </r>
  </si>
  <si>
    <r>
      <rPr>
        <sz val="7"/>
        <color rgb="FF000000"/>
        <rFont val="Arial"/>
        <family val="2"/>
        <charset val="204"/>
      </rPr>
      <t>500 00 125 2</t>
    </r>
  </si>
  <si>
    <r>
      <rPr>
        <sz val="7"/>
        <color rgb="FF000000"/>
        <rFont val="Arial"/>
        <family val="2"/>
        <charset val="204"/>
      </rPr>
      <t>500 00 140 2</t>
    </r>
  </si>
  <si>
    <r>
      <rPr>
        <sz val="7"/>
        <color rgb="FF000000"/>
        <rFont val="Arial"/>
        <family val="2"/>
        <charset val="204"/>
      </rPr>
      <t>500 00 160 2</t>
    </r>
  </si>
  <si>
    <r>
      <rPr>
        <sz val="7"/>
        <color rgb="FF000000"/>
        <rFont val="Arial"/>
        <family val="2"/>
        <charset val="204"/>
      </rPr>
      <t>500 00 200 2</t>
    </r>
  </si>
  <si>
    <r>
      <rPr>
        <sz val="7"/>
        <color rgb="FF000000"/>
        <rFont val="Arial"/>
        <family val="2"/>
        <charset val="204"/>
      </rPr>
      <t>500 00 225 2</t>
    </r>
  </si>
  <si>
    <r>
      <rPr>
        <sz val="7"/>
        <color rgb="FF000000"/>
        <rFont val="Arial"/>
        <family val="2"/>
        <charset val="204"/>
      </rPr>
      <t>500 00 250 4</t>
    </r>
  </si>
  <si>
    <r>
      <rPr>
        <sz val="7"/>
        <color rgb="FF000000"/>
        <rFont val="Arial"/>
        <family val="2"/>
        <charset val="204"/>
      </rPr>
      <t>500 00 280 4</t>
    </r>
  </si>
  <si>
    <r>
      <rPr>
        <sz val="7"/>
        <color rgb="FF000000"/>
        <rFont val="Arial"/>
        <family val="2"/>
        <charset val="204"/>
      </rPr>
      <t>500 00 315 4</t>
    </r>
  </si>
  <si>
    <r>
      <rPr>
        <sz val="7"/>
        <color rgb="FF000000"/>
        <rFont val="Arial"/>
        <family val="2"/>
        <charset val="204"/>
      </rPr>
      <t>500 00 355 4</t>
    </r>
  </si>
  <si>
    <r>
      <rPr>
        <sz val="7"/>
        <color rgb="FF000000"/>
        <rFont val="Arial"/>
        <family val="2"/>
        <charset val="204"/>
      </rPr>
      <t>500 00 400 4</t>
    </r>
  </si>
  <si>
    <r>
      <rPr>
        <sz val="7"/>
        <color rgb="FF000000"/>
        <rFont val="Arial"/>
        <family val="2"/>
        <charset val="204"/>
      </rPr>
      <t>0,01</t>
    </r>
  </si>
  <si>
    <r>
      <rPr>
        <sz val="7"/>
        <color rgb="FF000000"/>
        <rFont val="Arial"/>
        <family val="2"/>
        <charset val="204"/>
      </rPr>
      <t>0,02</t>
    </r>
  </si>
  <si>
    <r>
      <rPr>
        <sz val="7"/>
        <color rgb="FF000000"/>
        <rFont val="Arial"/>
        <family val="2"/>
        <charset val="204"/>
      </rPr>
      <t>0,05</t>
    </r>
  </si>
  <si>
    <r>
      <rPr>
        <sz val="7"/>
        <color rgb="FF000000"/>
        <rFont val="Arial"/>
        <family val="2"/>
        <charset val="204"/>
      </rPr>
      <t>0,09</t>
    </r>
  </si>
  <si>
    <r>
      <rPr>
        <sz val="7"/>
        <color rgb="FF000000"/>
        <rFont val="Arial"/>
        <family val="2"/>
        <charset val="204"/>
      </rPr>
      <t>0,18</t>
    </r>
  </si>
  <si>
    <r>
      <rPr>
        <sz val="7"/>
        <color rgb="FF000000"/>
        <rFont val="Arial"/>
        <family val="2"/>
        <charset val="204"/>
      </rPr>
      <t>0,31</t>
    </r>
  </si>
  <si>
    <r>
      <rPr>
        <sz val="7"/>
        <color rgb="FF000000"/>
        <rFont val="Arial"/>
        <family val="2"/>
        <charset val="204"/>
      </rPr>
      <t>0,42</t>
    </r>
  </si>
  <si>
    <r>
      <rPr>
        <sz val="7"/>
        <color rgb="FF000000"/>
        <rFont val="Arial"/>
        <family val="2"/>
        <charset val="204"/>
      </rPr>
      <t>0,75</t>
    </r>
  </si>
  <si>
    <t>art</t>
  </si>
  <si>
    <r>
      <rPr>
        <sz val="7"/>
        <color rgb="FF000000"/>
        <rFont val="Arial"/>
        <family val="2"/>
        <charset val="204"/>
      </rPr>
      <t>502 00 020 2</t>
    </r>
  </si>
  <si>
    <r>
      <rPr>
        <sz val="7"/>
        <color rgb="FF000000"/>
        <rFont val="Arial"/>
        <family val="2"/>
        <charset val="204"/>
      </rPr>
      <t>502 00 025 2</t>
    </r>
  </si>
  <si>
    <r>
      <rPr>
        <sz val="7"/>
        <color rgb="FF000000"/>
        <rFont val="Arial"/>
        <family val="2"/>
        <charset val="204"/>
      </rPr>
      <t>502 00 032 2</t>
    </r>
  </si>
  <si>
    <r>
      <rPr>
        <sz val="7"/>
        <color rgb="FF000000"/>
        <rFont val="Arial"/>
        <family val="2"/>
        <charset val="204"/>
      </rPr>
      <t>502 00 040 2</t>
    </r>
  </si>
  <si>
    <r>
      <rPr>
        <sz val="7"/>
        <color rgb="FF000000"/>
        <rFont val="Arial"/>
        <family val="2"/>
        <charset val="204"/>
      </rPr>
      <t>502 00 050 2</t>
    </r>
  </si>
  <si>
    <r>
      <rPr>
        <sz val="7"/>
        <color rgb="FF000000"/>
        <rFont val="Arial"/>
        <family val="2"/>
        <charset val="204"/>
      </rPr>
      <t>502 00 063 2</t>
    </r>
  </si>
  <si>
    <r>
      <rPr>
        <sz val="7"/>
        <color rgb="FF000000"/>
        <rFont val="Arial"/>
        <family val="2"/>
        <charset val="204"/>
      </rPr>
      <t>502 00 075 2</t>
    </r>
  </si>
  <si>
    <r>
      <rPr>
        <sz val="7"/>
        <color rgb="FF000000"/>
        <rFont val="Arial"/>
        <family val="2"/>
        <charset val="204"/>
      </rPr>
      <t>502 00 090 2</t>
    </r>
  </si>
  <si>
    <r>
      <rPr>
        <sz val="7"/>
        <color rgb="FF000000"/>
        <rFont val="Arial"/>
        <family val="2"/>
        <charset val="204"/>
      </rPr>
      <t>502 00 110 2</t>
    </r>
  </si>
  <si>
    <r>
      <rPr>
        <sz val="7"/>
        <color rgb="FF000000"/>
        <rFont val="Arial"/>
        <family val="2"/>
        <charset val="204"/>
      </rPr>
      <t>502 00 125 2</t>
    </r>
  </si>
  <si>
    <r>
      <rPr>
        <sz val="7"/>
        <color rgb="FF000000"/>
        <rFont val="Arial"/>
        <family val="2"/>
        <charset val="204"/>
      </rPr>
      <t>502 00 140 2</t>
    </r>
  </si>
  <si>
    <r>
      <rPr>
        <sz val="7"/>
        <color rgb="FF000000"/>
        <rFont val="Arial"/>
        <family val="2"/>
        <charset val="204"/>
      </rPr>
      <t>502 00 160 2</t>
    </r>
  </si>
  <si>
    <r>
      <rPr>
        <sz val="7"/>
        <color rgb="FF000000"/>
        <rFont val="Arial"/>
        <family val="2"/>
        <charset val="204"/>
      </rPr>
      <t>502 00 200 2</t>
    </r>
  </si>
  <si>
    <r>
      <rPr>
        <sz val="7"/>
        <color rgb="FF000000"/>
        <rFont val="Arial"/>
        <family val="2"/>
        <charset val="204"/>
      </rPr>
      <t>502 00 225 2</t>
    </r>
  </si>
  <si>
    <r>
      <rPr>
        <sz val="7"/>
        <color rgb="FF000000"/>
        <rFont val="Arial"/>
        <family val="2"/>
        <charset val="204"/>
      </rPr>
      <t>502 00 250 4</t>
    </r>
  </si>
  <si>
    <r>
      <rPr>
        <sz val="7"/>
        <color rgb="FF000000"/>
        <rFont val="Arial"/>
        <family val="2"/>
        <charset val="204"/>
      </rPr>
      <t>502 00 315 4</t>
    </r>
  </si>
  <si>
    <r>
      <rPr>
        <sz val="7"/>
        <color rgb="FF000000"/>
        <rFont val="Arial"/>
        <family val="2"/>
        <charset val="204"/>
      </rPr>
      <t>502 00 355 5</t>
    </r>
  </si>
  <si>
    <r>
      <rPr>
        <sz val="7"/>
        <color rgb="FF000000"/>
        <rFont val="Arial"/>
        <family val="2"/>
        <charset val="204"/>
      </rPr>
      <t>502 00 400 4</t>
    </r>
  </si>
  <si>
    <r>
      <rPr>
        <sz val="7"/>
        <color rgb="FF000000"/>
        <rFont val="Arial"/>
        <family val="2"/>
        <charset val="204"/>
      </rPr>
      <t>0,04</t>
    </r>
  </si>
  <si>
    <r>
      <rPr>
        <sz val="7"/>
        <color rgb="FF000000"/>
        <rFont val="Arial"/>
        <family val="2"/>
        <charset val="204"/>
      </rPr>
      <t>0,07</t>
    </r>
  </si>
  <si>
    <r>
      <rPr>
        <sz val="7"/>
        <color rgb="FF000000"/>
        <rFont val="Arial"/>
        <family val="2"/>
        <charset val="204"/>
      </rPr>
      <t>0,13</t>
    </r>
  </si>
  <si>
    <r>
      <rPr>
        <sz val="7"/>
        <color rgb="FF000000"/>
        <rFont val="Arial"/>
        <family val="2"/>
        <charset val="204"/>
      </rPr>
      <t>0,20</t>
    </r>
  </si>
  <si>
    <r>
      <rPr>
        <sz val="7"/>
        <color rgb="FF000000"/>
        <rFont val="Arial"/>
        <family val="2"/>
        <charset val="204"/>
      </rPr>
      <t>0,34</t>
    </r>
  </si>
  <si>
    <r>
      <rPr>
        <sz val="7"/>
        <color rgb="FF000000"/>
        <rFont val="Arial"/>
        <family val="2"/>
        <charset val="204"/>
      </rPr>
      <t>0,63</t>
    </r>
  </si>
  <si>
    <r>
      <rPr>
        <sz val="7"/>
        <color rgb="FF000000"/>
        <rFont val="Arial"/>
        <family val="2"/>
        <charset val="204"/>
      </rPr>
      <t>0,91</t>
    </r>
  </si>
  <si>
    <t>502 00 280 5</t>
  </si>
  <si>
    <t>500 00 020 2</t>
  </si>
  <si>
    <r>
      <rPr>
        <sz val="7"/>
        <color rgb="FF000000"/>
        <rFont val="Arial"/>
        <family val="2"/>
        <charset val="204"/>
      </rPr>
      <t>0,11</t>
    </r>
  </si>
  <si>
    <r>
      <rPr>
        <sz val="7"/>
        <color rgb="FF000000"/>
        <rFont val="Arial"/>
        <family val="2"/>
        <charset val="204"/>
      </rPr>
      <t>0,12</t>
    </r>
  </si>
  <si>
    <r>
      <rPr>
        <sz val="7"/>
        <color rgb="FF000000"/>
        <rFont val="Arial"/>
        <family val="2"/>
        <charset val="204"/>
      </rPr>
      <t>0,22</t>
    </r>
  </si>
  <si>
    <r>
      <rPr>
        <sz val="7"/>
        <color rgb="FF000000"/>
        <rFont val="Arial"/>
        <family val="2"/>
        <charset val="204"/>
      </rPr>
      <t>0,33</t>
    </r>
  </si>
  <si>
    <r>
      <rPr>
        <sz val="7"/>
        <color rgb="FF000000"/>
        <rFont val="Arial"/>
        <family val="2"/>
        <charset val="204"/>
      </rPr>
      <t>0,60</t>
    </r>
  </si>
  <si>
    <r>
      <rPr>
        <sz val="7"/>
        <color rgb="FF000000"/>
        <rFont val="Arial"/>
        <family val="2"/>
        <charset val="204"/>
      </rPr>
      <t>504 00 020 2</t>
    </r>
  </si>
  <si>
    <r>
      <rPr>
        <sz val="7"/>
        <color rgb="FF000000"/>
        <rFont val="Arial"/>
        <family val="2"/>
        <charset val="204"/>
      </rPr>
      <t>504 00 025 2</t>
    </r>
  </si>
  <si>
    <r>
      <rPr>
        <sz val="7"/>
        <color rgb="FF000000"/>
        <rFont val="Arial"/>
        <family val="2"/>
        <charset val="204"/>
      </rPr>
      <t>504 00 032 2</t>
    </r>
  </si>
  <si>
    <r>
      <rPr>
        <sz val="7"/>
        <color rgb="FF000000"/>
        <rFont val="Arial"/>
        <family val="2"/>
        <charset val="204"/>
      </rPr>
      <t>504 00 040 2</t>
    </r>
  </si>
  <si>
    <r>
      <rPr>
        <sz val="7"/>
        <color rgb="FF000000"/>
        <rFont val="Arial"/>
        <family val="2"/>
        <charset val="204"/>
      </rPr>
      <t>504 00 050 2</t>
    </r>
  </si>
  <si>
    <r>
      <rPr>
        <sz val="7"/>
        <color rgb="FF000000"/>
        <rFont val="Arial"/>
        <family val="2"/>
        <charset val="204"/>
      </rPr>
      <t>504 00 063 2</t>
    </r>
  </si>
  <si>
    <r>
      <rPr>
        <sz val="7"/>
        <color rgb="FF000000"/>
        <rFont val="Arial"/>
        <family val="2"/>
        <charset val="204"/>
      </rPr>
      <t>504 00 075 2</t>
    </r>
  </si>
  <si>
    <r>
      <rPr>
        <sz val="7"/>
        <color rgb="FF000000"/>
        <rFont val="Arial"/>
        <family val="2"/>
        <charset val="204"/>
      </rPr>
      <t>504 00 090 2</t>
    </r>
  </si>
  <si>
    <r>
      <rPr>
        <sz val="7"/>
        <color rgb="FF000000"/>
        <rFont val="Arial"/>
        <family val="2"/>
        <charset val="204"/>
      </rPr>
      <t>504 00 110 2</t>
    </r>
  </si>
  <si>
    <r>
      <rPr>
        <sz val="7"/>
        <color rgb="FF000000"/>
        <rFont val="Arial"/>
        <family val="2"/>
        <charset val="204"/>
      </rPr>
      <t>504 00 125 2</t>
    </r>
  </si>
  <si>
    <r>
      <rPr>
        <sz val="7"/>
        <color rgb="FF000000"/>
        <rFont val="Arial"/>
        <family val="2"/>
        <charset val="204"/>
      </rPr>
      <t>504 00 140 2</t>
    </r>
  </si>
  <si>
    <r>
      <rPr>
        <sz val="7"/>
        <color rgb="FF000000"/>
        <rFont val="Arial"/>
        <family val="2"/>
        <charset val="204"/>
      </rPr>
      <t>504 00 160 2</t>
    </r>
  </si>
  <si>
    <r>
      <rPr>
        <sz val="7"/>
        <color rgb="FF000000"/>
        <rFont val="Arial"/>
        <family val="2"/>
        <charset val="204"/>
      </rPr>
      <t>504 00 200 2</t>
    </r>
  </si>
  <si>
    <r>
      <rPr>
        <sz val="7"/>
        <color rgb="FF000000"/>
        <rFont val="Arial"/>
        <family val="2"/>
        <charset val="204"/>
      </rPr>
      <t>504 00 225 2</t>
    </r>
  </si>
  <si>
    <r>
      <rPr>
        <sz val="7"/>
        <color rgb="FF000000"/>
        <rFont val="Arial"/>
        <family val="2"/>
        <charset val="204"/>
      </rPr>
      <t>504 00 250 4</t>
    </r>
  </si>
  <si>
    <r>
      <rPr>
        <sz val="7"/>
        <color rgb="FF000000"/>
        <rFont val="Arial"/>
        <family val="2"/>
        <charset val="204"/>
      </rPr>
      <t>504 00 280 4</t>
    </r>
  </si>
  <si>
    <r>
      <rPr>
        <sz val="7"/>
        <color rgb="FF000000"/>
        <rFont val="Arial"/>
        <family val="2"/>
        <charset val="204"/>
      </rPr>
      <t>504 00 315 4</t>
    </r>
  </si>
  <si>
    <t>ext</t>
  </si>
  <si>
    <r>
      <rPr>
        <sz val="7"/>
        <color rgb="FF000000"/>
        <rFont val="Arial"/>
      </rPr>
      <t>508 00 032020 2</t>
    </r>
  </si>
  <si>
    <r>
      <rPr>
        <sz val="7"/>
        <color rgb="FF000000"/>
        <rFont val="Arial"/>
      </rPr>
      <t>508 00 032025 2</t>
    </r>
  </si>
  <si>
    <r>
      <rPr>
        <sz val="7"/>
        <color rgb="FF000000"/>
        <rFont val="Arial"/>
      </rPr>
      <t>508 00 032050 2</t>
    </r>
  </si>
  <si>
    <r>
      <rPr>
        <sz val="7"/>
        <color rgb="FF000000"/>
        <rFont val="Arial"/>
      </rPr>
      <t>508 00 040020 2</t>
    </r>
  </si>
  <si>
    <r>
      <rPr>
        <sz val="7"/>
        <color rgb="FF000000"/>
        <rFont val="Arial"/>
      </rPr>
      <t>508 00 040025 2</t>
    </r>
  </si>
  <si>
    <r>
      <rPr>
        <sz val="7"/>
        <color rgb="FF000000"/>
        <rFont val="Arial"/>
      </rPr>
      <t>508 00 040032 2</t>
    </r>
  </si>
  <si>
    <r>
      <rPr>
        <sz val="7"/>
        <color rgb="FF000000"/>
        <rFont val="Arial"/>
      </rPr>
      <t>0,08</t>
    </r>
  </si>
  <si>
    <r>
      <rPr>
        <sz val="7"/>
        <color rgb="FF000000"/>
        <rFont val="Arial"/>
      </rPr>
      <t>0,11</t>
    </r>
  </si>
  <si>
    <r>
      <rPr>
        <sz val="7"/>
        <color rgb="FF000000"/>
        <rFont val="Arial"/>
      </rPr>
      <t>0,13</t>
    </r>
  </si>
  <si>
    <r>
      <rPr>
        <sz val="7"/>
        <color rgb="FF000000"/>
        <rFont val="Arial"/>
      </rPr>
      <t>508 00 050020 2</t>
    </r>
  </si>
  <si>
    <r>
      <rPr>
        <sz val="7"/>
        <color rgb="FF000000"/>
        <rFont val="Arial"/>
      </rPr>
      <t>508 00 050025 2</t>
    </r>
  </si>
  <si>
    <r>
      <rPr>
        <sz val="7"/>
        <color rgb="FF000000"/>
        <rFont val="Arial"/>
      </rPr>
      <t>508 00 050032 2</t>
    </r>
  </si>
  <si>
    <r>
      <rPr>
        <sz val="7"/>
        <color rgb="FF000000"/>
        <rFont val="Arial"/>
      </rPr>
      <t>508 00 050040 2</t>
    </r>
  </si>
  <si>
    <r>
      <rPr>
        <sz val="7"/>
        <color rgb="FF000000"/>
        <rFont val="Arial"/>
      </rPr>
      <t>508 00 063025 2</t>
    </r>
  </si>
  <si>
    <r>
      <rPr>
        <sz val="7"/>
        <color rgb="FF000000"/>
        <rFont val="Arial"/>
      </rPr>
      <t>508 00 063032 2</t>
    </r>
  </si>
  <si>
    <r>
      <rPr>
        <sz val="7"/>
        <color rgb="FF000000"/>
        <rFont val="Arial"/>
      </rPr>
      <t>508 00 063040 2</t>
    </r>
  </si>
  <si>
    <r>
      <rPr>
        <sz val="7"/>
        <color rgb="FF000000"/>
        <rFont val="Arial"/>
      </rPr>
      <t>508 00 063050 2</t>
    </r>
  </si>
  <si>
    <r>
      <rPr>
        <sz val="7"/>
        <color rgb="FF000000"/>
        <rFont val="Arial"/>
      </rPr>
      <t>508 00 075032 2</t>
    </r>
  </si>
  <si>
    <r>
      <rPr>
        <sz val="7"/>
        <color rgb="FF000000"/>
        <rFont val="Arial"/>
      </rPr>
      <t>508 00 075063 2</t>
    </r>
  </si>
  <si>
    <r>
      <rPr>
        <sz val="7"/>
        <color rgb="FF000000"/>
        <rFont val="Arial"/>
      </rPr>
      <t>508 00 090063 2</t>
    </r>
  </si>
  <si>
    <r>
      <rPr>
        <sz val="7"/>
        <color rgb="FF000000"/>
        <rFont val="Arial"/>
      </rPr>
      <t>508 00 090075 2</t>
    </r>
  </si>
  <si>
    <r>
      <rPr>
        <sz val="7"/>
        <color rgb="FF000000"/>
        <rFont val="Arial"/>
      </rPr>
      <t>508 00 110050 2</t>
    </r>
  </si>
  <si>
    <r>
      <rPr>
        <sz val="7"/>
        <color rgb="FF000000"/>
        <rFont val="Arial"/>
      </rPr>
      <t>508 00 110063 2</t>
    </r>
  </si>
  <si>
    <r>
      <rPr>
        <sz val="7"/>
        <color rgb="FF000000"/>
        <rFont val="Arial"/>
      </rPr>
      <t>508 00 110075 2</t>
    </r>
  </si>
  <si>
    <r>
      <rPr>
        <sz val="7"/>
        <color rgb="FF000000"/>
        <rFont val="Arial"/>
      </rPr>
      <t>508 00 110090 2</t>
    </r>
  </si>
  <si>
    <r>
      <rPr>
        <sz val="7"/>
        <color rgb="FF000000"/>
        <rFont val="Arial"/>
      </rPr>
      <t>508 00 125063 2</t>
    </r>
  </si>
  <si>
    <r>
      <rPr>
        <sz val="7"/>
        <color rgb="FF000000"/>
        <rFont val="Arial"/>
      </rPr>
      <t>508 00 125090 2</t>
    </r>
  </si>
  <si>
    <r>
      <rPr>
        <sz val="7"/>
        <color rgb="FF000000"/>
        <rFont val="Arial"/>
      </rPr>
      <t>508 00 125110 2</t>
    </r>
  </si>
  <si>
    <r>
      <rPr>
        <sz val="7"/>
        <color rgb="FF000000"/>
        <rFont val="Arial"/>
      </rPr>
      <t>508 00 140110 2</t>
    </r>
  </si>
  <si>
    <r>
      <rPr>
        <sz val="7"/>
        <color rgb="FF000000"/>
        <rFont val="Arial"/>
      </rPr>
      <t>508 00 160110 2</t>
    </r>
  </si>
  <si>
    <r>
      <rPr>
        <sz val="7"/>
        <color rgb="FF000000"/>
        <rFont val="Arial"/>
      </rPr>
      <t>508 00 200110 2</t>
    </r>
  </si>
  <si>
    <r>
      <rPr>
        <sz val="7"/>
        <color rgb="FF000000"/>
        <rFont val="Arial"/>
      </rPr>
      <t>508 00 200160 2</t>
    </r>
  </si>
  <si>
    <r>
      <rPr>
        <sz val="7"/>
        <color rgb="FF000000"/>
        <rFont val="Arial"/>
      </rPr>
      <t>508 00 225110 2</t>
    </r>
  </si>
  <si>
    <r>
      <rPr>
        <sz val="7"/>
        <color rgb="FF000000"/>
        <rFont val="Arial"/>
      </rPr>
      <t>508 00 225160 2</t>
    </r>
  </si>
  <si>
    <r>
      <rPr>
        <sz val="7"/>
        <color rgb="FF000000"/>
        <rFont val="Arial"/>
      </rPr>
      <t>508 00 250110 2</t>
    </r>
  </si>
  <si>
    <r>
      <rPr>
        <sz val="7"/>
        <color rgb="FF000000"/>
        <rFont val="Arial"/>
      </rPr>
      <t>508 00 250160 2</t>
    </r>
  </si>
  <si>
    <r>
      <rPr>
        <sz val="7"/>
        <color rgb="FF000000"/>
        <rFont val="Arial"/>
      </rPr>
      <t>508 00 250200 2</t>
    </r>
  </si>
  <si>
    <r>
      <rPr>
        <sz val="7"/>
        <color rgb="FF000000"/>
        <rFont val="Arial"/>
      </rPr>
      <t>508 00 280110 5</t>
    </r>
  </si>
  <si>
    <r>
      <rPr>
        <sz val="7"/>
        <color rgb="FF000000"/>
        <rFont val="Arial"/>
      </rPr>
      <t>508 00 280160 5</t>
    </r>
  </si>
  <si>
    <r>
      <rPr>
        <sz val="7"/>
        <color rgb="FF000000"/>
        <rFont val="Arial"/>
      </rPr>
      <t>508 00 280225 5</t>
    </r>
  </si>
  <si>
    <r>
      <rPr>
        <sz val="7"/>
        <color rgb="FF000000"/>
        <rFont val="Arial"/>
      </rPr>
      <t>508 00 315110 5</t>
    </r>
  </si>
  <si>
    <r>
      <rPr>
        <sz val="7"/>
        <color rgb="FF000000"/>
        <rFont val="Arial"/>
      </rPr>
      <t>508 00 315160 2</t>
    </r>
  </si>
  <si>
    <r>
      <rPr>
        <sz val="7"/>
        <color rgb="FF000000"/>
        <rFont val="Arial"/>
      </rPr>
      <t>508 00 315225 2</t>
    </r>
  </si>
  <si>
    <r>
      <rPr>
        <sz val="7"/>
        <color rgb="FF000000"/>
        <rFont val="Arial"/>
      </rPr>
      <t>0,14</t>
    </r>
  </si>
  <si>
    <r>
      <rPr>
        <sz val="7"/>
        <color rgb="FF000000"/>
        <rFont val="Arial"/>
      </rPr>
      <t>0,24</t>
    </r>
  </si>
  <si>
    <r>
      <rPr>
        <sz val="7"/>
        <color rgb="FF000000"/>
        <rFont val="Arial"/>
      </rPr>
      <t>0,25</t>
    </r>
  </si>
  <si>
    <r>
      <rPr>
        <sz val="7"/>
        <color rgb="FF000000"/>
        <rFont val="Arial"/>
      </rPr>
      <t>0,29</t>
    </r>
  </si>
  <si>
    <r>
      <rPr>
        <sz val="7"/>
        <color rgb="FF000000"/>
        <rFont val="Arial"/>
      </rPr>
      <t>0,45</t>
    </r>
  </si>
  <si>
    <r>
      <rPr>
        <sz val="7"/>
        <color rgb="FF000000"/>
        <rFont val="Arial"/>
      </rPr>
      <t>0,64</t>
    </r>
  </si>
  <si>
    <r>
      <rPr>
        <sz val="7"/>
        <color rgb="FF000000"/>
        <rFont val="Arial"/>
      </rPr>
      <t>0,66</t>
    </r>
  </si>
  <si>
    <r>
      <rPr>
        <sz val="7"/>
        <color rgb="FF000000"/>
        <rFont val="Arial"/>
      </rPr>
      <t>0,75</t>
    </r>
  </si>
  <si>
    <r>
      <rPr>
        <sz val="7"/>
        <color rgb="FF000000"/>
        <rFont val="Arial"/>
      </rPr>
      <t>0,93</t>
    </r>
  </si>
  <si>
    <r>
      <rPr>
        <sz val="7"/>
        <color rgb="FF000000"/>
        <rFont val="Arial"/>
      </rPr>
      <t>0,98</t>
    </r>
  </si>
  <si>
    <t>504 00 355 4</t>
  </si>
  <si>
    <t>504 00 400 4</t>
  </si>
  <si>
    <t>13.5</t>
  </si>
  <si>
    <t>14.1</t>
  </si>
  <si>
    <t>22.3</t>
  </si>
  <si>
    <t>19.9</t>
  </si>
  <si>
    <t>30.1</t>
  </si>
  <si>
    <t>46.5</t>
  </si>
  <si>
    <t>508 00 315160 2</t>
  </si>
  <si>
    <t>508 00 315225 2</t>
  </si>
  <si>
    <t>508 00 315250 2</t>
  </si>
  <si>
    <t>508 00 315280 2</t>
  </si>
  <si>
    <t>508 00 355280 5</t>
  </si>
  <si>
    <t>508 00 355315 5</t>
  </si>
  <si>
    <t>508 00 400280 5</t>
  </si>
  <si>
    <t>508 00 400315 5</t>
  </si>
  <si>
    <t>508 00 400355 5</t>
  </si>
  <si>
    <r>
      <rPr>
        <sz val="6"/>
        <color rgb="FF211E1F"/>
        <rFont val="Calibri"/>
      </rPr>
      <t>0.008</t>
    </r>
  </si>
  <si>
    <r>
      <rPr>
        <sz val="6"/>
        <color rgb="FF211E1F"/>
        <rFont val="Calibri"/>
      </rPr>
      <t>0.01</t>
    </r>
  </si>
  <si>
    <r>
      <rPr>
        <sz val="6"/>
        <color rgb="FF211E1F"/>
        <rFont val="Calibri"/>
      </rPr>
      <t>0.02</t>
    </r>
  </si>
  <si>
    <r>
      <rPr>
        <sz val="6"/>
        <color rgb="FF211E1F"/>
        <rFont val="Calibri"/>
      </rPr>
      <t>0.04</t>
    </r>
  </si>
  <si>
    <r>
      <rPr>
        <sz val="6"/>
        <color rgb="FF211E1F"/>
        <rFont val="Calibri"/>
      </rPr>
      <t>0.05</t>
    </r>
  </si>
  <si>
    <r>
      <rPr>
        <sz val="6"/>
        <color rgb="FF211E1F"/>
        <rFont val="Calibri"/>
      </rPr>
      <t>0.08</t>
    </r>
  </si>
  <si>
    <r>
      <rPr>
        <sz val="6"/>
        <color rgb="FF211E1F"/>
        <rFont val="Calibri"/>
      </rPr>
      <t>0.17</t>
    </r>
  </si>
  <si>
    <r>
      <rPr>
        <sz val="6"/>
        <color rgb="FF211E1F"/>
        <rFont val="Calibri"/>
      </rPr>
      <t>0.34</t>
    </r>
  </si>
  <si>
    <r>
      <rPr>
        <sz val="6"/>
        <color rgb="FF211E1F"/>
        <rFont val="Calibri"/>
      </rPr>
      <t>0.46</t>
    </r>
  </si>
  <si>
    <r>
      <rPr>
        <sz val="6"/>
        <color rgb="FF211E1F"/>
        <rFont val="Calibri"/>
      </rPr>
      <t>0.82</t>
    </r>
  </si>
  <si>
    <r>
      <rPr>
        <sz val="6"/>
        <color rgb="FF211E1F"/>
        <rFont val="Calibri"/>
      </rPr>
      <t>1.16</t>
    </r>
  </si>
  <si>
    <r>
      <rPr>
        <sz val="6"/>
        <color rgb="FF211E1F"/>
        <rFont val="Calibri"/>
      </rPr>
      <t>1.46</t>
    </r>
  </si>
  <si>
    <r>
      <rPr>
        <sz val="6"/>
        <color rgb="FF211E1F"/>
        <rFont val="Calibri"/>
      </rPr>
      <t>2.31</t>
    </r>
  </si>
  <si>
    <r>
      <rPr>
        <sz val="6"/>
        <color rgb="FF211E1F"/>
        <rFont val="Calibri"/>
      </rPr>
      <t>2.87</t>
    </r>
  </si>
  <si>
    <r>
      <rPr>
        <sz val="6"/>
        <color rgb="FF211E1F"/>
        <rFont val="Calibri"/>
      </rPr>
      <t>4.81</t>
    </r>
  </si>
  <si>
    <r>
      <rPr>
        <sz val="6"/>
        <color rgb="FF211E1F"/>
        <rFont val="Calibri"/>
      </rPr>
      <t>5.87</t>
    </r>
  </si>
  <si>
    <r>
      <rPr>
        <sz val="6"/>
        <color rgb="FF211E1F"/>
        <rFont val="Calibri"/>
      </rPr>
      <t>9.30</t>
    </r>
  </si>
  <si>
    <r>
      <rPr>
        <sz val="6"/>
        <color rgb="FF211E1F"/>
        <rFont val="Calibri"/>
      </rPr>
      <t>16.2</t>
    </r>
  </si>
  <si>
    <r>
      <rPr>
        <b/>
        <sz val="6"/>
        <color rgb="FF211E1F"/>
        <rFont val="Calibri"/>
      </rPr>
      <t>516 00 020 2</t>
    </r>
  </si>
  <si>
    <r>
      <rPr>
        <b/>
        <sz val="6"/>
        <color rgb="FF211E1F"/>
        <rFont val="Calibri"/>
      </rPr>
      <t>516 00 025 2</t>
    </r>
  </si>
  <si>
    <r>
      <rPr>
        <b/>
        <sz val="6"/>
        <color rgb="FF211E1F"/>
        <rFont val="Calibri"/>
      </rPr>
      <t>516 00 032 2</t>
    </r>
  </si>
  <si>
    <r>
      <rPr>
        <b/>
        <sz val="6"/>
        <color rgb="FF211E1F"/>
        <rFont val="Calibri"/>
      </rPr>
      <t>516 00 040 2</t>
    </r>
  </si>
  <si>
    <r>
      <rPr>
        <b/>
        <sz val="6"/>
        <color rgb="FF211E1F"/>
        <rFont val="Calibri"/>
      </rPr>
      <t>516 00 050 2</t>
    </r>
  </si>
  <si>
    <r>
      <rPr>
        <b/>
        <sz val="6"/>
        <color rgb="FF211E1F"/>
        <rFont val="Calibri"/>
      </rPr>
      <t>516 00 063 2</t>
    </r>
  </si>
  <si>
    <r>
      <rPr>
        <b/>
        <sz val="6"/>
        <color rgb="FF211E1F"/>
        <rFont val="Calibri"/>
      </rPr>
      <t>516 00 075 2</t>
    </r>
  </si>
  <si>
    <r>
      <rPr>
        <b/>
        <sz val="6"/>
        <color rgb="FF211E1F"/>
        <rFont val="Calibri"/>
      </rPr>
      <t>516 00 090 2</t>
    </r>
  </si>
  <si>
    <r>
      <rPr>
        <b/>
        <sz val="6"/>
        <color rgb="FF211E1F"/>
        <rFont val="Calibri"/>
      </rPr>
      <t>516 00 110 2</t>
    </r>
  </si>
  <si>
    <r>
      <rPr>
        <b/>
        <sz val="6"/>
        <color rgb="FF211E1F"/>
        <rFont val="Calibri"/>
      </rPr>
      <t>516 00 125 2</t>
    </r>
  </si>
  <si>
    <r>
      <rPr>
        <b/>
        <sz val="6"/>
        <color rgb="FF211E1F"/>
        <rFont val="Calibri"/>
      </rPr>
      <t>516 00 140 2</t>
    </r>
  </si>
  <si>
    <r>
      <rPr>
        <b/>
        <sz val="6"/>
        <color rgb="FF211E1F"/>
        <rFont val="Calibri"/>
      </rPr>
      <t>516 00 160 2</t>
    </r>
  </si>
  <si>
    <r>
      <rPr>
        <b/>
        <sz val="6"/>
        <color rgb="FF211E1F"/>
        <rFont val="Calibri"/>
      </rPr>
      <t>516 00 200 2</t>
    </r>
  </si>
  <si>
    <r>
      <rPr>
        <b/>
        <sz val="6"/>
        <color rgb="FF211E1F"/>
        <rFont val="Calibri"/>
      </rPr>
      <t>516 00 225 2</t>
    </r>
  </si>
  <si>
    <r>
      <rPr>
        <b/>
        <sz val="6"/>
        <color rgb="FF211E1F"/>
        <rFont val="Calibri"/>
      </rPr>
      <t>516 00 250 2</t>
    </r>
  </si>
  <si>
    <r>
      <rPr>
        <b/>
        <sz val="6"/>
        <color rgb="FF211E1F"/>
        <rFont val="Calibri"/>
      </rPr>
      <t>516 00 280 2</t>
    </r>
  </si>
  <si>
    <r>
      <rPr>
        <b/>
        <sz val="6"/>
        <color rgb="FF211E1F"/>
        <rFont val="Calibri"/>
      </rPr>
      <t>516 00 315 2</t>
    </r>
  </si>
  <si>
    <r>
      <rPr>
        <b/>
        <sz val="6"/>
        <color rgb="FF211E1F"/>
        <rFont val="Calibri"/>
      </rPr>
      <t>516 00 355 4</t>
    </r>
  </si>
  <si>
    <r>
      <rPr>
        <b/>
        <sz val="6"/>
        <color rgb="FF211E1F"/>
        <rFont val="Calibri"/>
      </rPr>
      <t>516 00 400 4</t>
    </r>
  </si>
  <si>
    <r>
      <rPr>
        <sz val="6"/>
        <color rgb="FF211E1F"/>
        <rFont val="Calibri"/>
      </rPr>
      <t>18.5</t>
    </r>
  </si>
  <si>
    <r>
      <rPr>
        <sz val="6"/>
        <color rgb="FF211E1F"/>
        <rFont val="Calibri"/>
      </rPr>
      <t>43.5</t>
    </r>
  </si>
  <si>
    <r>
      <rPr>
        <sz val="6"/>
        <color rgb="FF211E1F"/>
        <rFont val="Calibri"/>
      </rPr>
      <t>68.5</t>
    </r>
  </si>
  <si>
    <r>
      <rPr>
        <sz val="6"/>
        <color rgb="FF211E1F"/>
        <rFont val="Calibri"/>
      </rPr>
      <t>118.5</t>
    </r>
  </si>
  <si>
    <r>
      <rPr>
        <sz val="6"/>
        <color rgb="FF211E1F"/>
        <rFont val="Calibri"/>
      </rPr>
      <t>163.5</t>
    </r>
  </si>
  <si>
    <r>
      <rPr>
        <sz val="6"/>
        <color rgb="FF211E1F"/>
        <rFont val="Calibri"/>
      </rPr>
      <t>183.5</t>
    </r>
  </si>
  <si>
    <t>t</t>
  </si>
  <si>
    <r>
      <rPr>
        <sz val="6"/>
        <color rgb="FF211E1F"/>
        <rFont val="Calibri"/>
      </rPr>
      <t>5.5</t>
    </r>
  </si>
  <si>
    <r>
      <rPr>
        <sz val="6"/>
        <color rgb="FF211E1F"/>
        <rFont val="Calibri"/>
      </rPr>
      <t>8.5</t>
    </r>
  </si>
  <si>
    <r>
      <rPr>
        <sz val="6"/>
        <color rgb="FF211E1F"/>
        <rFont val="Calibri"/>
        <family val="2"/>
        <charset val="204"/>
      </rPr>
      <t>0.40</t>
    </r>
  </si>
  <si>
    <r>
      <rPr>
        <sz val="6"/>
        <color rgb="FF211E1F"/>
        <rFont val="Calibri"/>
        <family val="2"/>
        <charset val="204"/>
      </rPr>
      <t>43.5</t>
    </r>
  </si>
  <si>
    <r>
      <rPr>
        <b/>
        <sz val="6"/>
        <color rgb="FF211E1F"/>
        <rFont val="Calibri"/>
        <family val="2"/>
        <charset val="204"/>
      </rPr>
      <t>512 00 016 2</t>
    </r>
  </si>
  <si>
    <r>
      <rPr>
        <b/>
        <sz val="6"/>
        <color rgb="FF211E1F"/>
        <rFont val="Calibri"/>
        <family val="2"/>
        <charset val="204"/>
      </rPr>
      <t>512 00 020 2</t>
    </r>
  </si>
  <si>
    <r>
      <rPr>
        <b/>
        <sz val="6"/>
        <color rgb="FF211E1F"/>
        <rFont val="Calibri"/>
        <family val="2"/>
        <charset val="204"/>
      </rPr>
      <t>512 00 025 2</t>
    </r>
  </si>
  <si>
    <r>
      <rPr>
        <b/>
        <sz val="6"/>
        <color rgb="FF211E1F"/>
        <rFont val="Calibri"/>
        <family val="2"/>
        <charset val="204"/>
      </rPr>
      <t>512 00 032 2</t>
    </r>
  </si>
  <si>
    <r>
      <rPr>
        <b/>
        <sz val="6"/>
        <color rgb="FF211E1F"/>
        <rFont val="Calibri"/>
        <family val="2"/>
        <charset val="204"/>
      </rPr>
      <t>512 00 040 2</t>
    </r>
  </si>
  <si>
    <r>
      <rPr>
        <b/>
        <sz val="6"/>
        <color rgb="FF211E1F"/>
        <rFont val="Calibri"/>
        <family val="2"/>
        <charset val="204"/>
      </rPr>
      <t>512 00 050 2</t>
    </r>
  </si>
  <si>
    <r>
      <rPr>
        <sz val="6"/>
        <color rgb="FF211E1F"/>
        <rFont val="Calibri"/>
        <family val="2"/>
        <charset val="204"/>
      </rPr>
      <t>0.012</t>
    </r>
  </si>
  <si>
    <r>
      <rPr>
        <sz val="6"/>
        <color rgb="FF211E1F"/>
        <rFont val="Calibri"/>
        <family val="2"/>
        <charset val="204"/>
      </rPr>
      <t>0.009</t>
    </r>
  </si>
  <si>
    <r>
      <rPr>
        <sz val="6"/>
        <color rgb="FF211E1F"/>
        <rFont val="Calibri"/>
        <family val="2"/>
        <charset val="204"/>
      </rPr>
      <t>0.01</t>
    </r>
  </si>
  <si>
    <r>
      <rPr>
        <sz val="6"/>
        <color rgb="FF211E1F"/>
        <rFont val="Calibri"/>
        <family val="2"/>
        <charset val="204"/>
      </rPr>
      <t>0.02</t>
    </r>
  </si>
  <si>
    <r>
      <rPr>
        <sz val="6"/>
        <color rgb="FF211E1F"/>
        <rFont val="Calibri"/>
        <family val="2"/>
        <charset val="204"/>
      </rPr>
      <t>0.04</t>
    </r>
  </si>
  <si>
    <r>
      <rPr>
        <sz val="6"/>
        <color rgb="FF211E1F"/>
        <rFont val="Calibri"/>
        <family val="2"/>
        <charset val="204"/>
      </rPr>
      <t>0.06</t>
    </r>
  </si>
  <si>
    <t>Dnar</t>
  </si>
  <si>
    <t>Dvn</t>
  </si>
  <si>
    <r>
      <rPr>
        <sz val="6"/>
        <color rgb="FF211E1F"/>
        <rFont val="Calibri"/>
        <family val="2"/>
        <charset val="204"/>
      </rPr>
      <t>34.0</t>
    </r>
  </si>
  <si>
    <r>
      <rPr>
        <sz val="6"/>
        <color rgb="FF211E1F"/>
        <rFont val="Calibri"/>
        <family val="2"/>
        <charset val="204"/>
      </rPr>
      <t>41.0</t>
    </r>
  </si>
  <si>
    <r>
      <rPr>
        <sz val="6"/>
        <color rgb="FF211E1F"/>
        <rFont val="Calibri"/>
        <family val="2"/>
        <charset val="204"/>
      </rPr>
      <t>50.0</t>
    </r>
  </si>
  <si>
    <r>
      <rPr>
        <sz val="6"/>
        <color rgb="FF211E1F"/>
        <rFont val="Calibri"/>
        <family val="2"/>
        <charset val="204"/>
      </rPr>
      <t>61.0</t>
    </r>
  </si>
  <si>
    <r>
      <rPr>
        <sz val="6"/>
        <color rgb="FF211E1F"/>
        <rFont val="Calibri"/>
        <family val="2"/>
        <charset val="204"/>
      </rPr>
      <t>73.0</t>
    </r>
  </si>
  <si>
    <t>Db</t>
  </si>
  <si>
    <r>
      <rPr>
        <sz val="6"/>
        <color rgb="FF211E1F"/>
        <rFont val="Calibri"/>
        <family val="2"/>
        <charset val="204"/>
      </rPr>
      <t>14.0</t>
    </r>
  </si>
  <si>
    <r>
      <rPr>
        <sz val="6"/>
        <color rgb="FF211E1F"/>
        <rFont val="Calibri"/>
        <family val="2"/>
        <charset val="204"/>
      </rPr>
      <t>16.0</t>
    </r>
  </si>
  <si>
    <r>
      <rPr>
        <sz val="6"/>
        <color rgb="FF211E1F"/>
        <rFont val="Calibri"/>
        <family val="2"/>
        <charset val="204"/>
      </rPr>
      <t>19.0</t>
    </r>
  </si>
  <si>
    <r>
      <rPr>
        <sz val="6"/>
        <color rgb="FF211E1F"/>
        <rFont val="Calibri"/>
        <family val="2"/>
        <charset val="204"/>
      </rPr>
      <t>22.0</t>
    </r>
  </si>
  <si>
    <r>
      <rPr>
        <sz val="6"/>
        <color rgb="FF211E1F"/>
        <rFont val="Calibri"/>
        <family val="2"/>
        <charset val="204"/>
      </rPr>
      <t>26.0</t>
    </r>
  </si>
  <si>
    <r>
      <rPr>
        <sz val="6"/>
        <color rgb="FF211E1F"/>
        <rFont val="Calibri"/>
        <family val="2"/>
        <charset val="204"/>
      </rPr>
      <t>31.0</t>
    </r>
  </si>
  <si>
    <r>
      <rPr>
        <sz val="6"/>
        <color rgb="FF211E1F"/>
        <rFont val="Calibri"/>
        <family val="2"/>
        <charset val="204"/>
      </rPr>
      <t>0.09</t>
    </r>
  </si>
  <si>
    <r>
      <rPr>
        <sz val="6"/>
        <color rgb="FF211E1F"/>
        <rFont val="Calibri"/>
        <family val="2"/>
        <charset val="204"/>
      </rPr>
      <t>0.16</t>
    </r>
  </si>
  <si>
    <r>
      <rPr>
        <sz val="6"/>
        <color rgb="FF211E1F"/>
        <rFont val="Calibri"/>
        <family val="2"/>
        <charset val="204"/>
      </rPr>
      <t>0.23</t>
    </r>
  </si>
  <si>
    <r>
      <rPr>
        <sz val="6"/>
        <color rgb="FF211E1F"/>
        <rFont val="Calibri"/>
        <family val="2"/>
        <charset val="204"/>
      </rPr>
      <t>0.41</t>
    </r>
  </si>
  <si>
    <r>
      <rPr>
        <sz val="6"/>
        <color rgb="FF211E1F"/>
        <rFont val="Calibri"/>
        <family val="2"/>
        <charset val="204"/>
      </rPr>
      <t>0.60</t>
    </r>
  </si>
  <si>
    <r>
      <rPr>
        <sz val="6"/>
        <color rgb="FF211E1F"/>
        <rFont val="Calibri"/>
        <family val="2"/>
        <charset val="204"/>
      </rPr>
      <t>0.78</t>
    </r>
  </si>
  <si>
    <r>
      <rPr>
        <sz val="6"/>
        <color rgb="FF211E1F"/>
        <rFont val="Calibri"/>
        <family val="2"/>
        <charset val="204"/>
      </rPr>
      <t>1.10</t>
    </r>
  </si>
  <si>
    <r>
      <rPr>
        <sz val="6"/>
        <color rgb="FF211E1F"/>
        <rFont val="Calibri"/>
        <family val="2"/>
        <charset val="204"/>
      </rPr>
      <t>1.45</t>
    </r>
  </si>
  <si>
    <r>
      <rPr>
        <sz val="6"/>
        <color rgb="FF211E1F"/>
        <rFont val="Calibri"/>
        <family val="2"/>
        <charset val="204"/>
      </rPr>
      <t>2.06</t>
    </r>
  </si>
  <si>
    <r>
      <rPr>
        <sz val="6"/>
        <color rgb="FF211E1F"/>
        <rFont val="Calibri"/>
        <family val="2"/>
        <charset val="204"/>
      </rPr>
      <t>2.75</t>
    </r>
  </si>
  <si>
    <r>
      <rPr>
        <sz val="6"/>
        <color rgb="FF211E1F"/>
        <rFont val="Calibri"/>
        <family val="2"/>
        <charset val="204"/>
      </rPr>
      <t>3.05</t>
    </r>
  </si>
  <si>
    <r>
      <rPr>
        <sz val="6"/>
        <color rgb="FF211E1F"/>
        <rFont val="Calibri"/>
        <family val="2"/>
        <charset val="204"/>
      </rPr>
      <t>3.95</t>
    </r>
  </si>
  <si>
    <r>
      <rPr>
        <sz val="6"/>
        <color rgb="FF211E1F"/>
        <rFont val="Calibri"/>
        <family val="2"/>
        <charset val="204"/>
      </rPr>
      <t>5.7</t>
    </r>
  </si>
  <si>
    <r>
      <rPr>
        <sz val="6"/>
        <color rgb="FF211E1F"/>
        <rFont val="Calibri"/>
        <family val="2"/>
        <charset val="204"/>
      </rPr>
      <t>7.05</t>
    </r>
  </si>
  <si>
    <r>
      <rPr>
        <b/>
        <sz val="6"/>
        <color rgb="FF211E1F"/>
        <rFont val="Calibri"/>
        <family val="2"/>
        <charset val="204"/>
      </rPr>
      <t>512 00 063 2</t>
    </r>
  </si>
  <si>
    <r>
      <rPr>
        <b/>
        <sz val="6"/>
        <color rgb="FF211E1F"/>
        <rFont val="Calibri"/>
        <family val="2"/>
        <charset val="204"/>
      </rPr>
      <t>512 00 075 2</t>
    </r>
  </si>
  <si>
    <r>
      <rPr>
        <b/>
        <sz val="6"/>
        <color rgb="FF211E1F"/>
        <rFont val="Calibri"/>
        <family val="2"/>
        <charset val="204"/>
      </rPr>
      <t>512 00 090 2</t>
    </r>
  </si>
  <si>
    <r>
      <rPr>
        <b/>
        <sz val="6"/>
        <color rgb="FF211E1F"/>
        <rFont val="Calibri"/>
        <family val="2"/>
        <charset val="204"/>
      </rPr>
      <t>512 00 110 2</t>
    </r>
  </si>
  <si>
    <r>
      <rPr>
        <b/>
        <sz val="6"/>
        <color rgb="FF211E1F"/>
        <rFont val="Calibri"/>
        <family val="2"/>
        <charset val="204"/>
      </rPr>
      <t>512 00 125 2</t>
    </r>
  </si>
  <si>
    <r>
      <rPr>
        <b/>
        <sz val="6"/>
        <color rgb="FF211E1F"/>
        <rFont val="Calibri"/>
        <family val="2"/>
        <charset val="204"/>
      </rPr>
      <t>512 00 140 2</t>
    </r>
  </si>
  <si>
    <r>
      <rPr>
        <b/>
        <sz val="6"/>
        <color rgb="FF211E1F"/>
        <rFont val="Calibri"/>
        <family val="2"/>
        <charset val="204"/>
      </rPr>
      <t>512 00 160 2</t>
    </r>
  </si>
  <si>
    <r>
      <rPr>
        <b/>
        <sz val="6"/>
        <color rgb="FF211E1F"/>
        <rFont val="Calibri"/>
        <family val="2"/>
        <charset val="204"/>
      </rPr>
      <t>512 00 200 2</t>
    </r>
  </si>
  <si>
    <r>
      <rPr>
        <b/>
        <sz val="6"/>
        <color rgb="FF211E1F"/>
        <rFont val="Calibri"/>
        <family val="2"/>
        <charset val="204"/>
      </rPr>
      <t>512 00 225 2</t>
    </r>
  </si>
  <si>
    <r>
      <rPr>
        <b/>
        <sz val="6"/>
        <color rgb="FF211E1F"/>
        <rFont val="Calibri"/>
        <family val="2"/>
        <charset val="204"/>
      </rPr>
      <t>512 00 250 2</t>
    </r>
  </si>
  <si>
    <r>
      <rPr>
        <b/>
        <sz val="6"/>
        <color rgb="FF211E1F"/>
        <rFont val="Calibri"/>
        <family val="2"/>
        <charset val="204"/>
      </rPr>
      <t>512 00 280 2</t>
    </r>
  </si>
  <si>
    <r>
      <rPr>
        <b/>
        <sz val="6"/>
        <color rgb="FF211E1F"/>
        <rFont val="Calibri"/>
        <family val="2"/>
        <charset val="204"/>
      </rPr>
      <t>512 00 315 2</t>
    </r>
  </si>
  <si>
    <r>
      <rPr>
        <b/>
        <sz val="6"/>
        <color rgb="FF211E1F"/>
        <rFont val="Calibri"/>
        <family val="2"/>
        <charset val="204"/>
      </rPr>
      <t>512 00 355 5</t>
    </r>
  </si>
  <si>
    <r>
      <rPr>
        <b/>
        <sz val="6"/>
        <color rgb="FF211E1F"/>
        <rFont val="Calibri"/>
        <family val="2"/>
        <charset val="204"/>
      </rPr>
      <t>512 00 400 4</t>
    </r>
  </si>
  <si>
    <r>
      <rPr>
        <sz val="6"/>
        <color rgb="FF211E1F"/>
        <rFont val="Calibri"/>
        <family val="2"/>
        <charset val="204"/>
      </rPr>
      <t>38.0</t>
    </r>
  </si>
  <si>
    <r>
      <rPr>
        <sz val="6"/>
        <color rgb="FF211E1F"/>
        <rFont val="Calibri"/>
        <family val="2"/>
        <charset val="204"/>
      </rPr>
      <t>51.0</t>
    </r>
  </si>
  <si>
    <r>
      <rPr>
        <sz val="6"/>
        <color rgb="FF211E1F"/>
        <rFont val="Calibri"/>
        <family val="2"/>
        <charset val="204"/>
      </rPr>
      <t>69.0</t>
    </r>
  </si>
  <si>
    <r>
      <rPr>
        <sz val="6"/>
        <color rgb="FF211E1F"/>
        <rFont val="Calibri"/>
        <family val="2"/>
        <charset val="204"/>
      </rPr>
      <t>76.0</t>
    </r>
  </si>
  <si>
    <r>
      <rPr>
        <sz val="6"/>
        <color rgb="FF211E1F"/>
        <rFont val="Calibri"/>
        <family val="2"/>
        <charset val="204"/>
      </rPr>
      <t>86.0</t>
    </r>
  </si>
  <si>
    <r>
      <rPr>
        <sz val="6"/>
        <color rgb="FF211E1F"/>
        <rFont val="Calibri"/>
        <family val="2"/>
        <charset val="204"/>
      </rPr>
      <t>106.0</t>
    </r>
  </si>
  <si>
    <r>
      <rPr>
        <sz val="6"/>
        <color rgb="FF211E1F"/>
        <rFont val="Calibri"/>
        <family val="2"/>
        <charset val="204"/>
      </rPr>
      <t>120.0</t>
    </r>
  </si>
  <si>
    <r>
      <rPr>
        <sz val="6"/>
        <color rgb="FF211E1F"/>
        <rFont val="Calibri"/>
        <family val="2"/>
        <charset val="204"/>
      </rPr>
      <t>131.0</t>
    </r>
  </si>
  <si>
    <r>
      <rPr>
        <sz val="6"/>
        <color rgb="FF211E1F"/>
        <rFont val="Calibri"/>
        <family val="2"/>
        <charset val="204"/>
      </rPr>
      <t>146.0</t>
    </r>
  </si>
  <si>
    <r>
      <rPr>
        <sz val="6"/>
        <color rgb="FF211E1F"/>
        <rFont val="Calibri"/>
        <family val="2"/>
        <charset val="204"/>
      </rPr>
      <t>164.0</t>
    </r>
  </si>
  <si>
    <r>
      <rPr>
        <sz val="6"/>
        <color rgb="FF211E1F"/>
        <rFont val="Calibri"/>
        <family val="2"/>
        <charset val="204"/>
      </rPr>
      <t>184.0</t>
    </r>
  </si>
  <si>
    <r>
      <rPr>
        <sz val="6"/>
        <color rgb="FF211E1F"/>
        <rFont val="Calibri"/>
        <family val="2"/>
        <charset val="204"/>
      </rPr>
      <t>206.0</t>
    </r>
  </si>
  <si>
    <r>
      <rPr>
        <sz val="6"/>
        <color rgb="FF211E1F"/>
        <rFont val="Calibri"/>
        <family val="2"/>
        <charset val="204"/>
      </rPr>
      <t>91.0</t>
    </r>
  </si>
  <si>
    <r>
      <rPr>
        <sz val="6"/>
        <color rgb="FF211E1F"/>
        <rFont val="Calibri"/>
        <family val="2"/>
        <charset val="204"/>
      </rPr>
      <t>125.0</t>
    </r>
  </si>
  <si>
    <r>
      <rPr>
        <sz val="6"/>
        <color rgb="FF211E1F"/>
        <rFont val="Calibri"/>
        <family val="2"/>
        <charset val="204"/>
      </rPr>
      <t>150.0</t>
    </r>
  </si>
  <si>
    <r>
      <rPr>
        <sz val="6"/>
        <color rgb="FF211E1F"/>
        <rFont val="Calibri"/>
        <family val="2"/>
        <charset val="204"/>
      </rPr>
      <t>170.0</t>
    </r>
  </si>
  <si>
    <r>
      <rPr>
        <sz val="6"/>
        <color rgb="FF211E1F"/>
        <rFont val="Calibri"/>
        <family val="2"/>
        <charset val="204"/>
      </rPr>
      <t>188.0</t>
    </r>
  </si>
  <si>
    <r>
      <rPr>
        <sz val="6"/>
        <color rgb="FF211E1F"/>
        <rFont val="Calibri"/>
        <family val="2"/>
        <charset val="204"/>
      </rPr>
      <t>213.0</t>
    </r>
  </si>
  <si>
    <r>
      <rPr>
        <sz val="6"/>
        <color rgb="FF211E1F"/>
        <rFont val="Calibri"/>
        <family val="2"/>
        <charset val="204"/>
      </rPr>
      <t>255.0</t>
    </r>
  </si>
  <si>
    <r>
      <rPr>
        <sz val="6"/>
        <color rgb="FF211E1F"/>
        <rFont val="Calibri"/>
        <family val="2"/>
        <charset val="204"/>
      </rPr>
      <t>274.0</t>
    </r>
  </si>
  <si>
    <r>
      <rPr>
        <sz val="6"/>
        <color rgb="FF211E1F"/>
        <rFont val="Calibri"/>
        <family val="2"/>
        <charset val="204"/>
      </rPr>
      <t>303.0</t>
    </r>
  </si>
  <si>
    <r>
      <rPr>
        <sz val="6"/>
        <color rgb="FF211E1F"/>
        <rFont val="Calibri"/>
        <family val="2"/>
        <charset val="204"/>
      </rPr>
      <t>329.0</t>
    </r>
  </si>
  <si>
    <r>
      <rPr>
        <sz val="6"/>
        <color rgb="FF211E1F"/>
        <rFont val="Calibri"/>
        <family val="2"/>
        <charset val="204"/>
      </rPr>
      <t>346.0</t>
    </r>
  </si>
  <si>
    <r>
      <rPr>
        <sz val="6"/>
        <color rgb="FF211E1F"/>
        <rFont val="Calibri"/>
        <family val="2"/>
        <charset val="204"/>
      </rPr>
      <t>430.0</t>
    </r>
  </si>
  <si>
    <r>
      <rPr>
        <sz val="6"/>
        <color rgb="FF211E1F"/>
        <rFont val="Calibri"/>
        <family val="2"/>
        <charset val="204"/>
      </rPr>
      <t>482.0</t>
    </r>
  </si>
  <si>
    <r>
      <rPr>
        <b/>
        <sz val="6"/>
        <color rgb="FF211E1F"/>
        <rFont val="Calibri"/>
        <family val="2"/>
        <charset val="204"/>
      </rPr>
      <t>513 00 020 2</t>
    </r>
  </si>
  <si>
    <r>
      <rPr>
        <b/>
        <sz val="6"/>
        <color rgb="FF211E1F"/>
        <rFont val="Calibri"/>
        <family val="2"/>
        <charset val="204"/>
      </rPr>
      <t>513 00 025 2</t>
    </r>
  </si>
  <si>
    <r>
      <rPr>
        <b/>
        <sz val="6"/>
        <color rgb="FF211E1F"/>
        <rFont val="Calibri"/>
        <family val="2"/>
        <charset val="204"/>
      </rPr>
      <t>513 00 032 2</t>
    </r>
  </si>
  <si>
    <r>
      <rPr>
        <b/>
        <sz val="6"/>
        <color rgb="FF211E1F"/>
        <rFont val="Calibri"/>
        <family val="2"/>
        <charset val="204"/>
      </rPr>
      <t>513 00 040 2</t>
    </r>
  </si>
  <si>
    <r>
      <rPr>
        <b/>
        <sz val="6"/>
        <color rgb="FF211E1F"/>
        <rFont val="Calibri"/>
        <family val="2"/>
        <charset val="204"/>
      </rPr>
      <t>513 00 050 2</t>
    </r>
  </si>
  <si>
    <r>
      <rPr>
        <b/>
        <sz val="6"/>
        <color rgb="FF211E1F"/>
        <rFont val="Calibri"/>
        <family val="2"/>
        <charset val="204"/>
      </rPr>
      <t>513 00 063 2</t>
    </r>
  </si>
  <si>
    <r>
      <rPr>
        <b/>
        <sz val="6"/>
        <color rgb="FF211E1F"/>
        <rFont val="Calibri"/>
        <family val="2"/>
        <charset val="204"/>
      </rPr>
      <t>513 00 075 2</t>
    </r>
  </si>
  <si>
    <r>
      <rPr>
        <b/>
        <sz val="6"/>
        <color rgb="FF211E1F"/>
        <rFont val="Calibri"/>
        <family val="2"/>
        <charset val="204"/>
      </rPr>
      <t>513 00 090 2</t>
    </r>
  </si>
  <si>
    <r>
      <rPr>
        <b/>
        <sz val="6"/>
        <color rgb="FF211E1F"/>
        <rFont val="Calibri"/>
        <family val="2"/>
        <charset val="204"/>
      </rPr>
      <t>513 00 110 2</t>
    </r>
  </si>
  <si>
    <r>
      <rPr>
        <b/>
        <sz val="6"/>
        <color rgb="FF211E1F"/>
        <rFont val="Calibri"/>
        <family val="2"/>
        <charset val="204"/>
      </rPr>
      <t>513 00 125 2</t>
    </r>
  </si>
  <si>
    <r>
      <rPr>
        <b/>
        <sz val="6"/>
        <color rgb="FF211E1F"/>
        <rFont val="Calibri"/>
        <family val="2"/>
        <charset val="204"/>
      </rPr>
      <t>513 00 140 2</t>
    </r>
  </si>
  <si>
    <r>
      <rPr>
        <b/>
        <sz val="6"/>
        <color rgb="FF211E1F"/>
        <rFont val="Calibri"/>
        <family val="2"/>
        <charset val="204"/>
      </rPr>
      <t>513 00 160 2</t>
    </r>
  </si>
  <si>
    <r>
      <rPr>
        <b/>
        <sz val="6"/>
        <color rgb="FF211E1F"/>
        <rFont val="Calibri"/>
        <family val="2"/>
        <charset val="204"/>
      </rPr>
      <t>513 00 200 2</t>
    </r>
  </si>
  <si>
    <r>
      <rPr>
        <b/>
        <sz val="6"/>
        <color rgb="FF211E1F"/>
        <rFont val="Calibri"/>
        <family val="2"/>
        <charset val="204"/>
      </rPr>
      <t>513 00 225 2</t>
    </r>
  </si>
  <si>
    <r>
      <rPr>
        <b/>
        <sz val="6"/>
        <color rgb="FF211E1F"/>
        <rFont val="Calibri"/>
        <family val="2"/>
        <charset val="204"/>
      </rPr>
      <t>513 00 250 2</t>
    </r>
  </si>
  <si>
    <r>
      <rPr>
        <b/>
        <sz val="6"/>
        <color rgb="FF211E1F"/>
        <rFont val="Calibri"/>
        <family val="2"/>
        <charset val="204"/>
      </rPr>
      <t>513 00 280 2</t>
    </r>
  </si>
  <si>
    <r>
      <rPr>
        <b/>
        <sz val="6"/>
        <color rgb="FF211E1F"/>
        <rFont val="Calibri"/>
        <family val="2"/>
        <charset val="204"/>
      </rPr>
      <t>513 00 315 2</t>
    </r>
  </si>
  <si>
    <r>
      <rPr>
        <b/>
        <sz val="6"/>
        <color rgb="FF211E1F"/>
        <rFont val="Calibri"/>
        <family val="2"/>
        <charset val="204"/>
      </rPr>
      <t>513 00 355 4</t>
    </r>
  </si>
  <si>
    <r>
      <rPr>
        <b/>
        <sz val="6"/>
        <color rgb="FF211E1F"/>
        <rFont val="Calibri"/>
        <family val="2"/>
        <charset val="204"/>
      </rPr>
      <t>513 00 400 4</t>
    </r>
  </si>
  <si>
    <r>
      <rPr>
        <sz val="6"/>
        <color rgb="FF211E1F"/>
        <rFont val="Calibri"/>
        <family val="2"/>
        <charset val="204"/>
      </rPr>
      <t>0.10</t>
    </r>
  </si>
  <si>
    <r>
      <rPr>
        <sz val="6"/>
        <color rgb="FF211E1F"/>
        <rFont val="Calibri"/>
        <family val="2"/>
        <charset val="204"/>
      </rPr>
      <t>0.12</t>
    </r>
  </si>
  <si>
    <r>
      <rPr>
        <sz val="6"/>
        <color rgb="FF211E1F"/>
        <rFont val="Calibri"/>
        <family val="2"/>
        <charset val="204"/>
      </rPr>
      <t>0.18</t>
    </r>
  </si>
  <si>
    <r>
      <rPr>
        <sz val="6"/>
        <color rgb="FF211E1F"/>
        <rFont val="Calibri"/>
        <family val="2"/>
        <charset val="204"/>
      </rPr>
      <t>0.29</t>
    </r>
  </si>
  <si>
    <r>
      <rPr>
        <sz val="6"/>
        <color rgb="FF211E1F"/>
        <rFont val="Calibri"/>
        <family val="2"/>
        <charset val="204"/>
      </rPr>
      <t>0.30</t>
    </r>
  </si>
  <si>
    <r>
      <rPr>
        <sz val="6"/>
        <color rgb="FF211E1F"/>
        <rFont val="Calibri"/>
        <family val="2"/>
        <charset val="204"/>
      </rPr>
      <t>0.46</t>
    </r>
  </si>
  <si>
    <r>
      <rPr>
        <sz val="6"/>
        <color rgb="FF211E1F"/>
        <rFont val="Calibri"/>
        <family val="2"/>
        <charset val="204"/>
      </rPr>
      <t>0.53</t>
    </r>
  </si>
  <si>
    <r>
      <rPr>
        <sz val="6"/>
        <color rgb="FF211E1F"/>
        <rFont val="Calibri"/>
        <family val="2"/>
        <charset val="204"/>
      </rPr>
      <t>0.74</t>
    </r>
  </si>
  <si>
    <r>
      <rPr>
        <sz val="6"/>
        <color rgb="FF211E1F"/>
        <rFont val="Calibri"/>
        <family val="2"/>
        <charset val="204"/>
      </rPr>
      <t>0.81</t>
    </r>
  </si>
  <si>
    <r>
      <rPr>
        <sz val="6"/>
        <color rgb="FF211E1F"/>
        <rFont val="Calibri"/>
        <family val="2"/>
        <charset val="204"/>
      </rPr>
      <t>1.67</t>
    </r>
  </si>
  <si>
    <r>
      <rPr>
        <sz val="6"/>
        <color rgb="FF211E1F"/>
        <rFont val="Calibri"/>
        <family val="2"/>
        <charset val="204"/>
      </rPr>
      <t>1.23</t>
    </r>
  </si>
  <si>
    <r>
      <rPr>
        <sz val="6"/>
        <color rgb="FF211E1F"/>
        <rFont val="Calibri"/>
        <family val="2"/>
        <charset val="204"/>
      </rPr>
      <t>2.19</t>
    </r>
  </si>
  <si>
    <r>
      <rPr>
        <sz val="6"/>
        <color rgb="FF211E1F"/>
        <rFont val="Calibri"/>
        <family val="2"/>
        <charset val="204"/>
      </rPr>
      <t>1.58</t>
    </r>
  </si>
  <si>
    <r>
      <rPr>
        <sz val="6"/>
        <color rgb="FF211E1F"/>
        <rFont val="Calibri"/>
        <family val="2"/>
        <charset val="204"/>
      </rPr>
      <t>2.96</t>
    </r>
  </si>
  <si>
    <t>PVC-U-PIN</t>
  </si>
  <si>
    <t>ду_PVC-U_Pin</t>
  </si>
  <si>
    <t>отвод_PVC_U_Pin</t>
  </si>
  <si>
    <t>трой_PVC_U_Pin</t>
  </si>
  <si>
    <t>фл_PVC_U_Pin</t>
  </si>
  <si>
    <t>бурт_PVC_U_Pin</t>
  </si>
  <si>
    <t>заглушка_PVC_U_Pin</t>
  </si>
  <si>
    <t>переход_PVC_U_Pin</t>
  </si>
  <si>
    <t>ду_ПЭ100</t>
  </si>
  <si>
    <t>ПЭ</t>
  </si>
  <si>
    <t>PPR</t>
  </si>
  <si>
    <t>ду_PPR</t>
  </si>
  <si>
    <t>VG</t>
  </si>
  <si>
    <t>Медь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</si>
</sst>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7"/>
      <color rgb="FF000000"/>
      <name val="Arial"/>
      <family val="2"/>
      <charset val="204"/>
    </font>
    <font>
      <sz val="7"/>
      <color rgb="FF000000"/>
      <name val="Arial"/>
    </font>
    <font>
      <b/>
      <sz val="6"/>
      <color rgb="FF211E1F"/>
      <name val="Calibri"/>
    </font>
    <font>
      <sz val="6"/>
      <color rgb="FF000000"/>
      <name val="Calibri"/>
    </font>
    <font>
      <sz val="6"/>
      <color rgb="FF211E1F"/>
      <name val="Calibri"/>
    </font>
    <font>
      <sz val="6"/>
      <color rgb="FF211E1F"/>
      <name val="Calibri"/>
      <family val="2"/>
      <charset val="204"/>
    </font>
    <font>
      <b/>
      <sz val="6"/>
      <color rgb="FF211E1F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D6D6D5"/>
      </patternFill>
    </fill>
    <fill>
      <patternFill patternType="solid">
        <fgColor rgb="FFE3E4E5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211E1F"/>
      </left>
      <right style="thin">
        <color rgb="FF211E1F"/>
      </right>
      <top/>
      <bottom/>
      <diagonal/>
    </border>
    <border>
      <left/>
      <right style="thin">
        <color rgb="FF211E1F"/>
      </right>
      <top/>
      <bottom/>
      <diagonal/>
    </border>
    <border>
      <left style="thin">
        <color rgb="FF211E1F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211E1F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49" fontId="0" fillId="0" borderId="0" xfId="0" applyNumberFormat="1"/>
    <xf numFmtId="49" fontId="0" fillId="0" borderId="2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" xfId="0" applyBorder="1"/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 indent="3"/>
    </xf>
    <xf numFmtId="0" fontId="4" fillId="3" borderId="0" xfId="0" applyFont="1" applyFill="1" applyAlignment="1">
      <alignment horizontal="left" vertical="center" wrapText="1" indent="1"/>
    </xf>
    <xf numFmtId="0" fontId="4" fillId="3" borderId="0" xfId="0" applyFont="1" applyFill="1" applyAlignment="1">
      <alignment horizontal="right" vertical="center" wrapText="1"/>
    </xf>
    <xf numFmtId="0" fontId="4" fillId="3" borderId="0" xfId="0" applyFont="1" applyFill="1" applyAlignment="1">
      <alignment vertical="center" wrapText="1"/>
    </xf>
    <xf numFmtId="0" fontId="4" fillId="3" borderId="16" xfId="0" applyFont="1" applyFill="1" applyBorder="1" applyAlignment="1">
      <alignment horizontal="left" vertical="center" wrapText="1" indent="4"/>
    </xf>
    <xf numFmtId="0" fontId="4" fillId="3" borderId="17" xfId="0" applyFont="1" applyFill="1" applyBorder="1" applyAlignment="1">
      <alignment vertical="center" wrapText="1"/>
    </xf>
    <xf numFmtId="0" fontId="4" fillId="3" borderId="16" xfId="0" applyFont="1" applyFill="1" applyBorder="1" applyAlignment="1">
      <alignment vertical="center" wrapText="1"/>
    </xf>
    <xf numFmtId="2" fontId="0" fillId="0" borderId="0" xfId="0" applyNumberFormat="1"/>
    <xf numFmtId="2" fontId="4" fillId="3" borderId="15" xfId="0" applyNumberFormat="1" applyFont="1" applyFill="1" applyBorder="1" applyAlignment="1">
      <alignment vertical="center" wrapText="1"/>
    </xf>
    <xf numFmtId="0" fontId="4" fillId="3" borderId="17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left" vertical="center" wrapText="1" indent="2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2"/>
    </xf>
    <xf numFmtId="0" fontId="5" fillId="3" borderId="17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vertical="center" wrapText="1"/>
    </xf>
    <xf numFmtId="0" fontId="5" fillId="3" borderId="17" xfId="0" applyFont="1" applyFill="1" applyBorder="1" applyAlignment="1">
      <alignment horizontal="left" vertical="center" wrapText="1"/>
    </xf>
    <xf numFmtId="0" fontId="5" fillId="3" borderId="16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horizontal="left" vertical="center" wrapText="1"/>
    </xf>
    <xf numFmtId="0" fontId="6" fillId="4" borderId="18" xfId="0" applyFont="1" applyFill="1" applyBorder="1" applyAlignment="1">
      <alignment horizontal="left" vertical="center" wrapText="1" indent="1"/>
    </xf>
    <xf numFmtId="0" fontId="7" fillId="0" borderId="19" xfId="0" applyFont="1" applyBorder="1" applyAlignment="1">
      <alignment horizontal="left" vertical="center" wrapText="1" indent="1"/>
    </xf>
    <xf numFmtId="0" fontId="8" fillId="4" borderId="19" xfId="0" applyFont="1" applyFill="1" applyBorder="1" applyAlignment="1">
      <alignment horizontal="left" vertical="center" wrapText="1" indent="1"/>
    </xf>
    <xf numFmtId="0" fontId="8" fillId="0" borderId="19" xfId="0" applyFont="1" applyBorder="1" applyAlignment="1">
      <alignment horizontal="left" vertical="center" wrapText="1" indent="1"/>
    </xf>
    <xf numFmtId="0" fontId="8" fillId="0" borderId="18" xfId="0" applyFont="1" applyBorder="1" applyAlignment="1">
      <alignment horizontal="left" vertical="center" wrapText="1" indent="1"/>
    </xf>
    <xf numFmtId="0" fontId="8" fillId="4" borderId="18" xfId="0" applyFont="1" applyFill="1" applyBorder="1" applyAlignment="1">
      <alignment horizontal="left" vertical="center" wrapText="1" indent="1"/>
    </xf>
    <xf numFmtId="0" fontId="8" fillId="0" borderId="20" xfId="0" applyFont="1" applyBorder="1" applyAlignment="1">
      <alignment vertical="center" wrapText="1"/>
    </xf>
    <xf numFmtId="0" fontId="8" fillId="4" borderId="20" xfId="0" applyFont="1" applyFill="1" applyBorder="1" applyAlignment="1">
      <alignment horizontal="right" vertical="center" wrapText="1"/>
    </xf>
    <xf numFmtId="0" fontId="8" fillId="0" borderId="18" xfId="0" applyFont="1" applyBorder="1" applyAlignment="1">
      <alignment horizontal="right" vertical="center" wrapText="1"/>
    </xf>
    <xf numFmtId="0" fontId="8" fillId="4" borderId="18" xfId="0" applyFont="1" applyFill="1" applyBorder="1" applyAlignment="1">
      <alignment horizontal="right" vertical="center" wrapText="1"/>
    </xf>
    <xf numFmtId="0" fontId="8" fillId="0" borderId="21" xfId="0" applyFont="1" applyBorder="1" applyAlignment="1">
      <alignment horizontal="left" vertical="center" wrapText="1" indent="1"/>
    </xf>
    <xf numFmtId="0" fontId="8" fillId="4" borderId="21" xfId="0" applyFont="1" applyFill="1" applyBorder="1" applyAlignment="1">
      <alignment horizontal="left" vertical="center" wrapText="1" indent="1"/>
    </xf>
    <xf numFmtId="0" fontId="8" fillId="0" borderId="22" xfId="0" applyFont="1" applyBorder="1" applyAlignment="1">
      <alignment horizontal="left" vertical="center" wrapText="1" indent="1"/>
    </xf>
    <xf numFmtId="0" fontId="8" fillId="4" borderId="22" xfId="0" applyFont="1" applyFill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 wrapText="1" indent="1"/>
    </xf>
    <xf numFmtId="0" fontId="8" fillId="0" borderId="12" xfId="0" applyFont="1" applyBorder="1" applyAlignment="1">
      <alignment horizontal="left" vertical="center" wrapText="1" indent="1"/>
    </xf>
    <xf numFmtId="0" fontId="8" fillId="4" borderId="12" xfId="0" applyFont="1" applyFill="1" applyBorder="1" applyAlignment="1">
      <alignment horizontal="left" vertical="center" wrapText="1" indent="1"/>
    </xf>
    <xf numFmtId="0" fontId="8" fillId="0" borderId="23" xfId="0" applyFont="1" applyBorder="1" applyAlignment="1">
      <alignment vertical="center" wrapText="1"/>
    </xf>
    <xf numFmtId="0" fontId="8" fillId="4" borderId="23" xfId="0" applyFont="1" applyFill="1" applyBorder="1" applyAlignment="1">
      <alignment horizontal="left" vertical="center" wrapText="1" indent="1"/>
    </xf>
    <xf numFmtId="0" fontId="8" fillId="4" borderId="23" xfId="0" applyFont="1" applyFill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 indent="2"/>
    </xf>
    <xf numFmtId="0" fontId="8" fillId="0" borderId="22" xfId="0" applyFont="1" applyBorder="1" applyAlignment="1">
      <alignment horizontal="left" vertical="center" wrapText="1" indent="2"/>
    </xf>
    <xf numFmtId="0" fontId="9" fillId="4" borderId="19" xfId="0" applyFont="1" applyFill="1" applyBorder="1" applyAlignment="1">
      <alignment horizontal="left" vertical="center" wrapText="1" indent="1"/>
    </xf>
    <xf numFmtId="0" fontId="9" fillId="0" borderId="19" xfId="0" applyFont="1" applyBorder="1" applyAlignment="1">
      <alignment horizontal="left" vertical="center" wrapText="1" indent="1"/>
    </xf>
    <xf numFmtId="0" fontId="9" fillId="4" borderId="18" xfId="0" applyFont="1" applyFill="1" applyBorder="1" applyAlignment="1">
      <alignment horizontal="left" vertical="center" wrapText="1" indent="1"/>
    </xf>
    <xf numFmtId="0" fontId="9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 indent="2"/>
    </xf>
    <xf numFmtId="0" fontId="9" fillId="0" borderId="18" xfId="0" applyFont="1" applyBorder="1" applyAlignment="1">
      <alignment horizontal="left" vertical="center" wrapText="1" indent="2"/>
    </xf>
    <xf numFmtId="0" fontId="9" fillId="4" borderId="20" xfId="0" applyFont="1" applyFill="1" applyBorder="1" applyAlignment="1">
      <alignment horizontal="left" vertical="center" wrapText="1" indent="1"/>
    </xf>
    <xf numFmtId="0" fontId="9" fillId="0" borderId="20" xfId="0" applyFont="1" applyBorder="1" applyAlignment="1">
      <alignment vertical="center" wrapText="1"/>
    </xf>
    <xf numFmtId="0" fontId="9" fillId="4" borderId="20" xfId="0" applyFont="1" applyFill="1" applyBorder="1" applyAlignment="1">
      <alignment horizontal="left" vertical="center" wrapText="1"/>
    </xf>
    <xf numFmtId="0" fontId="9" fillId="0" borderId="21" xfId="0" applyFont="1" applyBorder="1" applyAlignment="1">
      <alignment horizontal="left" vertical="center" wrapText="1" indent="1"/>
    </xf>
    <xf numFmtId="0" fontId="9" fillId="4" borderId="21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 indent="1"/>
    </xf>
    <xf numFmtId="0" fontId="9" fillId="4" borderId="12" xfId="0" applyFont="1" applyFill="1" applyBorder="1" applyAlignment="1">
      <alignment horizontal="left" vertical="center" wrapText="1" indent="1"/>
    </xf>
    <xf numFmtId="0" fontId="10" fillId="0" borderId="12" xfId="0" applyFont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  <xf numFmtId="0" fontId="9" fillId="0" borderId="22" xfId="0" applyFont="1" applyBorder="1" applyAlignment="1">
      <alignment horizontal="left" vertical="center" wrapText="1" indent="2"/>
    </xf>
    <xf numFmtId="0" fontId="9" fillId="4" borderId="22" xfId="0" applyFont="1" applyFill="1" applyBorder="1" applyAlignment="1">
      <alignment horizontal="left" vertical="center" wrapText="1" indent="2"/>
    </xf>
    <xf numFmtId="0" fontId="9" fillId="4" borderId="12" xfId="0" applyFont="1" applyFill="1" applyBorder="1" applyAlignment="1">
      <alignment horizontal="right" vertical="center" wrapText="1"/>
    </xf>
    <xf numFmtId="0" fontId="9" fillId="0" borderId="12" xfId="0" applyFont="1" applyBorder="1" applyAlignment="1">
      <alignment horizontal="right" vertical="center" wrapText="1"/>
    </xf>
    <xf numFmtId="0" fontId="9" fillId="0" borderId="22" xfId="0" applyFont="1" applyBorder="1" applyAlignment="1">
      <alignment horizontal="left" vertical="center" wrapText="1" indent="1"/>
    </xf>
    <xf numFmtId="0" fontId="9" fillId="4" borderId="22" xfId="0" applyFont="1" applyFill="1" applyBorder="1" applyAlignment="1">
      <alignment horizontal="left" vertical="center" wrapText="1" indent="1"/>
    </xf>
    <xf numFmtId="0" fontId="10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0" fontId="10" fillId="4" borderId="18" xfId="0" applyFont="1" applyFill="1" applyBorder="1" applyAlignment="1">
      <alignment vertical="center" wrapText="1"/>
    </xf>
    <xf numFmtId="0" fontId="9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/>
    </xf>
    <xf numFmtId="0" fontId="9" fillId="4" borderId="18" xfId="0" applyFont="1" applyFill="1" applyBorder="1" applyAlignment="1">
      <alignment horizontal="right" vertical="center" wrapText="1"/>
    </xf>
    <xf numFmtId="0" fontId="9" fillId="0" borderId="18" xfId="0" applyFont="1" applyBorder="1" applyAlignment="1">
      <alignment horizontal="right" vertical="center" wrapText="1"/>
    </xf>
    <xf numFmtId="49" fontId="0" fillId="0" borderId="8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</cellXfs>
  <cellStyles count="1">
    <cellStyle name="Обычный" xfId="0" builtinId="0"/>
  </cellStyles>
  <dxfs count="9"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ED1FB26-370D-488C-9D74-FC9A02D5181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9FF84361-9044-476A-B508-FC2C08F976A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4A2C6C53-8A4D-4CF5-AEAE-36B62E5EF632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A7F18E4E-D60E-493B-B33E-5F2322CCA7F9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6F735CDD-F945-4932-9DC4-8A0CF9FE32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6501A6FD-A7E9-4BEF-888E-3E95E6027E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3C1B753F-7741-465D-8ECF-611541F20B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2D1D088-430D-480B-AEB8-3163ADB81A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BA5C2B24-AB47-42D4-9A5F-6DA486885A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17639B9B-3979-4031-8FF7-887DEC85D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932DF75-B216-4673-AED9-034857DD05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8D87754-D202-42A8-8D0E-F95D853D1E5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ACAFB3F4-D41A-4171-90C2-5C9E890B38F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DA9CA399-2401-4A73-8728-C92CB50A8A0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5CD6E7DA-7A9F-4852-A1A9-EB498BE6A16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1CEC8E-7CC7-4D6A-983B-DB50E98F4FE5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7" name="AutoShape 10">
          <a:extLst>
            <a:ext uri="{FF2B5EF4-FFF2-40B4-BE49-F238E27FC236}">
              <a16:creationId xmlns:a16="http://schemas.microsoft.com/office/drawing/2014/main" id="{448FF38D-1327-4FDF-A366-7E8E1F80579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3F7BDEA9-D563-4489-B664-AC822D118F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93E1F001-A131-4366-A27B-C9F0F0C13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A3D1C27-C2DE-45C1-B358-2B27984CB5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8A001035-653A-4B12-B053-464260BEB39E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8FBE8D54-CDF6-4967-9980-3962356312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8387C9B-96AC-46EE-9343-9E3F5D2718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8E4676C4-AA7A-4D23-9FAB-FE7C8D5299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F1E7B41B-91A5-4BFE-9AED-11F515CD56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EBC83D8B-CD9B-4517-B1B9-59A2F8FDE4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4C24594D-4022-44B8-9B1B-07E33C17DB45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6A673C38-1F2F-4E6A-93C8-D60B597B9C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9795C57E-3B7D-46A4-B6AC-15A34ACD0E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3118A560-CE9B-433F-904F-83B08569D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B81F4ACB-3520-4B86-93A2-620024F90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5DA8DE01-C207-4CF3-97C2-892F7EAF5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8DE96C10-8708-4A6F-BFCC-C7356EC6DE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0B82A089-32CD-4676-9FFF-E299700FE543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2DE71539-1C42-47D9-9BF4-DFD47AB72B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1022F4EC-A91E-4BBD-B3C5-698A40A2F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7F1E46D2-03F9-42DE-B688-5DFDE57727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F3564195-B95B-4CE2-9E28-6FD949AEB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A8D2BE80-4E3D-4656-A07D-809E305A8E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30" name="AutoShape 38">
          <a:extLst>
            <a:ext uri="{FF2B5EF4-FFF2-40B4-BE49-F238E27FC236}">
              <a16:creationId xmlns:a16="http://schemas.microsoft.com/office/drawing/2014/main" id="{51424515-2063-43F0-A10C-B4AB3682CA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891C490E-01A7-4F71-AF89-32EDEBFA7DC1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AC7D5661-ED91-4FDD-BC6D-DFDA84A0D7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B7BECEC9-97E8-466F-B9E3-B04FF47F3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382628A8-E865-457A-AD07-3E908D97F8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35540FB-8A58-433F-B65A-4394B06E11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605328D6-34BB-4D28-8ED0-5587CE1B2C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F4BC9CC7-F8B0-4DF5-8FE0-093E84435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2EEEFDAE-C5F3-4C3B-BACB-7AE9D6E8C0D7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06146576-2066-4E76-B9D8-E4BCDB124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7CD8E983-9E45-4074-B4CC-6A00A9684B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140290D0-B2E9-49F4-A6B5-C20E065BD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53BB4F65-1D89-4CB9-A6DF-C64792C4F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5B5BCBD5-5F46-4CFE-A43A-1525283382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89A2CF3C-9C7E-443D-886E-40A4F3BA26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A1146FFD-A5CE-45C4-895F-D0071C6FF436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845BBDF9-54B1-45BA-A02F-4E2A38CB8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4B935749-5495-42D9-A060-F774DA1363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72E6E9E7-84D7-4AEB-99CC-F6516A3219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2FDF99E1-2E60-428C-AF5E-2B0A0E22CD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8AC163C7-1981-4123-A84E-189C14A9B8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B9F08C0-1937-4A4A-A696-D2F481FA4A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D78B0D79-8E38-4BA2-A36D-1B9B362937A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610A127E-5293-4869-9A9B-B560C3CD92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F3885073-F5D6-4C6F-A435-387E779B61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67D2BEB5-A419-4D38-AD3C-27F63E5D6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4CE0CF27-D2CA-4625-A52C-D3D4FDDF67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73A0175D-4860-4ABF-9D5E-6C5D0F189D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6FA4C572-D530-4110-BD5A-483E6F692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CB42A67F-F01A-45FF-AF6E-0422EDD81C53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ED4FCA14-52F4-472E-B493-F3212BBD4C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2A8DC87C-45E0-4802-8701-D3535DE523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B8039B8F-9F7F-4ADC-8D5D-961483280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68DEEA19-541A-47DE-989A-B4525E0895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0515C1C3-FE0D-4FBD-9AE7-01DB11D88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87E590A1-8A84-4EE4-A0A7-0A4AF2FF38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C5A3F8A3-370F-49D3-9DA8-BEBB198156E2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E1785F6C-04D7-463C-A74C-182C0F1B68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3743FAE1-8DB4-4913-816F-CC4F886917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3850BC1-DEE7-4E7E-B2AA-98D7DCC423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341F8C1D-1E89-4E19-B7B7-0BEA9BC6B0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CDC9A077-AB59-471A-ADDB-8D0919C7E1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3F0FFB7B-5F30-47AE-B925-9CBA09FC30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ADF41E67-69A2-443E-B903-1CF7A75F61BB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F41C0664-8E5A-4FE7-AC4A-B8018A4B85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BDE39EB8-58F1-4DC5-8301-E8C93CEEA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F864E2CD-76C3-4208-9A7A-83669BFB4E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1A6D87BB-98ED-41A1-8031-9E8D4B30F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1B048F53-C9C9-49D3-9504-E6E677A309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26969E1E-B63C-4399-A9AB-D79EF86C2B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B7AF22DF-371A-41D3-9826-3CEF9F6AA44B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9F0CA857-1941-41C4-9C80-2AAD790C27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133FD91E-3700-451C-96C1-CD231D2AE3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60916498-3A43-4D93-BFBA-2D514A98E6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AA90742-9AD7-492A-9785-0F92043F96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B5E9FC43-7941-4856-819A-E4C41FFD26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DFF76133-3973-45AF-9578-81F68FE65A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26C55599-6D7B-4D8B-9F4F-BFCC0668202C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36C8C6BF-F7BA-4961-97CB-5F71663613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ACFCC0C3-EAEF-4236-9FD7-D3A6805C2D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1678ACB1-B812-4B0D-A6DB-1ACAE13890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24A7E212-BC63-4F5B-8F7F-9FD8AD1C2D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FBB19015-E0B1-4BAA-B8A8-A5028AC44F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EEC436A8-463A-42D5-9AEC-A528172C6A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D6F695AC-2502-4790-B832-7B144717C0DF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2890D39-4A37-4EA8-9F37-B8BFF2819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F47BED46-EBA1-4C35-B2FC-8A2C6D0BD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5D9F31B9-7E2F-44CB-BB48-ED4DEA6E6E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79A48AC4-C590-448A-BD9F-5D94A4AFFF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39840FF4-71A6-4568-AD37-E33966BBF3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DD31E454-DE38-4E2C-914D-C3010A9B3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1036A6EA-95E0-4A4C-B9AB-C7A5E103A05D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28F38EA9-6CB1-4A44-A7DE-49009A0E8E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7178EE78-03A9-457B-8691-16FC2E8CAE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BEF0BEDF-4207-49AC-9CA2-E45F9970C6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50B58471-4FA7-4D5E-A511-4A3145E0FC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A5E2DB6B-705A-4DF4-8E10-897F491240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FC7F791D-385F-4669-8E56-4E2B1B792E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705CBDB6-A41E-428E-9E79-1B026D903561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FCAD3E32-2D7D-478D-9EB3-5F3A55FD0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BAD88246-38CC-4CB0-B167-367D00BAD5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6EA4EA38-65CC-40CA-A153-20B69A83FC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338B72B8-767C-4BE0-920A-2F164B685E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38A27042-DFA2-468D-ABD7-9F99EDA967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A4982EA6-AF68-4BC1-AA37-5F14D9B47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1A4AC11-41A6-43E9-8F02-493C4677D2B8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7452EE8-BC61-476D-A860-9C8543DCAA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B1D39D81-BF40-44D6-AB81-A4140B972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EF5462D1-7A29-4C66-8779-D2503CF03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E137BA99-65D4-4E14-B793-CDF8E7588D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AC2A6570-C957-4346-A61E-679B29B3A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9AAE18C2-B356-4684-B00E-BCD6AAC219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F93E9615-C5E7-4D0F-A39C-F02BA9A9FE61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F23B6FD1-B6F1-4266-8F03-4FD66966F8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064DA0CE-B233-40AA-9A43-9210227061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4BD85CD0-CF23-4510-B68F-9B60893799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C5F14805-1974-4DFC-A104-2AACA722C0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D596D87F-5638-48A2-B0F6-A1D37F4EE5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A36DC97F-802C-4D15-B74F-BA3259BE6E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3A7423DC-B6FC-400A-86BE-0B9D4C6DD94A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969C248D-699E-453A-83FA-F783FFEBA7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BC14F082-93E6-4EAC-BDB8-DA3D4A6921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84A5AD4A-B9B4-4EAE-BC89-58AA026A07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7504ACAE-299F-4F18-8679-4D89CCCBF7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51131906-09CE-4F1D-BD6D-AAA23E608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AF44A6A-9E92-4B83-9006-A09940DF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68E2D7E3-244E-45B8-ADC6-23E22A4FA7D1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7CE94865-E21A-44F5-9FBD-7B44E3247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672D59E5-158C-4D7B-BCBE-367E552B7D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00BFAEF0-3EAD-4F35-BCF1-99C824E16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D2B50403-2E33-4241-A87D-ACF84541C7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3E78F258-04FC-4975-B149-9F60F322E1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448ABAA9-6794-4C08-B48E-EDDB0B2D71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07B87C5-9B11-45A0-A85E-8FDC430CA389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0EEF2AB5-056B-4EA7-9ADB-08443B935C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7054F0B1-E091-48C7-93F1-71407637C1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449CD5E-DC0E-41C4-97E4-6168220DBF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3A037CE7-9B03-4AAE-845E-37A7C8807C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5D382A0E-8524-4EB8-8724-3A1D824E9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50A83732-A262-4B44-92A7-531D352311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4BE8FFE3-FB13-4648-8DF4-06BF5394A156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584C7D3D-6443-472D-BAF9-082054D1EF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8C7B3813-467A-4423-A318-C81A9FECA5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B98CC82B-0B1F-4714-99BB-F05B87DF0A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028EF24D-855A-4858-9A12-E4793B94AA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CF6DF6E7-DFEA-457D-BB55-2CB31AECCE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973EC7E0-88E1-4368-B112-BDA6F28D3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98DBEB4F-160C-4D60-9FB2-96988CDB1B7C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852FE406-8547-42DD-A766-FEC52F4E0F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17997D80-6FAC-4BAF-892B-F10BA3A9B0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0A39755B-3895-4981-B22F-23B531DFDE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317E01E3-0A8F-40CE-97BC-664C31BB75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1932D0EB-2EFE-4835-9A7C-8B7E9D650D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BCB001AB-E043-41CE-93D8-B25435C26972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4D2AF519-B4E9-4B2A-BCEF-B90ECB74C4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EF2092B4-F468-4F56-BF66-CAD76AE99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CFA51445-FCBA-4C9A-8876-5FD7DA9CBE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8FD5C2AC-682E-4400-93E3-D2D8B4F310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9E59CEFB-59A9-45C4-AA29-77C1A8D93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3224AE30-8B97-4B5A-BB48-0D28A72078F0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3BF5AD9E-1B66-4E21-AE5C-741A93C3D6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CA949451-A1B2-426D-9858-B4EEEB5841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524FED53-50C4-4108-8C85-53BA2698B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113ABA93-364A-4801-A1AA-236E32E784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089DDC55-6088-4D97-BD4F-9CDEA9D059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F432D065-B301-444D-80A0-E5A99C064262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1EB3A40-79E7-4157-AEC9-C6EBBF5A2C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52026E03-56E4-4BD9-B7FE-EB078BBCDC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5F094654-1F6E-47DD-9FC7-96B4091EA9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877BFC77-26CA-4EA4-9940-D49CA1DF50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7E0BC19E-A6C3-4886-88EC-2655336372F2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FA0FC69-82A3-4279-9BD1-D609C384DF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691E65FA-3D7A-4630-8F08-9241893A65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5722D61B-C2D4-49B0-82ED-E00A66626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BA2683ED-A17A-4E64-B095-091AF73003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E46850FD-A3E5-4A67-9E49-1ED591166D29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8A6D9A37-BE87-4AA6-AB84-F026AEA49E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45BC99D0-CD80-430A-9DA2-9F0207C070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1CFE45FF-4E85-4786-BCF7-5589B170BC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45B5B55C-70E1-4D6C-8C77-6F81B95D466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BD75301B-0124-47F5-AD38-4F0B85BDF0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0E5CBB43-9C81-489C-B54D-8A4A9A9781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DD7B9483-86C8-42F7-9E67-9F31DCB0B1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06338493-96C6-46AA-856F-B7BF1169DE72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CF5A7C3E-417A-453E-A895-6CAE89BBA3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5339F019-B36E-4FA7-8A14-7A079F2E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36FE9520-17AB-40E4-986C-549326BF1278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08CC2CC0-2578-4F3D-AED8-6DCDAC9521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46AADB70-31C5-4BAF-8C69-596A5670C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F2F2482C-B32D-48B9-9016-2D51BEAE46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A112AA55-F287-4133-B99C-7CA54DADF184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4" name="AutoShape 15">
          <a:extLst>
            <a:ext uri="{FF2B5EF4-FFF2-40B4-BE49-F238E27FC236}">
              <a16:creationId xmlns:a16="http://schemas.microsoft.com/office/drawing/2014/main" id="{4CEB4787-EC18-4193-8FEF-82E8302075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" name="AutoShape 16">
          <a:extLst>
            <a:ext uri="{FF2B5EF4-FFF2-40B4-BE49-F238E27FC236}">
              <a16:creationId xmlns:a16="http://schemas.microsoft.com/office/drawing/2014/main" id="{142393CC-E9D7-40CB-888B-6AE71691FD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6" name="AutoShape 17">
          <a:extLst>
            <a:ext uri="{FF2B5EF4-FFF2-40B4-BE49-F238E27FC236}">
              <a16:creationId xmlns:a16="http://schemas.microsoft.com/office/drawing/2014/main" id="{99A5E162-3DD8-4E20-88EC-D85F729041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8" name="AutoShape 19">
          <a:extLst>
            <a:ext uri="{FF2B5EF4-FFF2-40B4-BE49-F238E27FC236}">
              <a16:creationId xmlns:a16="http://schemas.microsoft.com/office/drawing/2014/main" id="{A9E526B4-CD9E-4D16-B307-8661ABC90C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A5F5A954-A2FD-4CEB-BF2B-AE85343273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0" name="AutoShape 22">
          <a:extLst>
            <a:ext uri="{FF2B5EF4-FFF2-40B4-BE49-F238E27FC236}">
              <a16:creationId xmlns:a16="http://schemas.microsoft.com/office/drawing/2014/main" id="{2C0C8BCB-1AA7-442D-884B-CCDD320360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1" name="AutoShape 23">
          <a:extLst>
            <a:ext uri="{FF2B5EF4-FFF2-40B4-BE49-F238E27FC236}">
              <a16:creationId xmlns:a16="http://schemas.microsoft.com/office/drawing/2014/main" id="{2F0269DB-F8E2-49F1-8FB7-7C95CB383E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2" name="AutoShape 24">
          <a:extLst>
            <a:ext uri="{FF2B5EF4-FFF2-40B4-BE49-F238E27FC236}">
              <a16:creationId xmlns:a16="http://schemas.microsoft.com/office/drawing/2014/main" id="{6395E4D0-EE8E-43EC-87B9-0518B21A1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" name="AutoShape 25">
          <a:extLst>
            <a:ext uri="{FF2B5EF4-FFF2-40B4-BE49-F238E27FC236}">
              <a16:creationId xmlns:a16="http://schemas.microsoft.com/office/drawing/2014/main" id="{5FB8C511-C4FB-4251-9431-2EF5DB3486CF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" name="AutoShape 26">
          <a:extLst>
            <a:ext uri="{FF2B5EF4-FFF2-40B4-BE49-F238E27FC236}">
              <a16:creationId xmlns:a16="http://schemas.microsoft.com/office/drawing/2014/main" id="{475F97BD-FDA8-4806-8C45-543D923B3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5" name="AutoShape 27">
          <a:extLst>
            <a:ext uri="{FF2B5EF4-FFF2-40B4-BE49-F238E27FC236}">
              <a16:creationId xmlns:a16="http://schemas.microsoft.com/office/drawing/2014/main" id="{1BA0A1BF-0951-4341-8A9A-0C54F1CCCB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6" name="AutoShape 28">
          <a:extLst>
            <a:ext uri="{FF2B5EF4-FFF2-40B4-BE49-F238E27FC236}">
              <a16:creationId xmlns:a16="http://schemas.microsoft.com/office/drawing/2014/main" id="{0F00421A-1A5A-4504-9263-59DB851E8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7" name="AutoShape 29">
          <a:extLst>
            <a:ext uri="{FF2B5EF4-FFF2-40B4-BE49-F238E27FC236}">
              <a16:creationId xmlns:a16="http://schemas.microsoft.com/office/drawing/2014/main" id="{EA405CDF-542C-4B25-B75C-0AA4D888C5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8" name="AutoShape 30">
          <a:extLst>
            <a:ext uri="{FF2B5EF4-FFF2-40B4-BE49-F238E27FC236}">
              <a16:creationId xmlns:a16="http://schemas.microsoft.com/office/drawing/2014/main" id="{F474AC4D-C6D6-43F4-AA3D-CD4AF741F5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9" name="AutoShape 31">
          <a:extLst>
            <a:ext uri="{FF2B5EF4-FFF2-40B4-BE49-F238E27FC236}">
              <a16:creationId xmlns:a16="http://schemas.microsoft.com/office/drawing/2014/main" id="{792A9736-0E23-4D72-81AD-8B80A92852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0" name="AutoShape 32">
          <a:extLst>
            <a:ext uri="{FF2B5EF4-FFF2-40B4-BE49-F238E27FC236}">
              <a16:creationId xmlns:a16="http://schemas.microsoft.com/office/drawing/2014/main" id="{8873F1D2-51DA-4D05-ADA9-94FB2257088E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1" name="AutoShape 33">
          <a:extLst>
            <a:ext uri="{FF2B5EF4-FFF2-40B4-BE49-F238E27FC236}">
              <a16:creationId xmlns:a16="http://schemas.microsoft.com/office/drawing/2014/main" id="{93E11F4D-B21F-474A-A1F9-1E757867E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2" name="AutoShape 34">
          <a:extLst>
            <a:ext uri="{FF2B5EF4-FFF2-40B4-BE49-F238E27FC236}">
              <a16:creationId xmlns:a16="http://schemas.microsoft.com/office/drawing/2014/main" id="{B7C2FB5F-E520-4CE1-A22F-A19CE2E297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3" name="AutoShape 35">
          <a:extLst>
            <a:ext uri="{FF2B5EF4-FFF2-40B4-BE49-F238E27FC236}">
              <a16:creationId xmlns:a16="http://schemas.microsoft.com/office/drawing/2014/main" id="{F62B4022-0D55-4A4F-9FFC-EE1DA8DABD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4" name="AutoShape 36">
          <a:extLst>
            <a:ext uri="{FF2B5EF4-FFF2-40B4-BE49-F238E27FC236}">
              <a16:creationId xmlns:a16="http://schemas.microsoft.com/office/drawing/2014/main" id="{6809A5FF-3E05-4B31-938D-33895880C1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5" name="AutoShape 37">
          <a:extLst>
            <a:ext uri="{FF2B5EF4-FFF2-40B4-BE49-F238E27FC236}">
              <a16:creationId xmlns:a16="http://schemas.microsoft.com/office/drawing/2014/main" id="{D3485805-1C29-4C70-8DA8-2A46CC24F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26" name="AutoShape 39">
          <a:extLst>
            <a:ext uri="{FF2B5EF4-FFF2-40B4-BE49-F238E27FC236}">
              <a16:creationId xmlns:a16="http://schemas.microsoft.com/office/drawing/2014/main" id="{E2FE31B3-1669-4805-9828-48CB1DB99101}"/>
            </a:ext>
          </a:extLst>
        </xdr:cNvPr>
        <xdr:cNvSpPr>
          <a:spLocks noChangeAspect="1" noChangeArrowheads="1"/>
        </xdr:cNvSpPr>
      </xdr:nvSpPr>
      <xdr:spPr bwMode="auto">
        <a:xfrm>
          <a:off x="0" y="476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27" name="AutoShape 40">
          <a:extLst>
            <a:ext uri="{FF2B5EF4-FFF2-40B4-BE49-F238E27FC236}">
              <a16:creationId xmlns:a16="http://schemas.microsoft.com/office/drawing/2014/main" id="{18288174-6985-4EB4-BB0E-8713FE1AF2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28" name="AutoShape 41">
          <a:extLst>
            <a:ext uri="{FF2B5EF4-FFF2-40B4-BE49-F238E27FC236}">
              <a16:creationId xmlns:a16="http://schemas.microsoft.com/office/drawing/2014/main" id="{9413937B-8930-4B9F-AA0E-9C17E90B20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29" name="AutoShape 42">
          <a:extLst>
            <a:ext uri="{FF2B5EF4-FFF2-40B4-BE49-F238E27FC236}">
              <a16:creationId xmlns:a16="http://schemas.microsoft.com/office/drawing/2014/main" id="{20D7D59C-0C4F-4C02-9917-5B0EE65DD8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0" name="AutoShape 43">
          <a:extLst>
            <a:ext uri="{FF2B5EF4-FFF2-40B4-BE49-F238E27FC236}">
              <a16:creationId xmlns:a16="http://schemas.microsoft.com/office/drawing/2014/main" id="{820C66A1-6D19-4E56-8A82-4EE12D096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1" name="AutoShape 44">
          <a:extLst>
            <a:ext uri="{FF2B5EF4-FFF2-40B4-BE49-F238E27FC236}">
              <a16:creationId xmlns:a16="http://schemas.microsoft.com/office/drawing/2014/main" id="{85ED2E73-0F79-48E6-B145-7B097A1F97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2" name="AutoShape 45">
          <a:extLst>
            <a:ext uri="{FF2B5EF4-FFF2-40B4-BE49-F238E27FC236}">
              <a16:creationId xmlns:a16="http://schemas.microsoft.com/office/drawing/2014/main" id="{974A68F2-F401-4745-A383-736F98FEC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3" name="AutoShape 46">
          <a:extLst>
            <a:ext uri="{FF2B5EF4-FFF2-40B4-BE49-F238E27FC236}">
              <a16:creationId xmlns:a16="http://schemas.microsoft.com/office/drawing/2014/main" id="{2A40B6A7-E25D-4648-915C-598E228A2FA4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4" name="AutoShape 47">
          <a:extLst>
            <a:ext uri="{FF2B5EF4-FFF2-40B4-BE49-F238E27FC236}">
              <a16:creationId xmlns:a16="http://schemas.microsoft.com/office/drawing/2014/main" id="{B0596FA1-45F3-4781-B7AA-BDB21D591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35" name="AutoShape 48">
          <a:extLst>
            <a:ext uri="{FF2B5EF4-FFF2-40B4-BE49-F238E27FC236}">
              <a16:creationId xmlns:a16="http://schemas.microsoft.com/office/drawing/2014/main" id="{EA9952A5-B6ED-40BD-8D0F-BA0D7B9A68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36" name="AutoShape 49">
          <a:extLst>
            <a:ext uri="{FF2B5EF4-FFF2-40B4-BE49-F238E27FC236}">
              <a16:creationId xmlns:a16="http://schemas.microsoft.com/office/drawing/2014/main" id="{D1CC7CF9-1713-448E-9883-B8AF7231AA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37" name="AutoShape 50">
          <a:extLst>
            <a:ext uri="{FF2B5EF4-FFF2-40B4-BE49-F238E27FC236}">
              <a16:creationId xmlns:a16="http://schemas.microsoft.com/office/drawing/2014/main" id="{BD660B74-5C11-486F-B7AD-B10AA1A314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38" name="AutoShape 51">
          <a:extLst>
            <a:ext uri="{FF2B5EF4-FFF2-40B4-BE49-F238E27FC236}">
              <a16:creationId xmlns:a16="http://schemas.microsoft.com/office/drawing/2014/main" id="{7DB63338-A2BA-47A8-B81D-51EC6DF07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39" name="AutoShape 52">
          <a:extLst>
            <a:ext uri="{FF2B5EF4-FFF2-40B4-BE49-F238E27FC236}">
              <a16:creationId xmlns:a16="http://schemas.microsoft.com/office/drawing/2014/main" id="{4148F016-0A1A-43BF-A7B3-A7EA09C93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0" name="AutoShape 53">
          <a:extLst>
            <a:ext uri="{FF2B5EF4-FFF2-40B4-BE49-F238E27FC236}">
              <a16:creationId xmlns:a16="http://schemas.microsoft.com/office/drawing/2014/main" id="{15C2F007-9BF7-4ABA-A37C-A90C937141D9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1" name="AutoShape 54">
          <a:extLst>
            <a:ext uri="{FF2B5EF4-FFF2-40B4-BE49-F238E27FC236}">
              <a16:creationId xmlns:a16="http://schemas.microsoft.com/office/drawing/2014/main" id="{89E3A701-BC11-42CE-AE26-C168606839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2" name="AutoShape 55">
          <a:extLst>
            <a:ext uri="{FF2B5EF4-FFF2-40B4-BE49-F238E27FC236}">
              <a16:creationId xmlns:a16="http://schemas.microsoft.com/office/drawing/2014/main" id="{C685F890-5924-40BE-B705-E1D7537ED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3" name="AutoShape 56">
          <a:extLst>
            <a:ext uri="{FF2B5EF4-FFF2-40B4-BE49-F238E27FC236}">
              <a16:creationId xmlns:a16="http://schemas.microsoft.com/office/drawing/2014/main" id="{64810035-7833-4479-8CA2-93628391E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" name="AutoShape 57">
          <a:extLst>
            <a:ext uri="{FF2B5EF4-FFF2-40B4-BE49-F238E27FC236}">
              <a16:creationId xmlns:a16="http://schemas.microsoft.com/office/drawing/2014/main" id="{3CCF5AD5-46B4-4FAD-93B2-04435BEBC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5" name="AutoShape 58">
          <a:extLst>
            <a:ext uri="{FF2B5EF4-FFF2-40B4-BE49-F238E27FC236}">
              <a16:creationId xmlns:a16="http://schemas.microsoft.com/office/drawing/2014/main" id="{430C053D-9537-45AA-9DCF-0DBF77227C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6" name="AutoShape 59">
          <a:extLst>
            <a:ext uri="{FF2B5EF4-FFF2-40B4-BE49-F238E27FC236}">
              <a16:creationId xmlns:a16="http://schemas.microsoft.com/office/drawing/2014/main" id="{43207733-9CBC-4ACD-BC32-438566889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47" name="AutoShape 60">
          <a:extLst>
            <a:ext uri="{FF2B5EF4-FFF2-40B4-BE49-F238E27FC236}">
              <a16:creationId xmlns:a16="http://schemas.microsoft.com/office/drawing/2014/main" id="{3E2815C8-F244-42B9-AB0A-B9D32057E403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8" name="AutoShape 61">
          <a:extLst>
            <a:ext uri="{FF2B5EF4-FFF2-40B4-BE49-F238E27FC236}">
              <a16:creationId xmlns:a16="http://schemas.microsoft.com/office/drawing/2014/main" id="{DECCEF3A-6323-4D0F-955D-D867B9E61C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9" name="AutoShape 62">
          <a:extLst>
            <a:ext uri="{FF2B5EF4-FFF2-40B4-BE49-F238E27FC236}">
              <a16:creationId xmlns:a16="http://schemas.microsoft.com/office/drawing/2014/main" id="{ABF5E1D9-6C55-4971-97BB-AC0ECB23D5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0" name="AutoShape 63">
          <a:extLst>
            <a:ext uri="{FF2B5EF4-FFF2-40B4-BE49-F238E27FC236}">
              <a16:creationId xmlns:a16="http://schemas.microsoft.com/office/drawing/2014/main" id="{F0CE85F9-564F-43CC-9AC3-086D95E049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" name="AutoShape 64">
          <a:extLst>
            <a:ext uri="{FF2B5EF4-FFF2-40B4-BE49-F238E27FC236}">
              <a16:creationId xmlns:a16="http://schemas.microsoft.com/office/drawing/2014/main" id="{95D8DC37-2E55-47F5-B856-BFC2AB8F1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2" name="AutoShape 65">
          <a:extLst>
            <a:ext uri="{FF2B5EF4-FFF2-40B4-BE49-F238E27FC236}">
              <a16:creationId xmlns:a16="http://schemas.microsoft.com/office/drawing/2014/main" id="{E4E057FF-6498-4A88-A6DD-27460629ED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3" name="AutoShape 66">
          <a:extLst>
            <a:ext uri="{FF2B5EF4-FFF2-40B4-BE49-F238E27FC236}">
              <a16:creationId xmlns:a16="http://schemas.microsoft.com/office/drawing/2014/main" id="{43721016-2D70-4A62-A955-CD0B7A3537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4" name="AutoShape 67">
          <a:extLst>
            <a:ext uri="{FF2B5EF4-FFF2-40B4-BE49-F238E27FC236}">
              <a16:creationId xmlns:a16="http://schemas.microsoft.com/office/drawing/2014/main" id="{46341230-8293-45F1-86C7-C68232F80EA7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5" name="AutoShape 68">
          <a:extLst>
            <a:ext uri="{FF2B5EF4-FFF2-40B4-BE49-F238E27FC236}">
              <a16:creationId xmlns:a16="http://schemas.microsoft.com/office/drawing/2014/main" id="{AB092A20-ACD4-47BC-8A2D-B67C85843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6" name="AutoShape 69">
          <a:extLst>
            <a:ext uri="{FF2B5EF4-FFF2-40B4-BE49-F238E27FC236}">
              <a16:creationId xmlns:a16="http://schemas.microsoft.com/office/drawing/2014/main" id="{72F17891-A1E3-43F8-BF86-982D8AA125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7" name="AutoShape 70">
          <a:extLst>
            <a:ext uri="{FF2B5EF4-FFF2-40B4-BE49-F238E27FC236}">
              <a16:creationId xmlns:a16="http://schemas.microsoft.com/office/drawing/2014/main" id="{11D46967-49C0-4D80-A9A6-9F337C4FF3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8" name="AutoShape 71">
          <a:extLst>
            <a:ext uri="{FF2B5EF4-FFF2-40B4-BE49-F238E27FC236}">
              <a16:creationId xmlns:a16="http://schemas.microsoft.com/office/drawing/2014/main" id="{42023861-AFA8-42BA-901C-31C597801B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9" name="AutoShape 72">
          <a:extLst>
            <a:ext uri="{FF2B5EF4-FFF2-40B4-BE49-F238E27FC236}">
              <a16:creationId xmlns:a16="http://schemas.microsoft.com/office/drawing/2014/main" id="{8A655A76-72B9-4973-BF33-CCA080CD00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0" name="AutoShape 73">
          <a:extLst>
            <a:ext uri="{FF2B5EF4-FFF2-40B4-BE49-F238E27FC236}">
              <a16:creationId xmlns:a16="http://schemas.microsoft.com/office/drawing/2014/main" id="{A188F522-0AF7-49AF-9627-0B16C76E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1" name="AutoShape 74">
          <a:extLst>
            <a:ext uri="{FF2B5EF4-FFF2-40B4-BE49-F238E27FC236}">
              <a16:creationId xmlns:a16="http://schemas.microsoft.com/office/drawing/2014/main" id="{0855CE38-8A3A-4DE6-9172-DA63324E433A}"/>
            </a:ext>
          </a:extLst>
        </xdr:cNvPr>
        <xdr:cNvSpPr>
          <a:spLocks noChangeAspect="1" noChangeArrowheads="1"/>
        </xdr:cNvSpPr>
      </xdr:nvSpPr>
      <xdr:spPr bwMode="auto">
        <a:xfrm>
          <a:off x="0" y="1047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2" name="AutoShape 75">
          <a:extLst>
            <a:ext uri="{FF2B5EF4-FFF2-40B4-BE49-F238E27FC236}">
              <a16:creationId xmlns:a16="http://schemas.microsoft.com/office/drawing/2014/main" id="{466CD870-A4D5-45E8-88E2-F47C8601B4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3" name="AutoShape 76">
          <a:extLst>
            <a:ext uri="{FF2B5EF4-FFF2-40B4-BE49-F238E27FC236}">
              <a16:creationId xmlns:a16="http://schemas.microsoft.com/office/drawing/2014/main" id="{5E0349EE-361C-4D12-A7B0-84103DED5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4" name="AutoShape 77">
          <a:extLst>
            <a:ext uri="{FF2B5EF4-FFF2-40B4-BE49-F238E27FC236}">
              <a16:creationId xmlns:a16="http://schemas.microsoft.com/office/drawing/2014/main" id="{2F974F19-17F1-4594-87FC-28EA7E79FF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65" name="AutoShape 78">
          <a:extLst>
            <a:ext uri="{FF2B5EF4-FFF2-40B4-BE49-F238E27FC236}">
              <a16:creationId xmlns:a16="http://schemas.microsoft.com/office/drawing/2014/main" id="{67B7B478-51F0-4C4D-A6D3-A489C233FC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66" name="AutoShape 79">
          <a:extLst>
            <a:ext uri="{FF2B5EF4-FFF2-40B4-BE49-F238E27FC236}">
              <a16:creationId xmlns:a16="http://schemas.microsoft.com/office/drawing/2014/main" id="{484244FE-D6E5-4025-83E2-560287598B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67" name="AutoShape 80">
          <a:extLst>
            <a:ext uri="{FF2B5EF4-FFF2-40B4-BE49-F238E27FC236}">
              <a16:creationId xmlns:a16="http://schemas.microsoft.com/office/drawing/2014/main" id="{AA24ED46-7C13-401E-B511-165FAC574C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68" name="AutoShape 81">
          <a:extLst>
            <a:ext uri="{FF2B5EF4-FFF2-40B4-BE49-F238E27FC236}">
              <a16:creationId xmlns:a16="http://schemas.microsoft.com/office/drawing/2014/main" id="{1FA1B348-3D9A-43E5-9866-0977B25F41FB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69" name="AutoShape 82">
          <a:extLst>
            <a:ext uri="{FF2B5EF4-FFF2-40B4-BE49-F238E27FC236}">
              <a16:creationId xmlns:a16="http://schemas.microsoft.com/office/drawing/2014/main" id="{FB2329DF-7FBE-4C2D-8EDA-04686D762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0" name="AutoShape 83">
          <a:extLst>
            <a:ext uri="{FF2B5EF4-FFF2-40B4-BE49-F238E27FC236}">
              <a16:creationId xmlns:a16="http://schemas.microsoft.com/office/drawing/2014/main" id="{DCF51219-D351-4C6B-BBCD-BE30E49C47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1" name="AutoShape 84">
          <a:extLst>
            <a:ext uri="{FF2B5EF4-FFF2-40B4-BE49-F238E27FC236}">
              <a16:creationId xmlns:a16="http://schemas.microsoft.com/office/drawing/2014/main" id="{8A8D85CF-A2ED-4209-B202-ACE3EDC54A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2" name="AutoShape 85">
          <a:extLst>
            <a:ext uri="{FF2B5EF4-FFF2-40B4-BE49-F238E27FC236}">
              <a16:creationId xmlns:a16="http://schemas.microsoft.com/office/drawing/2014/main" id="{F9C7D738-B2C5-400B-BCC0-5E4E9FCC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3" name="AutoShape 86">
          <a:extLst>
            <a:ext uri="{FF2B5EF4-FFF2-40B4-BE49-F238E27FC236}">
              <a16:creationId xmlns:a16="http://schemas.microsoft.com/office/drawing/2014/main" id="{D25DE5F9-B6B4-4765-A582-A7B426244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4" name="AutoShape 87">
          <a:extLst>
            <a:ext uri="{FF2B5EF4-FFF2-40B4-BE49-F238E27FC236}">
              <a16:creationId xmlns:a16="http://schemas.microsoft.com/office/drawing/2014/main" id="{F2077484-82B6-4890-9281-38E05EC43A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75" name="AutoShape 88">
          <a:extLst>
            <a:ext uri="{FF2B5EF4-FFF2-40B4-BE49-F238E27FC236}">
              <a16:creationId xmlns:a16="http://schemas.microsoft.com/office/drawing/2014/main" id="{1D95E933-B72E-45B2-98B5-52AB9DDC751B}"/>
            </a:ext>
          </a:extLst>
        </xdr:cNvPr>
        <xdr:cNvSpPr>
          <a:spLocks noChangeAspect="1" noChangeArrowheads="1"/>
        </xdr:cNvSpPr>
      </xdr:nvSpPr>
      <xdr:spPr bwMode="auto">
        <a:xfrm>
          <a:off x="0" y="1504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76" name="AutoShape 89">
          <a:extLst>
            <a:ext uri="{FF2B5EF4-FFF2-40B4-BE49-F238E27FC236}">
              <a16:creationId xmlns:a16="http://schemas.microsoft.com/office/drawing/2014/main" id="{CC328692-75FD-4447-AE0F-54E2B23C1B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77" name="AutoShape 90">
          <a:extLst>
            <a:ext uri="{FF2B5EF4-FFF2-40B4-BE49-F238E27FC236}">
              <a16:creationId xmlns:a16="http://schemas.microsoft.com/office/drawing/2014/main" id="{50780E3C-AEAF-4FC7-B174-D77A5367FB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78" name="AutoShape 91">
          <a:extLst>
            <a:ext uri="{FF2B5EF4-FFF2-40B4-BE49-F238E27FC236}">
              <a16:creationId xmlns:a16="http://schemas.microsoft.com/office/drawing/2014/main" id="{BFD57336-53F1-4270-8E5E-2D2EA8D905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79" name="AutoShape 92">
          <a:extLst>
            <a:ext uri="{FF2B5EF4-FFF2-40B4-BE49-F238E27FC236}">
              <a16:creationId xmlns:a16="http://schemas.microsoft.com/office/drawing/2014/main" id="{FC1691C3-9C45-4E52-B00C-C06D34B727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0" name="AutoShape 93">
          <a:extLst>
            <a:ext uri="{FF2B5EF4-FFF2-40B4-BE49-F238E27FC236}">
              <a16:creationId xmlns:a16="http://schemas.microsoft.com/office/drawing/2014/main" id="{83203AD3-7D06-46B4-B111-0BFBFB53E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1" name="AutoShape 94">
          <a:extLst>
            <a:ext uri="{FF2B5EF4-FFF2-40B4-BE49-F238E27FC236}">
              <a16:creationId xmlns:a16="http://schemas.microsoft.com/office/drawing/2014/main" id="{70CB4FFD-FF15-40AA-A878-2DF081E829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2" name="AutoShape 95">
          <a:extLst>
            <a:ext uri="{FF2B5EF4-FFF2-40B4-BE49-F238E27FC236}">
              <a16:creationId xmlns:a16="http://schemas.microsoft.com/office/drawing/2014/main" id="{E29C808B-D883-4CE3-A6AA-9FE0B80E5C04}"/>
            </a:ext>
          </a:extLst>
        </xdr:cNvPr>
        <xdr:cNvSpPr>
          <a:spLocks noChangeAspect="1" noChangeArrowheads="1"/>
        </xdr:cNvSpPr>
      </xdr:nvSpPr>
      <xdr:spPr bwMode="auto">
        <a:xfrm>
          <a:off x="0" y="184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3" name="AutoShape 96">
          <a:extLst>
            <a:ext uri="{FF2B5EF4-FFF2-40B4-BE49-F238E27FC236}">
              <a16:creationId xmlns:a16="http://schemas.microsoft.com/office/drawing/2014/main" id="{75A5E746-BE5B-4838-A658-4CF7221922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4" name="AutoShape 97">
          <a:extLst>
            <a:ext uri="{FF2B5EF4-FFF2-40B4-BE49-F238E27FC236}">
              <a16:creationId xmlns:a16="http://schemas.microsoft.com/office/drawing/2014/main" id="{6CCD5595-855F-496D-8155-8E1FF154FF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85" name="AutoShape 98">
          <a:extLst>
            <a:ext uri="{FF2B5EF4-FFF2-40B4-BE49-F238E27FC236}">
              <a16:creationId xmlns:a16="http://schemas.microsoft.com/office/drawing/2014/main" id="{28C5841D-799D-4F86-9C45-78979FFC5F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86" name="AutoShape 99">
          <a:extLst>
            <a:ext uri="{FF2B5EF4-FFF2-40B4-BE49-F238E27FC236}">
              <a16:creationId xmlns:a16="http://schemas.microsoft.com/office/drawing/2014/main" id="{580DBDF1-4247-4AB8-87E0-205EC65BF7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87" name="AutoShape 100">
          <a:extLst>
            <a:ext uri="{FF2B5EF4-FFF2-40B4-BE49-F238E27FC236}">
              <a16:creationId xmlns:a16="http://schemas.microsoft.com/office/drawing/2014/main" id="{66505CC3-3662-438B-BA56-6DDC0238BA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88" name="AutoShape 101">
          <a:extLst>
            <a:ext uri="{FF2B5EF4-FFF2-40B4-BE49-F238E27FC236}">
              <a16:creationId xmlns:a16="http://schemas.microsoft.com/office/drawing/2014/main" id="{7FF37A8D-AF6A-4078-A671-42DDD94CC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89" name="AutoShape 102">
          <a:extLst>
            <a:ext uri="{FF2B5EF4-FFF2-40B4-BE49-F238E27FC236}">
              <a16:creationId xmlns:a16="http://schemas.microsoft.com/office/drawing/2014/main" id="{4D3C51F1-3B21-45F2-B228-49465FAB75A0}"/>
            </a:ext>
          </a:extLst>
        </xdr:cNvPr>
        <xdr:cNvSpPr>
          <a:spLocks noChangeAspect="1" noChangeArrowheads="1"/>
        </xdr:cNvSpPr>
      </xdr:nvSpPr>
      <xdr:spPr bwMode="auto">
        <a:xfrm>
          <a:off x="0" y="196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0" name="AutoShape 103">
          <a:extLst>
            <a:ext uri="{FF2B5EF4-FFF2-40B4-BE49-F238E27FC236}">
              <a16:creationId xmlns:a16="http://schemas.microsoft.com/office/drawing/2014/main" id="{139A92EF-0C40-42CB-A560-01106285F3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1" name="AutoShape 104">
          <a:extLst>
            <a:ext uri="{FF2B5EF4-FFF2-40B4-BE49-F238E27FC236}">
              <a16:creationId xmlns:a16="http://schemas.microsoft.com/office/drawing/2014/main" id="{1D876D1F-8F1D-4012-BD52-ECADE28521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2" name="AutoShape 105">
          <a:extLst>
            <a:ext uri="{FF2B5EF4-FFF2-40B4-BE49-F238E27FC236}">
              <a16:creationId xmlns:a16="http://schemas.microsoft.com/office/drawing/2014/main" id="{30C1EDF5-A018-4486-990F-C0D866AF3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3" name="AutoShape 106">
          <a:extLst>
            <a:ext uri="{FF2B5EF4-FFF2-40B4-BE49-F238E27FC236}">
              <a16:creationId xmlns:a16="http://schemas.microsoft.com/office/drawing/2014/main" id="{B6664689-20F1-4EBC-B7D1-28E4FF3347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4" name="AutoShape 107">
          <a:extLst>
            <a:ext uri="{FF2B5EF4-FFF2-40B4-BE49-F238E27FC236}">
              <a16:creationId xmlns:a16="http://schemas.microsoft.com/office/drawing/2014/main" id="{B19F4714-219D-4F0B-BE7A-B712842240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95" name="AutoShape 108">
          <a:extLst>
            <a:ext uri="{FF2B5EF4-FFF2-40B4-BE49-F238E27FC236}">
              <a16:creationId xmlns:a16="http://schemas.microsoft.com/office/drawing/2014/main" id="{BE954D16-8705-4192-9B50-A57819BE60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96" name="AutoShape 109">
          <a:extLst>
            <a:ext uri="{FF2B5EF4-FFF2-40B4-BE49-F238E27FC236}">
              <a16:creationId xmlns:a16="http://schemas.microsoft.com/office/drawing/2014/main" id="{538E0546-CA17-43D7-8831-9A36F6E13498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97" name="AutoShape 110">
          <a:extLst>
            <a:ext uri="{FF2B5EF4-FFF2-40B4-BE49-F238E27FC236}">
              <a16:creationId xmlns:a16="http://schemas.microsoft.com/office/drawing/2014/main" id="{3EFF62D9-9891-4CE3-9488-A19642953F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98" name="AutoShape 111">
          <a:extLst>
            <a:ext uri="{FF2B5EF4-FFF2-40B4-BE49-F238E27FC236}">
              <a16:creationId xmlns:a16="http://schemas.microsoft.com/office/drawing/2014/main" id="{D4AEB0C5-B140-4CA3-A91C-7ACFEC361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99" name="AutoShape 112">
          <a:extLst>
            <a:ext uri="{FF2B5EF4-FFF2-40B4-BE49-F238E27FC236}">
              <a16:creationId xmlns:a16="http://schemas.microsoft.com/office/drawing/2014/main" id="{FBF33856-E616-4D6B-9292-3B915831D3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0" name="AutoShape 113">
          <a:extLst>
            <a:ext uri="{FF2B5EF4-FFF2-40B4-BE49-F238E27FC236}">
              <a16:creationId xmlns:a16="http://schemas.microsoft.com/office/drawing/2014/main" id="{35C6E817-2A4D-48C4-A5B1-911EF0FC36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1" name="AutoShape 114">
          <a:extLst>
            <a:ext uri="{FF2B5EF4-FFF2-40B4-BE49-F238E27FC236}">
              <a16:creationId xmlns:a16="http://schemas.microsoft.com/office/drawing/2014/main" id="{CD9908F2-746D-4E5F-8872-025CB9FB1D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2" name="AutoShape 115">
          <a:extLst>
            <a:ext uri="{FF2B5EF4-FFF2-40B4-BE49-F238E27FC236}">
              <a16:creationId xmlns:a16="http://schemas.microsoft.com/office/drawing/2014/main" id="{2B18A443-3636-40FB-A066-7A61DF5472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3" name="AutoShape 116">
          <a:extLst>
            <a:ext uri="{FF2B5EF4-FFF2-40B4-BE49-F238E27FC236}">
              <a16:creationId xmlns:a16="http://schemas.microsoft.com/office/drawing/2014/main" id="{9BEC2164-0A4F-436E-8C9A-DFE638696F7D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4" name="AutoShape 117">
          <a:extLst>
            <a:ext uri="{FF2B5EF4-FFF2-40B4-BE49-F238E27FC236}">
              <a16:creationId xmlns:a16="http://schemas.microsoft.com/office/drawing/2014/main" id="{019B2A10-1889-4718-92E9-4FC1D95F5A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05" name="AutoShape 118">
          <a:extLst>
            <a:ext uri="{FF2B5EF4-FFF2-40B4-BE49-F238E27FC236}">
              <a16:creationId xmlns:a16="http://schemas.microsoft.com/office/drawing/2014/main" id="{864BE408-1575-4368-9B6C-09CB3B52BE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06" name="AutoShape 119">
          <a:extLst>
            <a:ext uri="{FF2B5EF4-FFF2-40B4-BE49-F238E27FC236}">
              <a16:creationId xmlns:a16="http://schemas.microsoft.com/office/drawing/2014/main" id="{DC0DF579-467B-4227-B84C-25CEA0DC9F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07" name="AutoShape 120">
          <a:extLst>
            <a:ext uri="{FF2B5EF4-FFF2-40B4-BE49-F238E27FC236}">
              <a16:creationId xmlns:a16="http://schemas.microsoft.com/office/drawing/2014/main" id="{1C225CC9-50F7-4DFB-B640-A5E5174BDF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08" name="AutoShape 121">
          <a:extLst>
            <a:ext uri="{FF2B5EF4-FFF2-40B4-BE49-F238E27FC236}">
              <a16:creationId xmlns:a16="http://schemas.microsoft.com/office/drawing/2014/main" id="{B7F4BA03-B50D-4585-8B4A-F2DAC5810D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09" name="AutoShape 122">
          <a:extLst>
            <a:ext uri="{FF2B5EF4-FFF2-40B4-BE49-F238E27FC236}">
              <a16:creationId xmlns:a16="http://schemas.microsoft.com/office/drawing/2014/main" id="{68350C84-5035-4045-A084-D5157E2CD3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0" name="AutoShape 123">
          <a:extLst>
            <a:ext uri="{FF2B5EF4-FFF2-40B4-BE49-F238E27FC236}">
              <a16:creationId xmlns:a16="http://schemas.microsoft.com/office/drawing/2014/main" id="{AA1758E4-8118-444F-84B9-7E6382FF8F05}"/>
            </a:ext>
          </a:extLst>
        </xdr:cNvPr>
        <xdr:cNvSpPr>
          <a:spLocks noChangeAspect="1" noChangeArrowheads="1"/>
        </xdr:cNvSpPr>
      </xdr:nvSpPr>
      <xdr:spPr bwMode="auto">
        <a:xfrm>
          <a:off x="0" y="2305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1" name="AutoShape 124">
          <a:extLst>
            <a:ext uri="{FF2B5EF4-FFF2-40B4-BE49-F238E27FC236}">
              <a16:creationId xmlns:a16="http://schemas.microsoft.com/office/drawing/2014/main" id="{82D0FE86-CA7E-471C-9D3B-7DE4EAA883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2" name="AutoShape 125">
          <a:extLst>
            <a:ext uri="{FF2B5EF4-FFF2-40B4-BE49-F238E27FC236}">
              <a16:creationId xmlns:a16="http://schemas.microsoft.com/office/drawing/2014/main" id="{C600A79F-1052-4E85-B519-6FE43FF5B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3" name="AutoShape 126">
          <a:extLst>
            <a:ext uri="{FF2B5EF4-FFF2-40B4-BE49-F238E27FC236}">
              <a16:creationId xmlns:a16="http://schemas.microsoft.com/office/drawing/2014/main" id="{92438D77-C344-4965-ACAC-DF8E6754BD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4" name="AutoShape 127">
          <a:extLst>
            <a:ext uri="{FF2B5EF4-FFF2-40B4-BE49-F238E27FC236}">
              <a16:creationId xmlns:a16="http://schemas.microsoft.com/office/drawing/2014/main" id="{8B7DF8B6-E0C5-4E35-845B-991FDFAEDE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15" name="AutoShape 128">
          <a:extLst>
            <a:ext uri="{FF2B5EF4-FFF2-40B4-BE49-F238E27FC236}">
              <a16:creationId xmlns:a16="http://schemas.microsoft.com/office/drawing/2014/main" id="{3D1610F9-D415-4442-8667-2CE014F00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16" name="AutoShape 129">
          <a:extLst>
            <a:ext uri="{FF2B5EF4-FFF2-40B4-BE49-F238E27FC236}">
              <a16:creationId xmlns:a16="http://schemas.microsoft.com/office/drawing/2014/main" id="{065C1AD0-6B47-443C-ABA2-C0FE274897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17" name="AutoShape 130">
          <a:extLst>
            <a:ext uri="{FF2B5EF4-FFF2-40B4-BE49-F238E27FC236}">
              <a16:creationId xmlns:a16="http://schemas.microsoft.com/office/drawing/2014/main" id="{C02648DA-2CCB-434A-BBE3-4F678AFA00D7}"/>
            </a:ext>
          </a:extLst>
        </xdr:cNvPr>
        <xdr:cNvSpPr>
          <a:spLocks noChangeAspect="1" noChangeArrowheads="1"/>
        </xdr:cNvSpPr>
      </xdr:nvSpPr>
      <xdr:spPr bwMode="auto">
        <a:xfrm>
          <a:off x="0" y="2419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18" name="AutoShape 131">
          <a:extLst>
            <a:ext uri="{FF2B5EF4-FFF2-40B4-BE49-F238E27FC236}">
              <a16:creationId xmlns:a16="http://schemas.microsoft.com/office/drawing/2014/main" id="{81CE5546-1086-47C0-9F74-E32EAA65DF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19" name="AutoShape 132">
          <a:extLst>
            <a:ext uri="{FF2B5EF4-FFF2-40B4-BE49-F238E27FC236}">
              <a16:creationId xmlns:a16="http://schemas.microsoft.com/office/drawing/2014/main" id="{DC3FD4B5-BB68-4964-9AA5-66D4419A8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0" name="AutoShape 133">
          <a:extLst>
            <a:ext uri="{FF2B5EF4-FFF2-40B4-BE49-F238E27FC236}">
              <a16:creationId xmlns:a16="http://schemas.microsoft.com/office/drawing/2014/main" id="{6791F146-0EC9-48F3-940B-EA0205CFA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1" name="AutoShape 134">
          <a:extLst>
            <a:ext uri="{FF2B5EF4-FFF2-40B4-BE49-F238E27FC236}">
              <a16:creationId xmlns:a16="http://schemas.microsoft.com/office/drawing/2014/main" id="{DD87F13F-2C89-445C-BD9F-185F8A15AF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2" name="AutoShape 135">
          <a:extLst>
            <a:ext uri="{FF2B5EF4-FFF2-40B4-BE49-F238E27FC236}">
              <a16:creationId xmlns:a16="http://schemas.microsoft.com/office/drawing/2014/main" id="{4D213EE8-E911-4593-A4AB-994AB2FA1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3" name="AutoShape 136">
          <a:extLst>
            <a:ext uri="{FF2B5EF4-FFF2-40B4-BE49-F238E27FC236}">
              <a16:creationId xmlns:a16="http://schemas.microsoft.com/office/drawing/2014/main" id="{DBC22CC2-B9E8-4733-8DAF-BD3D92E677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4" name="AutoShape 137">
          <a:extLst>
            <a:ext uri="{FF2B5EF4-FFF2-40B4-BE49-F238E27FC236}">
              <a16:creationId xmlns:a16="http://schemas.microsoft.com/office/drawing/2014/main" id="{09A88D87-4769-4289-9768-B5C2FA0926A5}"/>
            </a:ext>
          </a:extLst>
        </xdr:cNvPr>
        <xdr:cNvSpPr>
          <a:spLocks noChangeAspect="1" noChangeArrowheads="1"/>
        </xdr:cNvSpPr>
      </xdr:nvSpPr>
      <xdr:spPr bwMode="auto">
        <a:xfrm>
          <a:off x="0" y="2533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25" name="AutoShape 138">
          <a:extLst>
            <a:ext uri="{FF2B5EF4-FFF2-40B4-BE49-F238E27FC236}">
              <a16:creationId xmlns:a16="http://schemas.microsoft.com/office/drawing/2014/main" id="{6610490E-7F83-4384-AB23-5D17DA86D6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26" name="AutoShape 139">
          <a:extLst>
            <a:ext uri="{FF2B5EF4-FFF2-40B4-BE49-F238E27FC236}">
              <a16:creationId xmlns:a16="http://schemas.microsoft.com/office/drawing/2014/main" id="{13C6E9F7-F109-4A20-B47B-C355E5C6DD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27" name="AutoShape 140">
          <a:extLst>
            <a:ext uri="{FF2B5EF4-FFF2-40B4-BE49-F238E27FC236}">
              <a16:creationId xmlns:a16="http://schemas.microsoft.com/office/drawing/2014/main" id="{DE2C2733-F21F-4F70-A539-9703A0B0F3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28" name="AutoShape 141">
          <a:extLst>
            <a:ext uri="{FF2B5EF4-FFF2-40B4-BE49-F238E27FC236}">
              <a16:creationId xmlns:a16="http://schemas.microsoft.com/office/drawing/2014/main" id="{7DCC34B7-5575-4FA8-8B88-54EC3B3104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29" name="AutoShape 142">
          <a:extLst>
            <a:ext uri="{FF2B5EF4-FFF2-40B4-BE49-F238E27FC236}">
              <a16:creationId xmlns:a16="http://schemas.microsoft.com/office/drawing/2014/main" id="{CC9369E1-DA92-42E0-A1F2-DE77B8E8A5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0" name="AutoShape 143">
          <a:extLst>
            <a:ext uri="{FF2B5EF4-FFF2-40B4-BE49-F238E27FC236}">
              <a16:creationId xmlns:a16="http://schemas.microsoft.com/office/drawing/2014/main" id="{91B9D846-8EBB-4F38-A64C-66556773E0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1" name="AutoShape 144">
          <a:extLst>
            <a:ext uri="{FF2B5EF4-FFF2-40B4-BE49-F238E27FC236}">
              <a16:creationId xmlns:a16="http://schemas.microsoft.com/office/drawing/2014/main" id="{B31423AB-98D9-4EA0-BE68-558C15402345}"/>
            </a:ext>
          </a:extLst>
        </xdr:cNvPr>
        <xdr:cNvSpPr>
          <a:spLocks noChangeAspect="1" noChangeArrowheads="1"/>
        </xdr:cNvSpPr>
      </xdr:nvSpPr>
      <xdr:spPr bwMode="auto">
        <a:xfrm>
          <a:off x="0" y="2647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2" name="AutoShape 145">
          <a:extLst>
            <a:ext uri="{FF2B5EF4-FFF2-40B4-BE49-F238E27FC236}">
              <a16:creationId xmlns:a16="http://schemas.microsoft.com/office/drawing/2014/main" id="{9ADB4491-D4B3-40BC-9A40-98BA3F0D76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3" name="AutoShape 146">
          <a:extLst>
            <a:ext uri="{FF2B5EF4-FFF2-40B4-BE49-F238E27FC236}">
              <a16:creationId xmlns:a16="http://schemas.microsoft.com/office/drawing/2014/main" id="{9913F795-8FBE-41D9-8AE5-DFDEA17A0A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4" name="AutoShape 147">
          <a:extLst>
            <a:ext uri="{FF2B5EF4-FFF2-40B4-BE49-F238E27FC236}">
              <a16:creationId xmlns:a16="http://schemas.microsoft.com/office/drawing/2014/main" id="{FDEB9E46-5973-46B6-BF71-F210800EB3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35" name="AutoShape 148">
          <a:extLst>
            <a:ext uri="{FF2B5EF4-FFF2-40B4-BE49-F238E27FC236}">
              <a16:creationId xmlns:a16="http://schemas.microsoft.com/office/drawing/2014/main" id="{81FD9D12-E98C-46D3-B2AE-21C34376AB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36" name="AutoShape 149">
          <a:extLst>
            <a:ext uri="{FF2B5EF4-FFF2-40B4-BE49-F238E27FC236}">
              <a16:creationId xmlns:a16="http://schemas.microsoft.com/office/drawing/2014/main" id="{3DD08ED8-C7E6-4400-8ABC-5FBDBD5ED7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37" name="AutoShape 150">
          <a:extLst>
            <a:ext uri="{FF2B5EF4-FFF2-40B4-BE49-F238E27FC236}">
              <a16:creationId xmlns:a16="http://schemas.microsoft.com/office/drawing/2014/main" id="{B42515D4-1B04-44A0-B48E-871544F5E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38" name="AutoShape 151">
          <a:extLst>
            <a:ext uri="{FF2B5EF4-FFF2-40B4-BE49-F238E27FC236}">
              <a16:creationId xmlns:a16="http://schemas.microsoft.com/office/drawing/2014/main" id="{C1800C59-A721-438E-B50B-9274E5A85689}"/>
            </a:ext>
          </a:extLst>
        </xdr:cNvPr>
        <xdr:cNvSpPr>
          <a:spLocks noChangeAspect="1" noChangeArrowheads="1"/>
        </xdr:cNvSpPr>
      </xdr:nvSpPr>
      <xdr:spPr bwMode="auto">
        <a:xfrm>
          <a:off x="0" y="2762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39" name="AutoShape 152">
          <a:extLst>
            <a:ext uri="{FF2B5EF4-FFF2-40B4-BE49-F238E27FC236}">
              <a16:creationId xmlns:a16="http://schemas.microsoft.com/office/drawing/2014/main" id="{58D5A099-B1AA-40DD-995A-63C6DA8F5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0" name="AutoShape 153">
          <a:extLst>
            <a:ext uri="{FF2B5EF4-FFF2-40B4-BE49-F238E27FC236}">
              <a16:creationId xmlns:a16="http://schemas.microsoft.com/office/drawing/2014/main" id="{6416A2FB-CCA3-43B8-A0AD-D5FB603EF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1" name="AutoShape 154">
          <a:extLst>
            <a:ext uri="{FF2B5EF4-FFF2-40B4-BE49-F238E27FC236}">
              <a16:creationId xmlns:a16="http://schemas.microsoft.com/office/drawing/2014/main" id="{724EE9D0-314D-4A62-9955-5D03901E38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2" name="AutoShape 155">
          <a:extLst>
            <a:ext uri="{FF2B5EF4-FFF2-40B4-BE49-F238E27FC236}">
              <a16:creationId xmlns:a16="http://schemas.microsoft.com/office/drawing/2014/main" id="{0509EC14-EB72-49C3-8156-62FA375703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3" name="AutoShape 156">
          <a:extLst>
            <a:ext uri="{FF2B5EF4-FFF2-40B4-BE49-F238E27FC236}">
              <a16:creationId xmlns:a16="http://schemas.microsoft.com/office/drawing/2014/main" id="{C057FAF9-03D1-4E71-97A5-7D0B4452A6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4" name="AutoShape 157">
          <a:extLst>
            <a:ext uri="{FF2B5EF4-FFF2-40B4-BE49-F238E27FC236}">
              <a16:creationId xmlns:a16="http://schemas.microsoft.com/office/drawing/2014/main" id="{00CB3E04-12F6-4160-8D31-E2FD1799E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45" name="AutoShape 158">
          <a:extLst>
            <a:ext uri="{FF2B5EF4-FFF2-40B4-BE49-F238E27FC236}">
              <a16:creationId xmlns:a16="http://schemas.microsoft.com/office/drawing/2014/main" id="{970CF01B-BF00-4D11-9770-0C0CD46CC22C}"/>
            </a:ext>
          </a:extLst>
        </xdr:cNvPr>
        <xdr:cNvSpPr>
          <a:spLocks noChangeAspect="1" noChangeArrowheads="1"/>
        </xdr:cNvSpPr>
      </xdr:nvSpPr>
      <xdr:spPr bwMode="auto">
        <a:xfrm>
          <a:off x="0" y="2876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6" name="AutoShape 159">
          <a:extLst>
            <a:ext uri="{FF2B5EF4-FFF2-40B4-BE49-F238E27FC236}">
              <a16:creationId xmlns:a16="http://schemas.microsoft.com/office/drawing/2014/main" id="{6AC1E09D-103A-4B9F-8187-A1D1AADAD1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7" name="AutoShape 160">
          <a:extLst>
            <a:ext uri="{FF2B5EF4-FFF2-40B4-BE49-F238E27FC236}">
              <a16:creationId xmlns:a16="http://schemas.microsoft.com/office/drawing/2014/main" id="{430D1362-C7EF-49D4-AD99-81F1BDEDD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8" name="AutoShape 161">
          <a:extLst>
            <a:ext uri="{FF2B5EF4-FFF2-40B4-BE49-F238E27FC236}">
              <a16:creationId xmlns:a16="http://schemas.microsoft.com/office/drawing/2014/main" id="{5190EC9A-CFD7-4073-A750-7F1C656203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9" name="AutoShape 162">
          <a:extLst>
            <a:ext uri="{FF2B5EF4-FFF2-40B4-BE49-F238E27FC236}">
              <a16:creationId xmlns:a16="http://schemas.microsoft.com/office/drawing/2014/main" id="{A21A0E15-DB70-407E-8BC0-86C00E20D3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0" name="AutoShape 163">
          <a:extLst>
            <a:ext uri="{FF2B5EF4-FFF2-40B4-BE49-F238E27FC236}">
              <a16:creationId xmlns:a16="http://schemas.microsoft.com/office/drawing/2014/main" id="{C7338BA0-A67A-4617-B2CA-EFA6C94B94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1" name="AutoShape 164">
          <a:extLst>
            <a:ext uri="{FF2B5EF4-FFF2-40B4-BE49-F238E27FC236}">
              <a16:creationId xmlns:a16="http://schemas.microsoft.com/office/drawing/2014/main" id="{068DF165-9CC5-4A72-9256-575D4F6DC8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2" name="AutoShape 165">
          <a:extLst>
            <a:ext uri="{FF2B5EF4-FFF2-40B4-BE49-F238E27FC236}">
              <a16:creationId xmlns:a16="http://schemas.microsoft.com/office/drawing/2014/main" id="{A9398990-C731-4D0A-A06C-072F0F99D942}"/>
            </a:ext>
          </a:extLst>
        </xdr:cNvPr>
        <xdr:cNvSpPr>
          <a:spLocks noChangeAspect="1" noChangeArrowheads="1"/>
        </xdr:cNvSpPr>
      </xdr:nvSpPr>
      <xdr:spPr bwMode="auto">
        <a:xfrm>
          <a:off x="0" y="2990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3" name="AutoShape 166">
          <a:extLst>
            <a:ext uri="{FF2B5EF4-FFF2-40B4-BE49-F238E27FC236}">
              <a16:creationId xmlns:a16="http://schemas.microsoft.com/office/drawing/2014/main" id="{7179ACC1-9388-416C-AF2D-C7359A068F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4" name="AutoShape 167">
          <a:extLst>
            <a:ext uri="{FF2B5EF4-FFF2-40B4-BE49-F238E27FC236}">
              <a16:creationId xmlns:a16="http://schemas.microsoft.com/office/drawing/2014/main" id="{566A313C-5837-4DE4-8783-618CCDB3B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55" name="AutoShape 168">
          <a:extLst>
            <a:ext uri="{FF2B5EF4-FFF2-40B4-BE49-F238E27FC236}">
              <a16:creationId xmlns:a16="http://schemas.microsoft.com/office/drawing/2014/main" id="{ED0E5D01-9C33-46F9-9850-8AF499D72A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56" name="AutoShape 169">
          <a:extLst>
            <a:ext uri="{FF2B5EF4-FFF2-40B4-BE49-F238E27FC236}">
              <a16:creationId xmlns:a16="http://schemas.microsoft.com/office/drawing/2014/main" id="{555A8D0C-04D9-4282-9CC2-D3CB2FC08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57" name="AutoShape 170">
          <a:extLst>
            <a:ext uri="{FF2B5EF4-FFF2-40B4-BE49-F238E27FC236}">
              <a16:creationId xmlns:a16="http://schemas.microsoft.com/office/drawing/2014/main" id="{5BB8DB74-8E8E-41CB-9397-A0E42E885A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58" name="AutoShape 171">
          <a:extLst>
            <a:ext uri="{FF2B5EF4-FFF2-40B4-BE49-F238E27FC236}">
              <a16:creationId xmlns:a16="http://schemas.microsoft.com/office/drawing/2014/main" id="{2DE453B2-FCB2-4E81-B417-FE57FB0C0F69}"/>
            </a:ext>
          </a:extLst>
        </xdr:cNvPr>
        <xdr:cNvSpPr>
          <a:spLocks noChangeAspect="1" noChangeArrowheads="1"/>
        </xdr:cNvSpPr>
      </xdr:nvSpPr>
      <xdr:spPr bwMode="auto">
        <a:xfrm>
          <a:off x="0" y="3086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59" name="AutoShape 172">
          <a:extLst>
            <a:ext uri="{FF2B5EF4-FFF2-40B4-BE49-F238E27FC236}">
              <a16:creationId xmlns:a16="http://schemas.microsoft.com/office/drawing/2014/main" id="{63B464B0-A196-43DC-A489-218D9C6512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0" name="AutoShape 173">
          <a:extLst>
            <a:ext uri="{FF2B5EF4-FFF2-40B4-BE49-F238E27FC236}">
              <a16:creationId xmlns:a16="http://schemas.microsoft.com/office/drawing/2014/main" id="{C94D5344-A850-4AD8-8ADF-37F6EEDB4C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1" name="AutoShape 174">
          <a:extLst>
            <a:ext uri="{FF2B5EF4-FFF2-40B4-BE49-F238E27FC236}">
              <a16:creationId xmlns:a16="http://schemas.microsoft.com/office/drawing/2014/main" id="{A448E104-79E2-4601-8F5E-4BC8DD0FA1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2" name="AutoShape 175">
          <a:extLst>
            <a:ext uri="{FF2B5EF4-FFF2-40B4-BE49-F238E27FC236}">
              <a16:creationId xmlns:a16="http://schemas.microsoft.com/office/drawing/2014/main" id="{2DE0EE76-4476-4AEB-89EC-E12FEBE222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3" name="AutoShape 176">
          <a:extLst>
            <a:ext uri="{FF2B5EF4-FFF2-40B4-BE49-F238E27FC236}">
              <a16:creationId xmlns:a16="http://schemas.microsoft.com/office/drawing/2014/main" id="{F7A0C431-365A-4129-9DF8-49820CB4AB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4" name="AutoShape 177">
          <a:extLst>
            <a:ext uri="{FF2B5EF4-FFF2-40B4-BE49-F238E27FC236}">
              <a16:creationId xmlns:a16="http://schemas.microsoft.com/office/drawing/2014/main" id="{9AE2B2FC-CD8A-4D74-98C7-DC2798D89CE3}"/>
            </a:ext>
          </a:extLst>
        </xdr:cNvPr>
        <xdr:cNvSpPr>
          <a:spLocks noChangeAspect="1" noChangeArrowheads="1"/>
        </xdr:cNvSpPr>
      </xdr:nvSpPr>
      <xdr:spPr bwMode="auto">
        <a:xfrm>
          <a:off x="0" y="3181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65" name="AutoShape 178">
          <a:extLst>
            <a:ext uri="{FF2B5EF4-FFF2-40B4-BE49-F238E27FC236}">
              <a16:creationId xmlns:a16="http://schemas.microsoft.com/office/drawing/2014/main" id="{02FF6FD8-4A70-469B-B8B9-19911F7F1E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66" name="AutoShape 179">
          <a:extLst>
            <a:ext uri="{FF2B5EF4-FFF2-40B4-BE49-F238E27FC236}">
              <a16:creationId xmlns:a16="http://schemas.microsoft.com/office/drawing/2014/main" id="{C5394DB9-A975-413A-ACEC-12D91C1511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67" name="AutoShape 180">
          <a:extLst>
            <a:ext uri="{FF2B5EF4-FFF2-40B4-BE49-F238E27FC236}">
              <a16:creationId xmlns:a16="http://schemas.microsoft.com/office/drawing/2014/main" id="{2995456F-D310-4263-88C5-DC26B4B6CA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68" name="AutoShape 181">
          <a:extLst>
            <a:ext uri="{FF2B5EF4-FFF2-40B4-BE49-F238E27FC236}">
              <a16:creationId xmlns:a16="http://schemas.microsoft.com/office/drawing/2014/main" id="{6C6F76ED-0E66-4A91-9E2B-0DFBD5AB4B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69" name="AutoShape 182">
          <a:extLst>
            <a:ext uri="{FF2B5EF4-FFF2-40B4-BE49-F238E27FC236}">
              <a16:creationId xmlns:a16="http://schemas.microsoft.com/office/drawing/2014/main" id="{88DF0455-70FC-4313-9C6B-6FC4105C41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0" name="AutoShape 183">
          <a:extLst>
            <a:ext uri="{FF2B5EF4-FFF2-40B4-BE49-F238E27FC236}">
              <a16:creationId xmlns:a16="http://schemas.microsoft.com/office/drawing/2014/main" id="{B7DC4AA3-87CC-4A46-A00B-19B9EB772743}"/>
            </a:ext>
          </a:extLst>
        </xdr:cNvPr>
        <xdr:cNvSpPr>
          <a:spLocks noChangeAspect="1" noChangeArrowheads="1"/>
        </xdr:cNvSpPr>
      </xdr:nvSpPr>
      <xdr:spPr bwMode="auto">
        <a:xfrm>
          <a:off x="0" y="3276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1" name="AutoShape 184">
          <a:extLst>
            <a:ext uri="{FF2B5EF4-FFF2-40B4-BE49-F238E27FC236}">
              <a16:creationId xmlns:a16="http://schemas.microsoft.com/office/drawing/2014/main" id="{1E2E74F8-EAE4-4244-9166-5D3E66FE87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2" name="AutoShape 185">
          <a:extLst>
            <a:ext uri="{FF2B5EF4-FFF2-40B4-BE49-F238E27FC236}">
              <a16:creationId xmlns:a16="http://schemas.microsoft.com/office/drawing/2014/main" id="{81D55ECB-0B7E-49F1-90B7-0B80E60DBB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3" name="AutoShape 186">
          <a:extLst>
            <a:ext uri="{FF2B5EF4-FFF2-40B4-BE49-F238E27FC236}">
              <a16:creationId xmlns:a16="http://schemas.microsoft.com/office/drawing/2014/main" id="{02E934FE-5F35-4241-A7AD-00B54FD7DC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4" name="AutoShape 187">
          <a:extLst>
            <a:ext uri="{FF2B5EF4-FFF2-40B4-BE49-F238E27FC236}">
              <a16:creationId xmlns:a16="http://schemas.microsoft.com/office/drawing/2014/main" id="{3DE657E9-DA7D-4F92-A926-A131683AC1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75" name="AutoShape 188">
          <a:extLst>
            <a:ext uri="{FF2B5EF4-FFF2-40B4-BE49-F238E27FC236}">
              <a16:creationId xmlns:a16="http://schemas.microsoft.com/office/drawing/2014/main" id="{3B4E7614-4EC3-4659-8FE8-77ED3432093C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76" name="AutoShape 189">
          <a:extLst>
            <a:ext uri="{FF2B5EF4-FFF2-40B4-BE49-F238E27FC236}">
              <a16:creationId xmlns:a16="http://schemas.microsoft.com/office/drawing/2014/main" id="{05F36002-5E48-4F68-A47C-3E44CB6801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77" name="AutoShape 190">
          <a:extLst>
            <a:ext uri="{FF2B5EF4-FFF2-40B4-BE49-F238E27FC236}">
              <a16:creationId xmlns:a16="http://schemas.microsoft.com/office/drawing/2014/main" id="{7F294D26-AA2F-4BBB-A31C-19F77E9844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78" name="AutoShape 191">
          <a:extLst>
            <a:ext uri="{FF2B5EF4-FFF2-40B4-BE49-F238E27FC236}">
              <a16:creationId xmlns:a16="http://schemas.microsoft.com/office/drawing/2014/main" id="{EE7A5C01-07FC-4412-B0F5-462638F9CD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79" name="AutoShape 192">
          <a:extLst>
            <a:ext uri="{FF2B5EF4-FFF2-40B4-BE49-F238E27FC236}">
              <a16:creationId xmlns:a16="http://schemas.microsoft.com/office/drawing/2014/main" id="{BF9C44B2-0D85-474B-8AE2-C5D047EC5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0" name="AutoShape 193">
          <a:extLst>
            <a:ext uri="{FF2B5EF4-FFF2-40B4-BE49-F238E27FC236}">
              <a16:creationId xmlns:a16="http://schemas.microsoft.com/office/drawing/2014/main" id="{D9E5B043-6A51-4B63-8B38-0DC1A54A69AA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1" name="AutoShape 194">
          <a:extLst>
            <a:ext uri="{FF2B5EF4-FFF2-40B4-BE49-F238E27FC236}">
              <a16:creationId xmlns:a16="http://schemas.microsoft.com/office/drawing/2014/main" id="{530BE962-E088-4231-98AB-1E99DA7E3B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2" name="AutoShape 195">
          <a:extLst>
            <a:ext uri="{FF2B5EF4-FFF2-40B4-BE49-F238E27FC236}">
              <a16:creationId xmlns:a16="http://schemas.microsoft.com/office/drawing/2014/main" id="{D3BC3BF4-BA00-4C6F-8D16-2B8EE809E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3" name="AutoShape 196">
          <a:extLst>
            <a:ext uri="{FF2B5EF4-FFF2-40B4-BE49-F238E27FC236}">
              <a16:creationId xmlns:a16="http://schemas.microsoft.com/office/drawing/2014/main" id="{36DD0834-3465-491A-A0ED-3BAB99F599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4" name="AutoShape 197">
          <a:extLst>
            <a:ext uri="{FF2B5EF4-FFF2-40B4-BE49-F238E27FC236}">
              <a16:creationId xmlns:a16="http://schemas.microsoft.com/office/drawing/2014/main" id="{12DB2545-82CF-4636-B87B-AEBE8D6347BA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85" name="AutoShape 198">
          <a:extLst>
            <a:ext uri="{FF2B5EF4-FFF2-40B4-BE49-F238E27FC236}">
              <a16:creationId xmlns:a16="http://schemas.microsoft.com/office/drawing/2014/main" id="{9B71851A-C8DC-45C0-B763-F39991090D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86" name="AutoShape 199">
          <a:extLst>
            <a:ext uri="{FF2B5EF4-FFF2-40B4-BE49-F238E27FC236}">
              <a16:creationId xmlns:a16="http://schemas.microsoft.com/office/drawing/2014/main" id="{FB588D46-1C72-4595-98D2-5364FB0EA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87" name="AutoShape 200">
          <a:extLst>
            <a:ext uri="{FF2B5EF4-FFF2-40B4-BE49-F238E27FC236}">
              <a16:creationId xmlns:a16="http://schemas.microsoft.com/office/drawing/2014/main" id="{C33A9D04-DC17-4ECE-AD85-9352420ADD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88" name="AutoShape 201">
          <a:extLst>
            <a:ext uri="{FF2B5EF4-FFF2-40B4-BE49-F238E27FC236}">
              <a16:creationId xmlns:a16="http://schemas.microsoft.com/office/drawing/2014/main" id="{AF2AFC21-FBDF-4E33-90B2-067042424C40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89" name="AutoShape 202">
          <a:extLst>
            <a:ext uri="{FF2B5EF4-FFF2-40B4-BE49-F238E27FC236}">
              <a16:creationId xmlns:a16="http://schemas.microsoft.com/office/drawing/2014/main" id="{FDB10B40-45E8-4095-A413-39C7444EAC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0" name="AutoShape 203">
          <a:extLst>
            <a:ext uri="{FF2B5EF4-FFF2-40B4-BE49-F238E27FC236}">
              <a16:creationId xmlns:a16="http://schemas.microsoft.com/office/drawing/2014/main" id="{D51E09C1-FFB3-489D-B7B2-3D6392C694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1" name="AutoShape 204">
          <a:extLst>
            <a:ext uri="{FF2B5EF4-FFF2-40B4-BE49-F238E27FC236}">
              <a16:creationId xmlns:a16="http://schemas.microsoft.com/office/drawing/2014/main" id="{77DDD883-9192-4DEB-A9EE-408D57FE77F8}"/>
            </a:ext>
          </a:extLst>
        </xdr:cNvPr>
        <xdr:cNvSpPr>
          <a:spLocks noChangeAspect="1" noChangeArrowheads="1"/>
        </xdr:cNvSpPr>
      </xdr:nvSpPr>
      <xdr:spPr bwMode="auto">
        <a:xfrm>
          <a:off x="0" y="3581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2" name="AutoShape 205">
          <a:extLst>
            <a:ext uri="{FF2B5EF4-FFF2-40B4-BE49-F238E27FC236}">
              <a16:creationId xmlns:a16="http://schemas.microsoft.com/office/drawing/2014/main" id="{53BF4BDC-ED17-42CD-9757-2A6CC2D2D8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3" name="AutoShape 206">
          <a:extLst>
            <a:ext uri="{FF2B5EF4-FFF2-40B4-BE49-F238E27FC236}">
              <a16:creationId xmlns:a16="http://schemas.microsoft.com/office/drawing/2014/main" id="{450B5061-14C2-475D-84DC-831E7CE47B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4" name="AutoShape 2">
          <a:extLst>
            <a:ext uri="{FF2B5EF4-FFF2-40B4-BE49-F238E27FC236}">
              <a16:creationId xmlns:a16="http://schemas.microsoft.com/office/drawing/2014/main" id="{A79F11EC-7032-4B6A-A42C-3130A24F6F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195" name="AutoShape 3">
          <a:extLst>
            <a:ext uri="{FF2B5EF4-FFF2-40B4-BE49-F238E27FC236}">
              <a16:creationId xmlns:a16="http://schemas.microsoft.com/office/drawing/2014/main" id="{E85FE7CF-CC45-46E7-81C5-61403C6DF3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196" name="AutoShape 4">
          <a:extLst>
            <a:ext uri="{FF2B5EF4-FFF2-40B4-BE49-F238E27FC236}">
              <a16:creationId xmlns:a16="http://schemas.microsoft.com/office/drawing/2014/main" id="{F3B354A4-E62A-4B88-9174-19BBB16284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197" name="AutoShape 5">
          <a:extLst>
            <a:ext uri="{FF2B5EF4-FFF2-40B4-BE49-F238E27FC236}">
              <a16:creationId xmlns:a16="http://schemas.microsoft.com/office/drawing/2014/main" id="{FB8EB87E-55B6-4DDC-9A07-30D4560146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8" name="AutoShape 6">
          <a:extLst>
            <a:ext uri="{FF2B5EF4-FFF2-40B4-BE49-F238E27FC236}">
              <a16:creationId xmlns:a16="http://schemas.microsoft.com/office/drawing/2014/main" id="{E54C1E9A-9250-467C-BEB8-528A7C11B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1" name="AutoShape 18">
          <a:extLst>
            <a:ext uri="{FF2B5EF4-FFF2-40B4-BE49-F238E27FC236}">
              <a16:creationId xmlns:a16="http://schemas.microsoft.com/office/drawing/2014/main" id="{B7AB08E8-91FF-4482-A968-EC0DFF3D6B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2" name="AutoShape 25">
          <a:extLst>
            <a:ext uri="{FF2B5EF4-FFF2-40B4-BE49-F238E27FC236}">
              <a16:creationId xmlns:a16="http://schemas.microsoft.com/office/drawing/2014/main" id="{C0A994D0-9B63-4C70-A643-27B4B8A741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3" name="AutoShape 32">
          <a:extLst>
            <a:ext uri="{FF2B5EF4-FFF2-40B4-BE49-F238E27FC236}">
              <a16:creationId xmlns:a16="http://schemas.microsoft.com/office/drawing/2014/main" id="{68599F20-1983-49CE-802D-D29161E281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5C4E46AD-B748-463B-9F54-0CA748C7A363}"/>
            </a:ext>
          </a:extLst>
        </xdr:cNvPr>
        <xdr:cNvSpPr>
          <a:spLocks noChangeAspect="1" noChangeArrowheads="1"/>
        </xdr:cNvSpPr>
      </xdr:nvSpPr>
      <xdr:spPr bwMode="auto">
        <a:xfrm>
          <a:off x="24765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89E882-A131-4012-A685-202F211FC1B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A28E5B6C-E05A-4DDA-A9A0-87516EF7A6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87FA3603-91C9-4402-B5AC-D40B416748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524212E-2391-429F-A999-C7F0228884D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9C3B99FE-876D-4DCE-B0BF-22C2A8A43612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C991CC62-E144-48CE-9AC7-8961F2042C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7B4E2BDE-ABDC-4E7E-AD77-8664F22EF3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4386CA3A-391F-410F-A7D3-067F9E5A3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B80D7181-82F5-4A77-89AE-FE90C129C9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07FCA367-7933-4D62-A87B-496D6D4FB4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8F8485A0-228B-43AD-ADA7-0167F4961D30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D7817620-B5FC-4542-B8FB-5464D58A69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E2F16B58-465C-4068-8AD2-1FC26CFF9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60C53033-87BB-4B68-992E-70FD67DEBA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1E555EA8-44A5-4F41-8B79-834849EC3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A5B7E579-A00A-4E64-AAAB-0C224BA56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3FEF2D0D-A9B5-48A4-BE7B-264A1288EB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E26E86D3-C9F7-4A4F-B313-2202B8A54D57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56C614B0-F3BA-41CA-B2FB-CFB69F8A04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4197D738-CF35-4175-AD2E-D6C4DD6068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F5EFE13C-0FE6-4F79-9A31-DD01AC3948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BD3CE4E6-434B-4933-98D3-A224A21962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E825E814-E3ED-4185-9649-2D483B9F5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C930D687-78A3-49C1-9FB5-623F863F475A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C565F3A1-AC9F-496E-A0C2-BB272F321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4A2081FA-7B15-44A6-8167-544A5FC19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A27F158E-0FB6-4999-BAA5-0F3A3534DE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739D6D0-48F7-44C6-858C-19B29DDF3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D3233B05-EECC-447B-9BB2-6B7FA127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4B8BA8FC-3D1A-43DE-9A17-0D7230F9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5AC60943-E6D9-4A15-A01E-AE18E5FB830D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22EEDD00-72C9-4363-9FD1-4D9E292A3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D35C4B79-E024-428D-8E48-5245719830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F29B53AA-4EE8-409E-A54A-1F7D014714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D90F35D8-51F5-4AFB-B9B6-DC4E9D6414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C257F8C7-EF05-42FB-8F00-B38BC8130A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6BDEB646-3C6C-4367-8B85-DC4945622E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B0535630-3703-4D10-BDF6-F104A1AB73BE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B20E8021-CDFF-49F9-B3A8-A54CF98AD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11E76CFE-40F0-46C7-BFA3-9F57C95FCA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19F44B80-FB98-41CF-A9DC-71E9113512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AB5516E5-5F42-41FD-9D09-05DBF26BA2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A134FF3F-32A4-4453-9534-484491AA5A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ECCD0EF-9645-467B-844B-E39EA83731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041F010B-20AE-40D9-95B4-33A7BD3E632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8325F8AA-B5FB-4B2F-87D1-B4B4B64BB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663C3177-0EC1-4AC9-9DA9-2204945EE3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AEEADD9B-B350-456A-8F14-489A9D823B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14F18D80-56DC-4E87-AC08-188D6431A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025B5978-BE4F-46DB-9194-25B8E6EBA9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4967BF6E-9683-4011-ABCA-EADE61F825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8413F45F-2785-4C1C-9EC3-F187781A047A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3C1A6E85-771F-438A-ABCE-BA8C37D95F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3D2F96B8-0AC8-448D-A16B-B0D859A37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81BF5458-0684-4202-88E9-9AE7E0AD35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9D75BB96-9463-4A15-8922-2F7997515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78C68556-187C-4FBC-A62D-CB479AD947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BCEF3CB5-07D3-4B81-9F63-BA1374640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3E3EDBBE-5FC2-4062-958B-B25A67D2F406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160544E2-A529-4B96-8F12-C53466258D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FCD2FEBA-6FFA-4514-BE13-69EC299E96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6EBA99F-2C55-4A21-BB2D-EC9D33F153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4A582091-B51B-4BE5-8B8F-0E0BB8F975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6AB1A850-0CF0-4406-8D2E-453E30D138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DF0D7AA5-F917-4C0B-B5B3-C8C454B75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0400B561-1FFB-4A80-A66F-F1C6EE906592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CD7D3965-42F5-46A9-9770-B614664B80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CBA58152-23A2-4FD5-B71E-A105025948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E8534B7E-6421-46EA-BF63-19BD41BE2F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B1FA1E0B-CF5D-4CF8-8828-2A678F3352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9BC6F038-E484-4175-9628-55F8FDA2D1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A2CA72CC-AC0E-4165-8748-E1B286709A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75279894-398E-4E9F-B81F-BAE300E97B43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EA322161-F0AF-4BF2-A93B-A55481EA54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3AD23B07-DB46-431F-84BE-07E9D468C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DCE4125F-8B13-4EBE-8E8E-2E95785A2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F908E15-0989-4A0C-8A47-8CE4C7CBD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8121BB29-E047-4851-9CB6-2D70A1A833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C41C2572-EC7F-428A-B2DF-44883535E4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9232DA9F-AD38-4431-A80D-0F6534E0DD3E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D2618727-BED8-4F43-89D7-5CC2FBF479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D2A2BF20-E2CC-4010-BB85-CC1971F964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88F50B0F-3181-4685-B20F-06C7A1197B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F9575EBC-D781-4BEF-840D-AA4E57F63B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8D822401-5F27-4787-837E-410EBC4AE8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99A0D4A5-5D27-4B15-AF10-6FD1A37E86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F2B7D900-3D19-4A93-8DDE-F0D995B5BB5E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B872385-1189-480E-8C04-E4A9AE9191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541C1553-21FF-4F77-998F-74A8A1641D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11D0D702-2B68-45B4-87AC-03CECEF5E0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11B39F1C-84B3-4197-925C-79AF824537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442130E4-4A19-4726-A43E-B9F6016C5A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ACB3123F-A77E-41A4-85D1-F5EA09F3D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B26FA0FE-5CF6-4C18-82F0-FB49DEF1EB50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73708E77-194C-4654-9F96-8BEC3E824B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9259192A-754D-49AF-937C-897C9F3A98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FC301E5F-97B6-4F81-8ABC-F124943842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D0998109-3D37-4CE9-BF9A-F040785DA3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D69937B0-F248-4245-991B-C3AE6E56D1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BC69169D-8CB8-4E15-A799-D6F0D45886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117950B7-9D40-4E18-9A3A-663FEA6FA018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9D3DC933-9FC4-4349-A89C-4944E65F1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7724ACFD-904E-45EC-ABCC-D89C1C057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57F1DB2F-247D-4332-AD82-8A4BD29F7F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7A358EB6-B975-4829-8BF2-FF05AD21C9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14C205C2-E2BE-4F09-92E3-98BDAECC6B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D99497A9-BAED-4F3C-875D-3B56169FE0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CDDEEC0-E7FE-49C3-BAA7-5C59CF602250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CED2012-D05B-45BD-8C52-B3954CA20C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8848FF29-DDEE-4D94-A995-BDE296C15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44421FD8-8BE9-4981-B957-18E38C5BD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B69C7ABF-1CEE-45B7-97E0-9AF9669D4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FFC3E0F7-46F0-4087-B15B-030D554D78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CAA4E766-8182-40DB-9C7D-B78C9ED63D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E2E79585-7A27-47CB-8DDF-D6259EA10BCA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BEDD96E3-EEFF-4A82-8C89-CC3E6DD9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6089ACF3-E2A2-493C-A7D7-0FECCDD19C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FF303AA9-C2D9-4F76-A196-5550772C9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94ABA291-E7A3-47A0-ADD7-45DCF33BB5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15A6AAF4-1704-4425-A01D-0F49FF756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4D3A3B8D-C7DD-4308-87DA-C105144EC6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52BB9125-903E-42C1-BA8A-573C1AB97D43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278BC94D-4B78-4D74-B178-E2440BB3C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73725284-C4D9-4359-84F0-C2712525F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3E4150EF-2D63-46F1-B15F-286CF05FE3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FE475459-54AF-4B3A-A0B2-1351FACCE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CB81B70E-EA80-4E7F-9EFD-05E9011501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F5CC976-F7DD-4EBB-877C-5E4B133FB5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2178FC56-6183-4095-A8F0-AC42E7E37990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2CE02B68-488C-43F1-BE8B-621780728B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A95F7F02-026C-49CC-AED4-71494059A2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AF33EFA1-C1B3-4F67-AAD4-BE2B050F8D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7AD8C813-9DC6-4F90-96D6-3122D54E7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11CB09EA-03D8-493C-8F2C-E096FAF6E8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AAB104E6-8A10-4A19-86EE-F95520E4BD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F00F768-DB8A-49A5-AD9D-D66CDA8CE926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8A02DECF-9185-4135-9C4E-D5703ECBB8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19DF44C5-DDFC-4237-A059-B2321BDEE8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2575C50-1C99-4410-9E32-5D293E0032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730A72FD-C6A0-4256-A99A-05867E65B8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3A98C5DB-C52E-4863-8F8D-1D0289655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16CD24FF-08E9-485C-818E-E69E43559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850C2469-BE39-4E12-A65C-9810D1FCED58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4B6928DD-A685-4DC1-89E9-A07DB839C7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3DB3E521-D1FA-4443-9F25-1C9AB6FFCB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4229F0FA-FDFF-4367-A9C6-5E51CC16E2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6DE6B1A5-7593-4609-B966-DF9E07842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5B3DB09D-A39A-4107-8DD9-C92CFF8031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68361D18-F513-4281-A6A0-78F235E505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25F07553-3D4E-4885-902D-530892B74C5F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7C113760-376F-487D-8186-D19736AF1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B53825BB-242B-4C5C-B297-A6A7627DB4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117C3B11-2C9E-4701-892D-84BF4B9DAC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F8DA4890-4786-4BD8-B4C1-27B9C34DB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838F1F80-2FC1-4D36-8954-D0A00B6D36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0D44686C-F92F-427E-B2B2-190D4EEF2579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65CF6209-4B2F-45ED-A58D-8E8DE5A8DBD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50F7613C-BAD7-4939-913F-B33FD25145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2D498D89-5777-4436-94F1-ACDCDBB29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EF1613C9-FAAF-4039-A34B-8FE56DCFD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30426E8D-DE3C-4A22-891C-E67B67CC8C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7F909FBA-1719-4846-83AB-CF940E17B13C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421CB494-4680-4775-8BCC-F200EC214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250FA300-4317-4D98-B45D-15E41EA1AC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2CACC319-43EC-4428-BA11-C86D6E5183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F45B71CA-A654-44E3-88A1-59F14CE2FF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A17AB38F-06CE-4B0C-A6D2-95D5D25617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CC0BF07B-B67D-43DC-83A3-765CBFD82EFE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F1B4AF0-0281-46D3-9C74-C1BB607716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8825CA0F-A055-4D5B-B670-33AEB1ECDB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14F75A1D-3443-4E9F-B93F-A02FAA079E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2A4316B5-E85D-4838-9004-7F6241146E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DBB9BF8C-2CB6-4D75-9ED0-C5AF235DD66B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DC9C521-EC15-426D-8781-C4A1EF1238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2226030B-C3E2-43CB-A4FE-E636E43116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F9B20184-197E-4CE3-B3DA-CC160FC5C2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69A1F72B-B494-442D-BA3F-B1579D0F22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5A012067-51B7-48BF-8B11-B26AECB60B8E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E27A0C7C-A86D-427B-ACAA-9F62DD6D70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22F51E5D-389A-46E7-B15D-7DC44600D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8C02ABA3-42C6-4FA9-BC33-8CE687F70C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265ACD4C-4E26-4C57-B321-4E210B069B1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0AD01D4C-CC01-4345-9EE4-C8190AD390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E25825A5-D981-4A26-8646-8916203AF7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02962BBA-B087-4AA3-8920-77EE6751A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25044406-892A-4C13-9C77-D4E1A880485C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6A928C6B-F254-4FD4-A6C3-77837F77C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ACC3F74C-A5AA-43BD-B121-6E8A2A151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832F65B3-4EF3-414E-89EC-63073054EC97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2786DB36-FF25-4DA5-8C5F-AF2A77EDF5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1ABE0D24-0168-48A7-83E0-0C4FC504D8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9" name="AutoShape 2">
          <a:extLst>
            <a:ext uri="{FF2B5EF4-FFF2-40B4-BE49-F238E27FC236}">
              <a16:creationId xmlns:a16="http://schemas.microsoft.com/office/drawing/2014/main" id="{2C9497FE-DB47-4655-B64F-4E25BDC9EA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200" name="AutoShape 3">
          <a:extLst>
            <a:ext uri="{FF2B5EF4-FFF2-40B4-BE49-F238E27FC236}">
              <a16:creationId xmlns:a16="http://schemas.microsoft.com/office/drawing/2014/main" id="{5B9B877A-46B0-4B60-81AB-072FFDC350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201" name="AutoShape 4">
          <a:extLst>
            <a:ext uri="{FF2B5EF4-FFF2-40B4-BE49-F238E27FC236}">
              <a16:creationId xmlns:a16="http://schemas.microsoft.com/office/drawing/2014/main" id="{E9A7E232-43BB-48E0-AE22-8D069BD2A4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202" name="AutoShape 5">
          <a:extLst>
            <a:ext uri="{FF2B5EF4-FFF2-40B4-BE49-F238E27FC236}">
              <a16:creationId xmlns:a16="http://schemas.microsoft.com/office/drawing/2014/main" id="{1233D6C5-9D88-4719-A151-61AAE6740C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03" name="AutoShape 6">
          <a:extLst>
            <a:ext uri="{FF2B5EF4-FFF2-40B4-BE49-F238E27FC236}">
              <a16:creationId xmlns:a16="http://schemas.microsoft.com/office/drawing/2014/main" id="{25B2939F-9CFC-4BDA-9341-C09DB4A8B1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204" name="AutoShape 7">
          <a:extLst>
            <a:ext uri="{FF2B5EF4-FFF2-40B4-BE49-F238E27FC236}">
              <a16:creationId xmlns:a16="http://schemas.microsoft.com/office/drawing/2014/main" id="{CFA9F62A-7426-4DFD-A468-AD899DE8A2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205" name="AutoShape 4">
          <a:extLst>
            <a:ext uri="{FF2B5EF4-FFF2-40B4-BE49-F238E27FC236}">
              <a16:creationId xmlns:a16="http://schemas.microsoft.com/office/drawing/2014/main" id="{B8142B64-8C09-48DC-A693-740EC43476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6" name="AutoShape 18">
          <a:extLst>
            <a:ext uri="{FF2B5EF4-FFF2-40B4-BE49-F238E27FC236}">
              <a16:creationId xmlns:a16="http://schemas.microsoft.com/office/drawing/2014/main" id="{74682B7F-FE88-4772-8293-6A43C0252EF9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7" name="AutoShape 25">
          <a:extLst>
            <a:ext uri="{FF2B5EF4-FFF2-40B4-BE49-F238E27FC236}">
              <a16:creationId xmlns:a16="http://schemas.microsoft.com/office/drawing/2014/main" id="{B33631BE-4BA4-4010-819C-886B4C7EA21A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8" name="AutoShape 32">
          <a:extLst>
            <a:ext uri="{FF2B5EF4-FFF2-40B4-BE49-F238E27FC236}">
              <a16:creationId xmlns:a16="http://schemas.microsoft.com/office/drawing/2014/main" id="{C914FFB9-21AF-4C09-BF58-BF338BC1F7B1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5E49CA18-3FDE-440E-944C-536D20EB52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161925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CFAD371-5E01-408F-A0E5-F3346543B39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200025</xdr:colOff>
      <xdr:row>1</xdr:row>
      <xdr:rowOff>28575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32AD8A07-533A-410B-AD77-3BA06C0A2946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1</xdr:row>
      <xdr:rowOff>28575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8BDF6656-2BD3-4568-84B4-46BA69DC8F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161925</xdr:colOff>
      <xdr:row>0</xdr:row>
      <xdr:rowOff>161925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4D07BE09-A173-44BC-9D05-7717386B473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180975</xdr:colOff>
      <xdr:row>0</xdr:row>
      <xdr:rowOff>161925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817CCB33-DAEF-48A9-8816-81E59D7B596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4A340828-452F-49E0-9598-ECC7F05D5C15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ABB7BC0-7E4C-45E2-A679-5785DB9A0C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7E5450E5-90AF-415C-B554-D5A81E52841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7CA6194-7C52-46A4-93B0-3948014923FD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0DD45C6-2C61-4CC3-9E99-8810B3728E05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113551E4-6C49-481E-B2C7-D327CC75229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82CADD82-6D61-4230-AA7B-4D7AF1C05517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D6E0DB6-0A43-4434-B9C3-05517DFAFB5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1308265-A84C-4227-808D-6FDB689C2D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997413D-86B5-4123-8E00-7AF3FBF140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5EC9DC53-5880-49E0-BDBA-46B8BAFB0E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FEBBFEFD-B68F-426F-AB0B-5A4194BC25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985780C8-37A5-4C66-9F71-2E578270CE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3C68FDBF-EF31-4138-BDF1-A17EEF086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11A46D33-A892-4C60-9EB5-5185736E27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DA34B8B-631A-4DAE-9606-6C43EEC46A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42875" cy="161925"/>
    <xdr:sp macro="" textlink="">
      <xdr:nvSpPr>
        <xdr:cNvPr id="10" name="AutoShape 3">
          <a:extLst>
            <a:ext uri="{FF2B5EF4-FFF2-40B4-BE49-F238E27FC236}">
              <a16:creationId xmlns:a16="http://schemas.microsoft.com/office/drawing/2014/main" id="{37732D42-3CF4-490E-959D-65A2B9D2D4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3E5F6618-7F9F-4643-BE38-6E3DD57C1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52400" cy="219075"/>
    <xdr:sp macro="" textlink="">
      <xdr:nvSpPr>
        <xdr:cNvPr id="12" name="AutoShape 5">
          <a:extLst>
            <a:ext uri="{FF2B5EF4-FFF2-40B4-BE49-F238E27FC236}">
              <a16:creationId xmlns:a16="http://schemas.microsoft.com/office/drawing/2014/main" id="{69EE9DF6-7392-4FC3-973C-BCB8156A6C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13" name="AutoShape 6">
          <a:extLst>
            <a:ext uri="{FF2B5EF4-FFF2-40B4-BE49-F238E27FC236}">
              <a16:creationId xmlns:a16="http://schemas.microsoft.com/office/drawing/2014/main" id="{582B30EA-CBED-44E6-88FB-7E56748FD5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80975" cy="161925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852A9C3-5BF7-4013-A4ED-3F0C3977D7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5" name="AutoShape 4">
          <a:extLst>
            <a:ext uri="{FF2B5EF4-FFF2-40B4-BE49-F238E27FC236}">
              <a16:creationId xmlns:a16="http://schemas.microsoft.com/office/drawing/2014/main" id="{A19A2D52-D6CA-4350-8FCD-A9F54E3B6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3A885661-1EE7-4CC7-830A-8280B54DAC3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87136CA9-2010-46F4-856F-D6A7FBD43E1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8200" name="AutoShape 8">
          <a:extLst>
            <a:ext uri="{FF2B5EF4-FFF2-40B4-BE49-F238E27FC236}">
              <a16:creationId xmlns:a16="http://schemas.microsoft.com/office/drawing/2014/main" id="{0E26C6BF-7602-4C64-8F33-83F78CDF8C0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8201" name="AutoShape 9">
          <a:extLst>
            <a:ext uri="{FF2B5EF4-FFF2-40B4-BE49-F238E27FC236}">
              <a16:creationId xmlns:a16="http://schemas.microsoft.com/office/drawing/2014/main" id="{4A385AB4-FCF4-44A4-990A-147997E4DA93}"/>
            </a:ext>
          </a:extLst>
        </xdr:cNvPr>
        <xdr:cNvSpPr>
          <a:spLocks noChangeAspect="1" noChangeArrowheads="1"/>
        </xdr:cNvSpPr>
      </xdr:nvSpPr>
      <xdr:spPr bwMode="auto">
        <a:xfrm>
          <a:off x="4876800" y="57150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FF75911D-BDB6-4992-8405-1F1850B7D8C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0BC72BFB-9E62-4D60-8962-8777A5D41E64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281</xdr:row>
      <xdr:rowOff>47625</xdr:rowOff>
    </xdr:from>
    <xdr:to>
      <xdr:col>5</xdr:col>
      <xdr:colOff>342900</xdr:colOff>
      <xdr:row>284</xdr:row>
      <xdr:rowOff>104775</xdr:rowOff>
    </xdr:to>
    <xdr:sp macro="" textlink="">
      <xdr:nvSpPr>
        <xdr:cNvPr id="27670" name="Freeform 674">
          <a:extLst>
            <a:ext uri="{FF2B5EF4-FFF2-40B4-BE49-F238E27FC236}">
              <a16:creationId xmlns:a16="http://schemas.microsoft.com/office/drawing/2014/main" id="{16D61848-F9DC-A8E1-0670-B999949F8575}"/>
            </a:ext>
          </a:extLst>
        </xdr:cNvPr>
        <xdr:cNvSpPr>
          <a:spLocks/>
        </xdr:cNvSpPr>
      </xdr:nvSpPr>
      <xdr:spPr bwMode="auto">
        <a:xfrm>
          <a:off x="447675" y="53578125"/>
          <a:ext cx="2943225" cy="628650"/>
        </a:xfrm>
        <a:custGeom>
          <a:avLst/>
          <a:gdLst/>
          <a:ahLst/>
          <a:cxnLst/>
          <a:rect l="0" t="0" r="0" b="0"/>
          <a:pathLst/>
        </a:custGeom>
        <a:noFill/>
        <a:ln w="12700">
          <a:solidFill>
            <a:srgbClr val="FF0000"/>
          </a:solidFill>
          <a:miter lim="127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ru-RU" sz="1000" b="0" i="0" u="sng" strike="noStrike" baseline="0">
              <a:solidFill>
                <a:srgbClr val="000000"/>
              </a:solidFill>
              <a:latin typeface="Times New Roman"/>
              <a:cs typeface="Times New Roman"/>
            </a:rPr>
            <a:t>508,0  </a:t>
          </a: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11,0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610,0  12,5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711,0  ----  </a:t>
          </a:r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" name="Freeform 253">
          <a:extLst>
            <a:ext uri="{FF2B5EF4-FFF2-40B4-BE49-F238E27FC236}">
              <a16:creationId xmlns:a16="http://schemas.microsoft.com/office/drawing/2014/main" id="{3FEC38C4-5969-5FA2-4CF4-BF04BDA38C4F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3" name="Freeform 252">
          <a:extLst>
            <a:ext uri="{FF2B5EF4-FFF2-40B4-BE49-F238E27FC236}">
              <a16:creationId xmlns:a16="http://schemas.microsoft.com/office/drawing/2014/main" id="{FE6A20C7-583D-A0A4-045E-3EE82784C4EB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4" name="Freeform 565">
          <a:extLst>
            <a:ext uri="{FF2B5EF4-FFF2-40B4-BE49-F238E27FC236}">
              <a16:creationId xmlns:a16="http://schemas.microsoft.com/office/drawing/2014/main" id="{467D7AA7-B1A8-693D-BBE3-1017B13B5512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5" name="Freeform 564">
          <a:extLst>
            <a:ext uri="{FF2B5EF4-FFF2-40B4-BE49-F238E27FC236}">
              <a16:creationId xmlns:a16="http://schemas.microsoft.com/office/drawing/2014/main" id="{1A9AD0F1-AEA5-4AD8-1342-C7A64C0DE187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89</xdr:row>
      <xdr:rowOff>180975</xdr:rowOff>
    </xdr:from>
    <xdr:to>
      <xdr:col>1</xdr:col>
      <xdr:colOff>281940</xdr:colOff>
      <xdr:row>89</xdr:row>
      <xdr:rowOff>186690</xdr:rowOff>
    </xdr:to>
    <xdr:sp macro="" textlink="">
      <xdr:nvSpPr>
        <xdr:cNvPr id="6" name="Freeform 254">
          <a:extLst>
            <a:ext uri="{FF2B5EF4-FFF2-40B4-BE49-F238E27FC236}">
              <a16:creationId xmlns:a16="http://schemas.microsoft.com/office/drawing/2014/main" id="{7331C1C1-A12B-27FF-2719-8B89C0A751B9}"/>
            </a:ext>
          </a:extLst>
        </xdr:cNvPr>
        <xdr:cNvSpPr/>
      </xdr:nvSpPr>
      <xdr:spPr>
        <a:xfrm>
          <a:off x="1535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7" name="Freeform 385">
          <a:extLst>
            <a:ext uri="{FF2B5EF4-FFF2-40B4-BE49-F238E27FC236}">
              <a16:creationId xmlns:a16="http://schemas.microsoft.com/office/drawing/2014/main" id="{565C1650-B08D-DF2D-D916-BFF306B8323B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8" name="Freeform 384">
          <a:extLst>
            <a:ext uri="{FF2B5EF4-FFF2-40B4-BE49-F238E27FC236}">
              <a16:creationId xmlns:a16="http://schemas.microsoft.com/office/drawing/2014/main" id="{0E83404C-6D5B-7D44-44C3-D5591BB7D3B5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273</xdr:row>
      <xdr:rowOff>180975</xdr:rowOff>
    </xdr:from>
    <xdr:to>
      <xdr:col>1</xdr:col>
      <xdr:colOff>281940</xdr:colOff>
      <xdr:row>273</xdr:row>
      <xdr:rowOff>186690</xdr:rowOff>
    </xdr:to>
    <xdr:sp macro="" textlink="">
      <xdr:nvSpPr>
        <xdr:cNvPr id="9" name="Freeform 566">
          <a:extLst>
            <a:ext uri="{FF2B5EF4-FFF2-40B4-BE49-F238E27FC236}">
              <a16:creationId xmlns:a16="http://schemas.microsoft.com/office/drawing/2014/main" id="{AA2452D5-E625-DFF0-36BA-CAA3C9877AA4}"/>
            </a:ext>
          </a:extLst>
        </xdr:cNvPr>
        <xdr:cNvSpPr/>
      </xdr:nvSpPr>
      <xdr:spPr>
        <a:xfrm>
          <a:off x="153543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10" name="Freeform 255">
          <a:extLst>
            <a:ext uri="{FF2B5EF4-FFF2-40B4-BE49-F238E27FC236}">
              <a16:creationId xmlns:a16="http://schemas.microsoft.com/office/drawing/2014/main" id="{815850D9-05E7-9B43-B41A-B443C20BA744}"/>
            </a:ext>
          </a:extLst>
        </xdr:cNvPr>
        <xdr:cNvSpPr/>
      </xdr:nvSpPr>
      <xdr:spPr>
        <a:xfrm>
          <a:off x="2424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185</xdr:row>
      <xdr:rowOff>180975</xdr:rowOff>
    </xdr:from>
    <xdr:to>
      <xdr:col>1</xdr:col>
      <xdr:colOff>281940</xdr:colOff>
      <xdr:row>185</xdr:row>
      <xdr:rowOff>186690</xdr:rowOff>
    </xdr:to>
    <xdr:sp macro="" textlink="">
      <xdr:nvSpPr>
        <xdr:cNvPr id="11" name="Freeform 386">
          <a:extLst>
            <a:ext uri="{FF2B5EF4-FFF2-40B4-BE49-F238E27FC236}">
              <a16:creationId xmlns:a16="http://schemas.microsoft.com/office/drawing/2014/main" id="{16E39672-ADFE-1586-BE1F-7E017CC4B8AB}"/>
            </a:ext>
          </a:extLst>
        </xdr:cNvPr>
        <xdr:cNvSpPr/>
      </xdr:nvSpPr>
      <xdr:spPr>
        <a:xfrm>
          <a:off x="1535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12" name="Freeform 567">
          <a:extLst>
            <a:ext uri="{FF2B5EF4-FFF2-40B4-BE49-F238E27FC236}">
              <a16:creationId xmlns:a16="http://schemas.microsoft.com/office/drawing/2014/main" id="{B2389C25-1B0A-4260-6FC7-946FDE679111}"/>
            </a:ext>
          </a:extLst>
        </xdr:cNvPr>
        <xdr:cNvSpPr/>
      </xdr:nvSpPr>
      <xdr:spPr>
        <a:xfrm>
          <a:off x="24250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3" name="Freeform 256">
          <a:extLst>
            <a:ext uri="{FF2B5EF4-FFF2-40B4-BE49-F238E27FC236}">
              <a16:creationId xmlns:a16="http://schemas.microsoft.com/office/drawing/2014/main" id="{E36B9740-5627-BF6C-EDD8-788901F326A0}"/>
            </a:ext>
          </a:extLst>
        </xdr:cNvPr>
        <xdr:cNvSpPr/>
      </xdr:nvSpPr>
      <xdr:spPr>
        <a:xfrm>
          <a:off x="331851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14" name="Freeform 387">
          <a:extLst>
            <a:ext uri="{FF2B5EF4-FFF2-40B4-BE49-F238E27FC236}">
              <a16:creationId xmlns:a16="http://schemas.microsoft.com/office/drawing/2014/main" id="{A38E5C88-B727-8FD2-BDE9-904EA0963F41}"/>
            </a:ext>
          </a:extLst>
        </xdr:cNvPr>
        <xdr:cNvSpPr/>
      </xdr:nvSpPr>
      <xdr:spPr>
        <a:xfrm>
          <a:off x="2424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5" name="Freeform 568">
          <a:extLst>
            <a:ext uri="{FF2B5EF4-FFF2-40B4-BE49-F238E27FC236}">
              <a16:creationId xmlns:a16="http://schemas.microsoft.com/office/drawing/2014/main" id="{17C777C5-2841-2E2C-2668-D986BC945FD9}"/>
            </a:ext>
          </a:extLst>
        </xdr:cNvPr>
        <xdr:cNvSpPr/>
      </xdr:nvSpPr>
      <xdr:spPr>
        <a:xfrm>
          <a:off x="33191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6" name="Freeform 257">
          <a:extLst>
            <a:ext uri="{FF2B5EF4-FFF2-40B4-BE49-F238E27FC236}">
              <a16:creationId xmlns:a16="http://schemas.microsoft.com/office/drawing/2014/main" id="{195CC28B-7813-F097-07E8-A2AA99F3CEB8}"/>
            </a:ext>
          </a:extLst>
        </xdr:cNvPr>
        <xdr:cNvSpPr/>
      </xdr:nvSpPr>
      <xdr:spPr>
        <a:xfrm>
          <a:off x="4211955" y="15659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17" name="Freeform 388">
          <a:extLst>
            <a:ext uri="{FF2B5EF4-FFF2-40B4-BE49-F238E27FC236}">
              <a16:creationId xmlns:a16="http://schemas.microsoft.com/office/drawing/2014/main" id="{344325C1-E63A-E88D-49A0-9E6680D8F191}"/>
            </a:ext>
          </a:extLst>
        </xdr:cNvPr>
        <xdr:cNvSpPr/>
      </xdr:nvSpPr>
      <xdr:spPr>
        <a:xfrm>
          <a:off x="331851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8" name="Freeform 569">
          <a:extLst>
            <a:ext uri="{FF2B5EF4-FFF2-40B4-BE49-F238E27FC236}">
              <a16:creationId xmlns:a16="http://schemas.microsoft.com/office/drawing/2014/main" id="{CC84EC7A-BD23-3EBD-96A5-8D45EE4D7EFB}"/>
            </a:ext>
          </a:extLst>
        </xdr:cNvPr>
        <xdr:cNvSpPr/>
      </xdr:nvSpPr>
      <xdr:spPr>
        <a:xfrm>
          <a:off x="4211955" y="169418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9" name="Freeform 258">
          <a:extLst>
            <a:ext uri="{FF2B5EF4-FFF2-40B4-BE49-F238E27FC236}">
              <a16:creationId xmlns:a16="http://schemas.microsoft.com/office/drawing/2014/main" id="{88201053-98D9-8737-8F9B-5445CB3257A1}"/>
            </a:ext>
          </a:extLst>
        </xdr:cNvPr>
        <xdr:cNvSpPr/>
      </xdr:nvSpPr>
      <xdr:spPr>
        <a:xfrm>
          <a:off x="5103495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0" name="Freeform 389">
          <a:extLst>
            <a:ext uri="{FF2B5EF4-FFF2-40B4-BE49-F238E27FC236}">
              <a16:creationId xmlns:a16="http://schemas.microsoft.com/office/drawing/2014/main" id="{BE59F9CE-9FF3-35ED-0380-D327E02B37DD}"/>
            </a:ext>
          </a:extLst>
        </xdr:cNvPr>
        <xdr:cNvSpPr/>
      </xdr:nvSpPr>
      <xdr:spPr>
        <a:xfrm>
          <a:off x="4211955" y="17405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1" name="Freeform 570">
          <a:extLst>
            <a:ext uri="{FF2B5EF4-FFF2-40B4-BE49-F238E27FC236}">
              <a16:creationId xmlns:a16="http://schemas.microsoft.com/office/drawing/2014/main" id="{E054C2AF-A466-8A28-F746-7632319AB6B1}"/>
            </a:ext>
          </a:extLst>
        </xdr:cNvPr>
        <xdr:cNvSpPr/>
      </xdr:nvSpPr>
      <xdr:spPr>
        <a:xfrm>
          <a:off x="510286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2" name="Freeform 259">
          <a:extLst>
            <a:ext uri="{FF2B5EF4-FFF2-40B4-BE49-F238E27FC236}">
              <a16:creationId xmlns:a16="http://schemas.microsoft.com/office/drawing/2014/main" id="{B85C515C-F182-82E6-E455-CD838D385059}"/>
            </a:ext>
          </a:extLst>
        </xdr:cNvPr>
        <xdr:cNvSpPr/>
      </xdr:nvSpPr>
      <xdr:spPr>
        <a:xfrm>
          <a:off x="599567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3" name="Freeform 390">
          <a:extLst>
            <a:ext uri="{FF2B5EF4-FFF2-40B4-BE49-F238E27FC236}">
              <a16:creationId xmlns:a16="http://schemas.microsoft.com/office/drawing/2014/main" id="{0E953D91-984E-11E0-2C6F-7724F55C6F8B}"/>
            </a:ext>
          </a:extLst>
        </xdr:cNvPr>
        <xdr:cNvSpPr/>
      </xdr:nvSpPr>
      <xdr:spPr>
        <a:xfrm>
          <a:off x="5103495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24" name="Freeform 571">
          <a:extLst>
            <a:ext uri="{FF2B5EF4-FFF2-40B4-BE49-F238E27FC236}">
              <a16:creationId xmlns:a16="http://schemas.microsoft.com/office/drawing/2014/main" id="{B35F49AB-07C3-4EF4-B7EB-803A71EC388E}"/>
            </a:ext>
          </a:extLst>
        </xdr:cNvPr>
        <xdr:cNvSpPr/>
      </xdr:nvSpPr>
      <xdr:spPr>
        <a:xfrm>
          <a:off x="59937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25" name="Freeform 261">
          <a:extLst>
            <a:ext uri="{FF2B5EF4-FFF2-40B4-BE49-F238E27FC236}">
              <a16:creationId xmlns:a16="http://schemas.microsoft.com/office/drawing/2014/main" id="{705B2AF1-899B-2F7B-ECBF-CF38B5518940}"/>
            </a:ext>
          </a:extLst>
        </xdr:cNvPr>
        <xdr:cNvSpPr/>
      </xdr:nvSpPr>
      <xdr:spPr>
        <a:xfrm>
          <a:off x="68897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309562</xdr:colOff>
      <xdr:row>103</xdr:row>
      <xdr:rowOff>61913</xdr:rowOff>
    </xdr:from>
    <xdr:to>
      <xdr:col>1</xdr:col>
      <xdr:colOff>315277</xdr:colOff>
      <xdr:row>103</xdr:row>
      <xdr:rowOff>67628</xdr:rowOff>
    </xdr:to>
    <xdr:sp macro="" textlink="">
      <xdr:nvSpPr>
        <xdr:cNvPr id="26" name="Freeform 260">
          <a:extLst>
            <a:ext uri="{FF2B5EF4-FFF2-40B4-BE49-F238E27FC236}">
              <a16:creationId xmlns:a16="http://schemas.microsoft.com/office/drawing/2014/main" id="{04ED21E2-6929-62DF-23D9-0E162E3D761F}"/>
            </a:ext>
          </a:extLst>
        </xdr:cNvPr>
        <xdr:cNvSpPr/>
      </xdr:nvSpPr>
      <xdr:spPr>
        <a:xfrm>
          <a:off x="928687" y="19683413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27" name="Freeform 391">
          <a:extLst>
            <a:ext uri="{FF2B5EF4-FFF2-40B4-BE49-F238E27FC236}">
              <a16:creationId xmlns:a16="http://schemas.microsoft.com/office/drawing/2014/main" id="{E258BD52-6C83-1A26-F3EE-4E2FC26842C9}"/>
            </a:ext>
          </a:extLst>
        </xdr:cNvPr>
        <xdr:cNvSpPr/>
      </xdr:nvSpPr>
      <xdr:spPr>
        <a:xfrm>
          <a:off x="599567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8" name="Freeform 573">
          <a:extLst>
            <a:ext uri="{FF2B5EF4-FFF2-40B4-BE49-F238E27FC236}">
              <a16:creationId xmlns:a16="http://schemas.microsoft.com/office/drawing/2014/main" id="{C6B05AA5-7B67-BD11-3741-C8D7515BB0FB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9" name="Freeform 572">
          <a:extLst>
            <a:ext uri="{FF2B5EF4-FFF2-40B4-BE49-F238E27FC236}">
              <a16:creationId xmlns:a16="http://schemas.microsoft.com/office/drawing/2014/main" id="{D425B229-1710-3873-49D4-3C224105488A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0" name="Freeform 393">
          <a:extLst>
            <a:ext uri="{FF2B5EF4-FFF2-40B4-BE49-F238E27FC236}">
              <a16:creationId xmlns:a16="http://schemas.microsoft.com/office/drawing/2014/main" id="{C610E4DE-0FF4-E3D6-3F13-819221E59D33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1" name="Freeform 392">
          <a:extLst>
            <a:ext uri="{FF2B5EF4-FFF2-40B4-BE49-F238E27FC236}">
              <a16:creationId xmlns:a16="http://schemas.microsoft.com/office/drawing/2014/main" id="{603C9D6F-CA93-F0EC-D0D5-6B2B0EAC22B5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2" name="Freeform 574">
          <a:extLst>
            <a:ext uri="{FF2B5EF4-FFF2-40B4-BE49-F238E27FC236}">
              <a16:creationId xmlns:a16="http://schemas.microsoft.com/office/drawing/2014/main" id="{3960BBFF-A6A2-6578-371F-D7991E5B0B52}"/>
            </a:ext>
          </a:extLst>
        </xdr:cNvPr>
        <xdr:cNvSpPr/>
      </xdr:nvSpPr>
      <xdr:spPr>
        <a:xfrm>
          <a:off x="641350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275</xdr:row>
      <xdr:rowOff>0</xdr:rowOff>
    </xdr:from>
    <xdr:to>
      <xdr:col>1</xdr:col>
      <xdr:colOff>281940</xdr:colOff>
      <xdr:row>275</xdr:row>
      <xdr:rowOff>5715</xdr:rowOff>
    </xdr:to>
    <xdr:sp macro="" textlink="">
      <xdr:nvSpPr>
        <xdr:cNvPr id="33" name="Freeform 575">
          <a:extLst>
            <a:ext uri="{FF2B5EF4-FFF2-40B4-BE49-F238E27FC236}">
              <a16:creationId xmlns:a16="http://schemas.microsoft.com/office/drawing/2014/main" id="{345D6F17-8B7E-2452-C5A5-96C902E1C496}"/>
            </a:ext>
          </a:extLst>
        </xdr:cNvPr>
        <xdr:cNvSpPr/>
      </xdr:nvSpPr>
      <xdr:spPr>
        <a:xfrm>
          <a:off x="153543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4" name="Freeform 580">
          <a:extLst>
            <a:ext uri="{FF2B5EF4-FFF2-40B4-BE49-F238E27FC236}">
              <a16:creationId xmlns:a16="http://schemas.microsoft.com/office/drawing/2014/main" id="{165794A7-C541-A9B9-C171-72C08AFAF793}"/>
            </a:ext>
          </a:extLst>
        </xdr:cNvPr>
        <xdr:cNvSpPr/>
      </xdr:nvSpPr>
      <xdr:spPr>
        <a:xfrm>
          <a:off x="2425065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5" name="Freeform 581">
          <a:extLst>
            <a:ext uri="{FF2B5EF4-FFF2-40B4-BE49-F238E27FC236}">
              <a16:creationId xmlns:a16="http://schemas.microsoft.com/office/drawing/2014/main" id="{B7A80C9E-6F5B-E9EB-EAE2-5EBE450CA3C3}"/>
            </a:ext>
          </a:extLst>
        </xdr:cNvPr>
        <xdr:cNvSpPr/>
      </xdr:nvSpPr>
      <xdr:spPr>
        <a:xfrm>
          <a:off x="3319145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6" name="Freeform 586">
          <a:extLst>
            <a:ext uri="{FF2B5EF4-FFF2-40B4-BE49-F238E27FC236}">
              <a16:creationId xmlns:a16="http://schemas.microsoft.com/office/drawing/2014/main" id="{8DD16AC2-674A-240A-94C1-EBFEE807F4D9}"/>
            </a:ext>
          </a:extLst>
        </xdr:cNvPr>
        <xdr:cNvSpPr/>
      </xdr:nvSpPr>
      <xdr:spPr>
        <a:xfrm>
          <a:off x="4211955" y="18472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7" name="Freeform 587">
          <a:extLst>
            <a:ext uri="{FF2B5EF4-FFF2-40B4-BE49-F238E27FC236}">
              <a16:creationId xmlns:a16="http://schemas.microsoft.com/office/drawing/2014/main" id="{8463A5E3-B8F6-72C3-3740-5A4B132E8CC0}"/>
            </a:ext>
          </a:extLst>
        </xdr:cNvPr>
        <xdr:cNvSpPr/>
      </xdr:nvSpPr>
      <xdr:spPr>
        <a:xfrm>
          <a:off x="510286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9525</xdr:rowOff>
    </xdr:from>
    <xdr:to>
      <xdr:col>0</xdr:col>
      <xdr:colOff>5715</xdr:colOff>
      <xdr:row>275</xdr:row>
      <xdr:rowOff>15240</xdr:rowOff>
    </xdr:to>
    <xdr:sp macro="" textlink="">
      <xdr:nvSpPr>
        <xdr:cNvPr id="38" name="Freeform 590">
          <a:extLst>
            <a:ext uri="{FF2B5EF4-FFF2-40B4-BE49-F238E27FC236}">
              <a16:creationId xmlns:a16="http://schemas.microsoft.com/office/drawing/2014/main" id="{8FB33F51-F528-52EE-1852-73BFD8B18E7A}"/>
            </a:ext>
          </a:extLst>
        </xdr:cNvPr>
        <xdr:cNvSpPr/>
      </xdr:nvSpPr>
      <xdr:spPr>
        <a:xfrm>
          <a:off x="5993765" y="18522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9525</xdr:rowOff>
    </xdr:from>
    <xdr:to>
      <xdr:col>1</xdr:col>
      <xdr:colOff>291465</xdr:colOff>
      <xdr:row>275</xdr:row>
      <xdr:rowOff>15240</xdr:rowOff>
    </xdr:to>
    <xdr:sp macro="" textlink="">
      <xdr:nvSpPr>
        <xdr:cNvPr id="39" name="Freeform 591">
          <a:extLst>
            <a:ext uri="{FF2B5EF4-FFF2-40B4-BE49-F238E27FC236}">
              <a16:creationId xmlns:a16="http://schemas.microsoft.com/office/drawing/2014/main" id="{FB53AB88-211F-80B9-3856-D0BF31B979E0}"/>
            </a:ext>
          </a:extLst>
        </xdr:cNvPr>
        <xdr:cNvSpPr/>
      </xdr:nvSpPr>
      <xdr:spPr>
        <a:xfrm>
          <a:off x="6887845" y="18522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0" name="Freeform 130">
          <a:extLst>
            <a:ext uri="{FF2B5EF4-FFF2-40B4-BE49-F238E27FC236}">
              <a16:creationId xmlns:a16="http://schemas.microsoft.com/office/drawing/2014/main" id="{931DB717-E306-370D-FB22-8671550799FA}"/>
            </a:ext>
          </a:extLst>
        </xdr:cNvPr>
        <xdr:cNvSpPr/>
      </xdr:nvSpPr>
      <xdr:spPr>
        <a:xfrm>
          <a:off x="64135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5</xdr:row>
      <xdr:rowOff>0</xdr:rowOff>
    </xdr:from>
    <xdr:to>
      <xdr:col>1</xdr:col>
      <xdr:colOff>281940</xdr:colOff>
      <xdr:row>5</xdr:row>
      <xdr:rowOff>5715</xdr:rowOff>
    </xdr:to>
    <xdr:sp macro="" textlink="">
      <xdr:nvSpPr>
        <xdr:cNvPr id="41" name="Freeform 131">
          <a:extLst>
            <a:ext uri="{FF2B5EF4-FFF2-40B4-BE49-F238E27FC236}">
              <a16:creationId xmlns:a16="http://schemas.microsoft.com/office/drawing/2014/main" id="{7BD58940-AC65-CAA9-8C7F-BA9F2142646E}"/>
            </a:ext>
          </a:extLst>
        </xdr:cNvPr>
        <xdr:cNvSpPr/>
      </xdr:nvSpPr>
      <xdr:spPr>
        <a:xfrm>
          <a:off x="1535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2" name="Freeform 132">
          <a:extLst>
            <a:ext uri="{FF2B5EF4-FFF2-40B4-BE49-F238E27FC236}">
              <a16:creationId xmlns:a16="http://schemas.microsoft.com/office/drawing/2014/main" id="{1E951E85-8306-5FBB-D860-4C9B4F14E03B}"/>
            </a:ext>
          </a:extLst>
        </xdr:cNvPr>
        <xdr:cNvSpPr/>
      </xdr:nvSpPr>
      <xdr:spPr>
        <a:xfrm>
          <a:off x="2424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3" name="Freeform 133">
          <a:extLst>
            <a:ext uri="{FF2B5EF4-FFF2-40B4-BE49-F238E27FC236}">
              <a16:creationId xmlns:a16="http://schemas.microsoft.com/office/drawing/2014/main" id="{5FA132CC-431A-D881-EFCE-5D7104921FF3}"/>
            </a:ext>
          </a:extLst>
        </xdr:cNvPr>
        <xdr:cNvSpPr/>
      </xdr:nvSpPr>
      <xdr:spPr>
        <a:xfrm>
          <a:off x="331851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44" name="Freeform 262">
          <a:extLst>
            <a:ext uri="{FF2B5EF4-FFF2-40B4-BE49-F238E27FC236}">
              <a16:creationId xmlns:a16="http://schemas.microsoft.com/office/drawing/2014/main" id="{BD4CA801-8B96-686B-0F70-7FC0C5F651FC}"/>
            </a:ext>
          </a:extLst>
        </xdr:cNvPr>
        <xdr:cNvSpPr/>
      </xdr:nvSpPr>
      <xdr:spPr>
        <a:xfrm>
          <a:off x="64135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45" name="Freeform 394">
          <a:extLst>
            <a:ext uri="{FF2B5EF4-FFF2-40B4-BE49-F238E27FC236}">
              <a16:creationId xmlns:a16="http://schemas.microsoft.com/office/drawing/2014/main" id="{1F2B5DAF-3C8F-25CF-73EF-4F5167DEA1B0}"/>
            </a:ext>
          </a:extLst>
        </xdr:cNvPr>
        <xdr:cNvSpPr/>
      </xdr:nvSpPr>
      <xdr:spPr>
        <a:xfrm>
          <a:off x="6413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6" name="Freeform 134">
          <a:extLst>
            <a:ext uri="{FF2B5EF4-FFF2-40B4-BE49-F238E27FC236}">
              <a16:creationId xmlns:a16="http://schemas.microsoft.com/office/drawing/2014/main" id="{098A6A23-B3E3-85CF-DC8E-86441B6F9C3D}"/>
            </a:ext>
          </a:extLst>
        </xdr:cNvPr>
        <xdr:cNvSpPr/>
      </xdr:nvSpPr>
      <xdr:spPr>
        <a:xfrm>
          <a:off x="4211320" y="15138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47" name="Freeform 576">
          <a:extLst>
            <a:ext uri="{FF2B5EF4-FFF2-40B4-BE49-F238E27FC236}">
              <a16:creationId xmlns:a16="http://schemas.microsoft.com/office/drawing/2014/main" id="{3D776963-680B-7571-AF10-FCFF1C467FAD}"/>
            </a:ext>
          </a:extLst>
        </xdr:cNvPr>
        <xdr:cNvSpPr/>
      </xdr:nvSpPr>
      <xdr:spPr>
        <a:xfrm>
          <a:off x="641350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91</xdr:row>
      <xdr:rowOff>0</xdr:rowOff>
    </xdr:from>
    <xdr:to>
      <xdr:col>1</xdr:col>
      <xdr:colOff>281940</xdr:colOff>
      <xdr:row>91</xdr:row>
      <xdr:rowOff>5715</xdr:rowOff>
    </xdr:to>
    <xdr:sp macro="" textlink="">
      <xdr:nvSpPr>
        <xdr:cNvPr id="48" name="Freeform 263">
          <a:extLst>
            <a:ext uri="{FF2B5EF4-FFF2-40B4-BE49-F238E27FC236}">
              <a16:creationId xmlns:a16="http://schemas.microsoft.com/office/drawing/2014/main" id="{4A6FF704-9402-02C4-3CB7-7AD4B1628F29}"/>
            </a:ext>
          </a:extLst>
        </xdr:cNvPr>
        <xdr:cNvSpPr/>
      </xdr:nvSpPr>
      <xdr:spPr>
        <a:xfrm>
          <a:off x="1535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187</xdr:row>
      <xdr:rowOff>0</xdr:rowOff>
    </xdr:from>
    <xdr:to>
      <xdr:col>1</xdr:col>
      <xdr:colOff>281940</xdr:colOff>
      <xdr:row>187</xdr:row>
      <xdr:rowOff>5715</xdr:rowOff>
    </xdr:to>
    <xdr:sp macro="" textlink="">
      <xdr:nvSpPr>
        <xdr:cNvPr id="49" name="Freeform 395">
          <a:extLst>
            <a:ext uri="{FF2B5EF4-FFF2-40B4-BE49-F238E27FC236}">
              <a16:creationId xmlns:a16="http://schemas.microsoft.com/office/drawing/2014/main" id="{B3CA853D-C423-D087-BFF5-09F3C39B668A}"/>
            </a:ext>
          </a:extLst>
        </xdr:cNvPr>
        <xdr:cNvSpPr/>
      </xdr:nvSpPr>
      <xdr:spPr>
        <a:xfrm>
          <a:off x="1535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276</xdr:row>
      <xdr:rowOff>0</xdr:rowOff>
    </xdr:from>
    <xdr:to>
      <xdr:col>1</xdr:col>
      <xdr:colOff>281940</xdr:colOff>
      <xdr:row>276</xdr:row>
      <xdr:rowOff>5715</xdr:rowOff>
    </xdr:to>
    <xdr:sp macro="" textlink="">
      <xdr:nvSpPr>
        <xdr:cNvPr id="50" name="Freeform 577">
          <a:extLst>
            <a:ext uri="{FF2B5EF4-FFF2-40B4-BE49-F238E27FC236}">
              <a16:creationId xmlns:a16="http://schemas.microsoft.com/office/drawing/2014/main" id="{BDFFAB56-91E6-B9C3-046F-9034233C4747}"/>
            </a:ext>
          </a:extLst>
        </xdr:cNvPr>
        <xdr:cNvSpPr/>
      </xdr:nvSpPr>
      <xdr:spPr>
        <a:xfrm>
          <a:off x="1535430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51" name="Freeform 137">
          <a:extLst>
            <a:ext uri="{FF2B5EF4-FFF2-40B4-BE49-F238E27FC236}">
              <a16:creationId xmlns:a16="http://schemas.microsoft.com/office/drawing/2014/main" id="{2477B147-DDE8-B0CB-6336-1BF43135E797}"/>
            </a:ext>
          </a:extLst>
        </xdr:cNvPr>
        <xdr:cNvSpPr/>
      </xdr:nvSpPr>
      <xdr:spPr>
        <a:xfrm>
          <a:off x="510286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52" name="Freeform 582">
          <a:extLst>
            <a:ext uri="{FF2B5EF4-FFF2-40B4-BE49-F238E27FC236}">
              <a16:creationId xmlns:a16="http://schemas.microsoft.com/office/drawing/2014/main" id="{F8BE6630-8BAC-F8F7-EB8C-D9CD1FDA6C0D}"/>
            </a:ext>
          </a:extLst>
        </xdr:cNvPr>
        <xdr:cNvSpPr/>
      </xdr:nvSpPr>
      <xdr:spPr>
        <a:xfrm>
          <a:off x="2425065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53" name="Freeform 264">
          <a:extLst>
            <a:ext uri="{FF2B5EF4-FFF2-40B4-BE49-F238E27FC236}">
              <a16:creationId xmlns:a16="http://schemas.microsoft.com/office/drawing/2014/main" id="{76153FED-84A0-4023-6F11-F82F83E23538}"/>
            </a:ext>
          </a:extLst>
        </xdr:cNvPr>
        <xdr:cNvSpPr/>
      </xdr:nvSpPr>
      <xdr:spPr>
        <a:xfrm>
          <a:off x="2424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54" name="Freeform 398">
          <a:extLst>
            <a:ext uri="{FF2B5EF4-FFF2-40B4-BE49-F238E27FC236}">
              <a16:creationId xmlns:a16="http://schemas.microsoft.com/office/drawing/2014/main" id="{4D009037-2564-9F01-EBCA-D4BBEB43187B}"/>
            </a:ext>
          </a:extLst>
        </xdr:cNvPr>
        <xdr:cNvSpPr/>
      </xdr:nvSpPr>
      <xdr:spPr>
        <a:xfrm>
          <a:off x="2424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5" name="Freeform 583">
          <a:extLst>
            <a:ext uri="{FF2B5EF4-FFF2-40B4-BE49-F238E27FC236}">
              <a16:creationId xmlns:a16="http://schemas.microsoft.com/office/drawing/2014/main" id="{841FC7D1-C794-17C7-B848-BB47B943F14C}"/>
            </a:ext>
          </a:extLst>
        </xdr:cNvPr>
        <xdr:cNvSpPr/>
      </xdr:nvSpPr>
      <xdr:spPr>
        <a:xfrm>
          <a:off x="3319145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56" name="Freeform 138">
          <a:extLst>
            <a:ext uri="{FF2B5EF4-FFF2-40B4-BE49-F238E27FC236}">
              <a16:creationId xmlns:a16="http://schemas.microsoft.com/office/drawing/2014/main" id="{003B543B-5F74-1ED6-85BF-8D5888848D30}"/>
            </a:ext>
          </a:extLst>
        </xdr:cNvPr>
        <xdr:cNvSpPr/>
      </xdr:nvSpPr>
      <xdr:spPr>
        <a:xfrm>
          <a:off x="5995035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57" name="Freeform 265">
          <a:extLst>
            <a:ext uri="{FF2B5EF4-FFF2-40B4-BE49-F238E27FC236}">
              <a16:creationId xmlns:a16="http://schemas.microsoft.com/office/drawing/2014/main" id="{987D7E50-2134-F5C8-FD43-E8E150C83802}"/>
            </a:ext>
          </a:extLst>
        </xdr:cNvPr>
        <xdr:cNvSpPr/>
      </xdr:nvSpPr>
      <xdr:spPr>
        <a:xfrm>
          <a:off x="331851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58" name="Freeform 399">
          <a:extLst>
            <a:ext uri="{FF2B5EF4-FFF2-40B4-BE49-F238E27FC236}">
              <a16:creationId xmlns:a16="http://schemas.microsoft.com/office/drawing/2014/main" id="{77F51408-06D8-FC35-3CD9-1643CE88909F}"/>
            </a:ext>
          </a:extLst>
        </xdr:cNvPr>
        <xdr:cNvSpPr/>
      </xdr:nvSpPr>
      <xdr:spPr>
        <a:xfrm>
          <a:off x="331851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9" name="Freeform 596">
          <a:extLst>
            <a:ext uri="{FF2B5EF4-FFF2-40B4-BE49-F238E27FC236}">
              <a16:creationId xmlns:a16="http://schemas.microsoft.com/office/drawing/2014/main" id="{0EEB8BEB-1464-5D6F-D400-4E11045A47F3}"/>
            </a:ext>
          </a:extLst>
        </xdr:cNvPr>
        <xdr:cNvSpPr/>
      </xdr:nvSpPr>
      <xdr:spPr>
        <a:xfrm>
          <a:off x="4211955" y="2031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60" name="Freeform 139">
          <a:extLst>
            <a:ext uri="{FF2B5EF4-FFF2-40B4-BE49-F238E27FC236}">
              <a16:creationId xmlns:a16="http://schemas.microsoft.com/office/drawing/2014/main" id="{D2F73027-A5AE-D839-AD71-2025DE936B21}"/>
            </a:ext>
          </a:extLst>
        </xdr:cNvPr>
        <xdr:cNvSpPr/>
      </xdr:nvSpPr>
      <xdr:spPr>
        <a:xfrm>
          <a:off x="688975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61" name="Freeform 266">
          <a:extLst>
            <a:ext uri="{FF2B5EF4-FFF2-40B4-BE49-F238E27FC236}">
              <a16:creationId xmlns:a16="http://schemas.microsoft.com/office/drawing/2014/main" id="{08E03A42-F865-EAC0-76A5-7BE027ECB72B}"/>
            </a:ext>
          </a:extLst>
        </xdr:cNvPr>
        <xdr:cNvSpPr/>
      </xdr:nvSpPr>
      <xdr:spPr>
        <a:xfrm>
          <a:off x="4211955" y="172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62" name="Freeform 400">
          <a:extLst>
            <a:ext uri="{FF2B5EF4-FFF2-40B4-BE49-F238E27FC236}">
              <a16:creationId xmlns:a16="http://schemas.microsoft.com/office/drawing/2014/main" id="{01D44610-81AB-4D6F-1F80-9789734A80BA}"/>
            </a:ext>
          </a:extLst>
        </xdr:cNvPr>
        <xdr:cNvSpPr/>
      </xdr:nvSpPr>
      <xdr:spPr>
        <a:xfrm>
          <a:off x="4211955" y="1894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63" name="Freeform 588">
          <a:extLst>
            <a:ext uri="{FF2B5EF4-FFF2-40B4-BE49-F238E27FC236}">
              <a16:creationId xmlns:a16="http://schemas.microsoft.com/office/drawing/2014/main" id="{CA30F8E3-DEAA-DB68-15FA-BB145CA3BA6D}"/>
            </a:ext>
          </a:extLst>
        </xdr:cNvPr>
        <xdr:cNvSpPr/>
      </xdr:nvSpPr>
      <xdr:spPr>
        <a:xfrm>
          <a:off x="5100955" y="20326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9525</xdr:rowOff>
    </xdr:from>
    <xdr:to>
      <xdr:col>0</xdr:col>
      <xdr:colOff>5715</xdr:colOff>
      <xdr:row>276</xdr:row>
      <xdr:rowOff>15240</xdr:rowOff>
    </xdr:to>
    <xdr:sp macro="" textlink="">
      <xdr:nvSpPr>
        <xdr:cNvPr id="27648" name="Freeform 592">
          <a:extLst>
            <a:ext uri="{FF2B5EF4-FFF2-40B4-BE49-F238E27FC236}">
              <a16:creationId xmlns:a16="http://schemas.microsoft.com/office/drawing/2014/main" id="{5D7DB22F-C952-2E21-47CD-7D8C18FDC3FA}"/>
            </a:ext>
          </a:extLst>
        </xdr:cNvPr>
        <xdr:cNvSpPr/>
      </xdr:nvSpPr>
      <xdr:spPr>
        <a:xfrm>
          <a:off x="5993765" y="20427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27649" name="Freeform 267">
          <a:extLst>
            <a:ext uri="{FF2B5EF4-FFF2-40B4-BE49-F238E27FC236}">
              <a16:creationId xmlns:a16="http://schemas.microsoft.com/office/drawing/2014/main" id="{6FF63D5B-D774-2F02-A68C-8BC3112D0F07}"/>
            </a:ext>
          </a:extLst>
        </xdr:cNvPr>
        <xdr:cNvSpPr/>
      </xdr:nvSpPr>
      <xdr:spPr>
        <a:xfrm>
          <a:off x="5103495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9525</xdr:rowOff>
    </xdr:from>
    <xdr:to>
      <xdr:col>1</xdr:col>
      <xdr:colOff>291465</xdr:colOff>
      <xdr:row>187</xdr:row>
      <xdr:rowOff>15240</xdr:rowOff>
    </xdr:to>
    <xdr:sp macro="" textlink="">
      <xdr:nvSpPr>
        <xdr:cNvPr id="27650" name="Freeform 401">
          <a:extLst>
            <a:ext uri="{FF2B5EF4-FFF2-40B4-BE49-F238E27FC236}">
              <a16:creationId xmlns:a16="http://schemas.microsoft.com/office/drawing/2014/main" id="{8858255A-5CCE-6834-D42C-84B62ECA6E8C}"/>
            </a:ext>
          </a:extLst>
        </xdr:cNvPr>
        <xdr:cNvSpPr/>
      </xdr:nvSpPr>
      <xdr:spPr>
        <a:xfrm>
          <a:off x="5103495" y="1900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9525</xdr:rowOff>
    </xdr:from>
    <xdr:to>
      <xdr:col>1</xdr:col>
      <xdr:colOff>291465</xdr:colOff>
      <xdr:row>276</xdr:row>
      <xdr:rowOff>15240</xdr:rowOff>
    </xdr:to>
    <xdr:sp macro="" textlink="">
      <xdr:nvSpPr>
        <xdr:cNvPr id="27651" name="Freeform 593">
          <a:extLst>
            <a:ext uri="{FF2B5EF4-FFF2-40B4-BE49-F238E27FC236}">
              <a16:creationId xmlns:a16="http://schemas.microsoft.com/office/drawing/2014/main" id="{F0211587-F8D0-E6E7-CBAD-B05A54E1653F}"/>
            </a:ext>
          </a:extLst>
        </xdr:cNvPr>
        <xdr:cNvSpPr/>
      </xdr:nvSpPr>
      <xdr:spPr>
        <a:xfrm>
          <a:off x="6887845" y="20427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9525</xdr:rowOff>
    </xdr:from>
    <xdr:to>
      <xdr:col>0</xdr:col>
      <xdr:colOff>5715</xdr:colOff>
      <xdr:row>91</xdr:row>
      <xdr:rowOff>15240</xdr:rowOff>
    </xdr:to>
    <xdr:sp macro="" textlink="">
      <xdr:nvSpPr>
        <xdr:cNvPr id="27652" name="Freeform 271">
          <a:extLst>
            <a:ext uri="{FF2B5EF4-FFF2-40B4-BE49-F238E27FC236}">
              <a16:creationId xmlns:a16="http://schemas.microsoft.com/office/drawing/2014/main" id="{8C690C4C-ABC2-01B0-3F03-632B8EDF8872}"/>
            </a:ext>
          </a:extLst>
        </xdr:cNvPr>
        <xdr:cNvSpPr/>
      </xdr:nvSpPr>
      <xdr:spPr>
        <a:xfrm>
          <a:off x="5995670" y="1726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27654" name="Freeform 403">
          <a:extLst>
            <a:ext uri="{FF2B5EF4-FFF2-40B4-BE49-F238E27FC236}">
              <a16:creationId xmlns:a16="http://schemas.microsoft.com/office/drawing/2014/main" id="{A2794F5A-94ED-D3DA-BBDD-63DCE6E5CAC5}"/>
            </a:ext>
          </a:extLst>
        </xdr:cNvPr>
        <xdr:cNvSpPr/>
      </xdr:nvSpPr>
      <xdr:spPr>
        <a:xfrm>
          <a:off x="599567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9525</xdr:rowOff>
    </xdr:from>
    <xdr:to>
      <xdr:col>1</xdr:col>
      <xdr:colOff>291465</xdr:colOff>
      <xdr:row>91</xdr:row>
      <xdr:rowOff>15240</xdr:rowOff>
    </xdr:to>
    <xdr:sp macro="" textlink="">
      <xdr:nvSpPr>
        <xdr:cNvPr id="27655" name="Freeform 272">
          <a:extLst>
            <a:ext uri="{FF2B5EF4-FFF2-40B4-BE49-F238E27FC236}">
              <a16:creationId xmlns:a16="http://schemas.microsoft.com/office/drawing/2014/main" id="{96AA3FB1-1A5D-8B54-0F2C-014C15A10CFD}"/>
            </a:ext>
          </a:extLst>
        </xdr:cNvPr>
        <xdr:cNvSpPr/>
      </xdr:nvSpPr>
      <xdr:spPr>
        <a:xfrm>
          <a:off x="6889750" y="1726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27656" name="Freeform 404">
          <a:extLst>
            <a:ext uri="{FF2B5EF4-FFF2-40B4-BE49-F238E27FC236}">
              <a16:creationId xmlns:a16="http://schemas.microsoft.com/office/drawing/2014/main" id="{E8B6A416-9834-2B90-62B7-510B62EFACFA}"/>
            </a:ext>
          </a:extLst>
        </xdr:cNvPr>
        <xdr:cNvSpPr/>
      </xdr:nvSpPr>
      <xdr:spPr>
        <a:xfrm>
          <a:off x="68897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7" name="Freeform 578">
          <a:extLst>
            <a:ext uri="{FF2B5EF4-FFF2-40B4-BE49-F238E27FC236}">
              <a16:creationId xmlns:a16="http://schemas.microsoft.com/office/drawing/2014/main" id="{D12E5DD8-E8C5-EE1C-8EEB-9C4542B36293}"/>
            </a:ext>
          </a:extLst>
        </xdr:cNvPr>
        <xdr:cNvSpPr/>
      </xdr:nvSpPr>
      <xdr:spPr>
        <a:xfrm>
          <a:off x="641350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277</xdr:row>
      <xdr:rowOff>0</xdr:rowOff>
    </xdr:from>
    <xdr:to>
      <xdr:col>1</xdr:col>
      <xdr:colOff>281940</xdr:colOff>
      <xdr:row>277</xdr:row>
      <xdr:rowOff>5715</xdr:rowOff>
    </xdr:to>
    <xdr:sp macro="" textlink="">
      <xdr:nvSpPr>
        <xdr:cNvPr id="27658" name="Freeform 579">
          <a:extLst>
            <a:ext uri="{FF2B5EF4-FFF2-40B4-BE49-F238E27FC236}">
              <a16:creationId xmlns:a16="http://schemas.microsoft.com/office/drawing/2014/main" id="{641F271F-6DEF-98CD-65F6-5C45ECF9E1B1}"/>
            </a:ext>
          </a:extLst>
        </xdr:cNvPr>
        <xdr:cNvSpPr/>
      </xdr:nvSpPr>
      <xdr:spPr>
        <a:xfrm>
          <a:off x="1535430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9" name="Freeform 584">
          <a:extLst>
            <a:ext uri="{FF2B5EF4-FFF2-40B4-BE49-F238E27FC236}">
              <a16:creationId xmlns:a16="http://schemas.microsoft.com/office/drawing/2014/main" id="{BB2D65E2-50CE-9304-3D80-0A3D568954B8}"/>
            </a:ext>
          </a:extLst>
        </xdr:cNvPr>
        <xdr:cNvSpPr/>
      </xdr:nvSpPr>
      <xdr:spPr>
        <a:xfrm>
          <a:off x="2425065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0" name="Freeform 585">
          <a:extLst>
            <a:ext uri="{FF2B5EF4-FFF2-40B4-BE49-F238E27FC236}">
              <a16:creationId xmlns:a16="http://schemas.microsoft.com/office/drawing/2014/main" id="{6068DFC3-C972-32B7-9CD0-6E51C6661890}"/>
            </a:ext>
          </a:extLst>
        </xdr:cNvPr>
        <xdr:cNvSpPr/>
      </xdr:nvSpPr>
      <xdr:spPr>
        <a:xfrm>
          <a:off x="3319145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1" name="Freeform 597">
          <a:extLst>
            <a:ext uri="{FF2B5EF4-FFF2-40B4-BE49-F238E27FC236}">
              <a16:creationId xmlns:a16="http://schemas.microsoft.com/office/drawing/2014/main" id="{2FEA5D37-D0F5-EB95-8BEC-7AF44E1C85A5}"/>
            </a:ext>
          </a:extLst>
        </xdr:cNvPr>
        <xdr:cNvSpPr/>
      </xdr:nvSpPr>
      <xdr:spPr>
        <a:xfrm>
          <a:off x="4211955" y="221996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2" name="Freeform 589">
          <a:extLst>
            <a:ext uri="{FF2B5EF4-FFF2-40B4-BE49-F238E27FC236}">
              <a16:creationId xmlns:a16="http://schemas.microsoft.com/office/drawing/2014/main" id="{95F699A5-98E8-6F03-A49D-20D641A8D38B}"/>
            </a:ext>
          </a:extLst>
        </xdr:cNvPr>
        <xdr:cNvSpPr/>
      </xdr:nvSpPr>
      <xdr:spPr>
        <a:xfrm>
          <a:off x="5100955" y="22212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3" name="Freeform 594">
          <a:extLst>
            <a:ext uri="{FF2B5EF4-FFF2-40B4-BE49-F238E27FC236}">
              <a16:creationId xmlns:a16="http://schemas.microsoft.com/office/drawing/2014/main" id="{C82B9DD2-3E6E-7A9C-FA6C-EB8FB51F3721}"/>
            </a:ext>
          </a:extLst>
        </xdr:cNvPr>
        <xdr:cNvSpPr/>
      </xdr:nvSpPr>
      <xdr:spPr>
        <a:xfrm>
          <a:off x="5993765" y="22320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4" name="Freeform 595">
          <a:extLst>
            <a:ext uri="{FF2B5EF4-FFF2-40B4-BE49-F238E27FC236}">
              <a16:creationId xmlns:a16="http://schemas.microsoft.com/office/drawing/2014/main" id="{7239A5DC-E935-09C2-9227-F5CD11E7FEAE}"/>
            </a:ext>
          </a:extLst>
        </xdr:cNvPr>
        <xdr:cNvSpPr/>
      </xdr:nvSpPr>
      <xdr:spPr>
        <a:xfrm>
          <a:off x="6887845" y="22320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65" name="Freeform 396">
          <a:extLst>
            <a:ext uri="{FF2B5EF4-FFF2-40B4-BE49-F238E27FC236}">
              <a16:creationId xmlns:a16="http://schemas.microsoft.com/office/drawing/2014/main" id="{21EC2218-4806-428D-F241-0B99584B967E}"/>
            </a:ext>
          </a:extLst>
        </xdr:cNvPr>
        <xdr:cNvSpPr/>
      </xdr:nvSpPr>
      <xdr:spPr>
        <a:xfrm>
          <a:off x="641350" y="24491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189</xdr:row>
      <xdr:rowOff>171450</xdr:rowOff>
    </xdr:from>
    <xdr:to>
      <xdr:col>1</xdr:col>
      <xdr:colOff>281940</xdr:colOff>
      <xdr:row>189</xdr:row>
      <xdr:rowOff>177165</xdr:rowOff>
    </xdr:to>
    <xdr:sp macro="" textlink="">
      <xdr:nvSpPr>
        <xdr:cNvPr id="27666" name="Freeform 397">
          <a:extLst>
            <a:ext uri="{FF2B5EF4-FFF2-40B4-BE49-F238E27FC236}">
              <a16:creationId xmlns:a16="http://schemas.microsoft.com/office/drawing/2014/main" id="{9367C122-0DDC-A69F-BEE8-F2237EC0D748}"/>
            </a:ext>
          </a:extLst>
        </xdr:cNvPr>
        <xdr:cNvSpPr/>
      </xdr:nvSpPr>
      <xdr:spPr>
        <a:xfrm>
          <a:off x="1535430" y="2449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0</xdr:rowOff>
    </xdr:from>
    <xdr:to>
      <xdr:col>0</xdr:col>
      <xdr:colOff>5715</xdr:colOff>
      <xdr:row>190</xdr:row>
      <xdr:rowOff>5715</xdr:rowOff>
    </xdr:to>
    <xdr:sp macro="" textlink="">
      <xdr:nvSpPr>
        <xdr:cNvPr id="27667" name="Freeform 405">
          <a:extLst>
            <a:ext uri="{FF2B5EF4-FFF2-40B4-BE49-F238E27FC236}">
              <a16:creationId xmlns:a16="http://schemas.microsoft.com/office/drawing/2014/main" id="{1E69F986-CF81-AE4A-E801-BED71643C283}"/>
            </a:ext>
          </a:extLst>
        </xdr:cNvPr>
        <xdr:cNvSpPr/>
      </xdr:nvSpPr>
      <xdr:spPr>
        <a:xfrm>
          <a:off x="2424430" y="24428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8" name="Freeform 406">
          <a:extLst>
            <a:ext uri="{FF2B5EF4-FFF2-40B4-BE49-F238E27FC236}">
              <a16:creationId xmlns:a16="http://schemas.microsoft.com/office/drawing/2014/main" id="{5F36D310-2561-4B7E-C355-E83AD07F1DF9}"/>
            </a:ext>
          </a:extLst>
        </xdr:cNvPr>
        <xdr:cNvSpPr/>
      </xdr:nvSpPr>
      <xdr:spPr>
        <a:xfrm>
          <a:off x="3318510" y="24428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9" name="Freeform 407">
          <a:extLst>
            <a:ext uri="{FF2B5EF4-FFF2-40B4-BE49-F238E27FC236}">
              <a16:creationId xmlns:a16="http://schemas.microsoft.com/office/drawing/2014/main" id="{31E0A908-F08C-C485-968C-00ADEDEBBF9C}"/>
            </a:ext>
          </a:extLst>
        </xdr:cNvPr>
        <xdr:cNvSpPr/>
      </xdr:nvSpPr>
      <xdr:spPr>
        <a:xfrm>
          <a:off x="4211955" y="24428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71" name="Freeform 402">
          <a:extLst>
            <a:ext uri="{FF2B5EF4-FFF2-40B4-BE49-F238E27FC236}">
              <a16:creationId xmlns:a16="http://schemas.microsoft.com/office/drawing/2014/main" id="{44A96B99-3A80-9CCC-2E82-BB0644F9FCF4}"/>
            </a:ext>
          </a:extLst>
        </xdr:cNvPr>
        <xdr:cNvSpPr/>
      </xdr:nvSpPr>
      <xdr:spPr>
        <a:xfrm>
          <a:off x="5102225" y="24485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9525</xdr:rowOff>
    </xdr:from>
    <xdr:to>
      <xdr:col>0</xdr:col>
      <xdr:colOff>5715</xdr:colOff>
      <xdr:row>190</xdr:row>
      <xdr:rowOff>15240</xdr:rowOff>
    </xdr:to>
    <xdr:sp macro="" textlink="">
      <xdr:nvSpPr>
        <xdr:cNvPr id="27672" name="Freeform 408">
          <a:extLst>
            <a:ext uri="{FF2B5EF4-FFF2-40B4-BE49-F238E27FC236}">
              <a16:creationId xmlns:a16="http://schemas.microsoft.com/office/drawing/2014/main" id="{39FFFEF6-89DB-A8B7-BFF3-9542528B57DC}"/>
            </a:ext>
          </a:extLst>
        </xdr:cNvPr>
        <xdr:cNvSpPr/>
      </xdr:nvSpPr>
      <xdr:spPr>
        <a:xfrm>
          <a:off x="5995670" y="2447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9525</xdr:rowOff>
    </xdr:from>
    <xdr:to>
      <xdr:col>1</xdr:col>
      <xdr:colOff>291465</xdr:colOff>
      <xdr:row>190</xdr:row>
      <xdr:rowOff>15240</xdr:rowOff>
    </xdr:to>
    <xdr:sp macro="" textlink="">
      <xdr:nvSpPr>
        <xdr:cNvPr id="27673" name="Freeform 409">
          <a:extLst>
            <a:ext uri="{FF2B5EF4-FFF2-40B4-BE49-F238E27FC236}">
              <a16:creationId xmlns:a16="http://schemas.microsoft.com/office/drawing/2014/main" id="{A0EC0556-94D0-B997-F674-3AE83A12382D}"/>
            </a:ext>
          </a:extLst>
        </xdr:cNvPr>
        <xdr:cNvSpPr/>
      </xdr:nvSpPr>
      <xdr:spPr>
        <a:xfrm>
          <a:off x="6889750" y="2447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4" name="Freeform 140">
          <a:extLst>
            <a:ext uri="{FF2B5EF4-FFF2-40B4-BE49-F238E27FC236}">
              <a16:creationId xmlns:a16="http://schemas.microsoft.com/office/drawing/2014/main" id="{0A811FEE-F4BF-413A-FEDC-E77EF3C99DE6}"/>
            </a:ext>
          </a:extLst>
        </xdr:cNvPr>
        <xdr:cNvSpPr/>
      </xdr:nvSpPr>
      <xdr:spPr>
        <a:xfrm>
          <a:off x="641350" y="19900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</xdr:row>
      <xdr:rowOff>0</xdr:rowOff>
    </xdr:from>
    <xdr:to>
      <xdr:col>1</xdr:col>
      <xdr:colOff>281940</xdr:colOff>
      <xdr:row>8</xdr:row>
      <xdr:rowOff>5715</xdr:rowOff>
    </xdr:to>
    <xdr:sp macro="" textlink="">
      <xdr:nvSpPr>
        <xdr:cNvPr id="27675" name="Freeform 141">
          <a:extLst>
            <a:ext uri="{FF2B5EF4-FFF2-40B4-BE49-F238E27FC236}">
              <a16:creationId xmlns:a16="http://schemas.microsoft.com/office/drawing/2014/main" id="{60F1D326-3E8F-DB9F-E73E-DB0E6E7BEF9A}"/>
            </a:ext>
          </a:extLst>
        </xdr:cNvPr>
        <xdr:cNvSpPr/>
      </xdr:nvSpPr>
      <xdr:spPr>
        <a:xfrm>
          <a:off x="153543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6" name="Freeform 142">
          <a:extLst>
            <a:ext uri="{FF2B5EF4-FFF2-40B4-BE49-F238E27FC236}">
              <a16:creationId xmlns:a16="http://schemas.microsoft.com/office/drawing/2014/main" id="{18AC8A97-7C0A-184B-2D66-3C9BBA51D5BF}"/>
            </a:ext>
          </a:extLst>
        </xdr:cNvPr>
        <xdr:cNvSpPr/>
      </xdr:nvSpPr>
      <xdr:spPr>
        <a:xfrm>
          <a:off x="2424430" y="19894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7</xdr:row>
      <xdr:rowOff>104775</xdr:rowOff>
    </xdr:from>
    <xdr:to>
      <xdr:col>0</xdr:col>
      <xdr:colOff>5715</xdr:colOff>
      <xdr:row>7</xdr:row>
      <xdr:rowOff>110490</xdr:rowOff>
    </xdr:to>
    <xdr:sp macro="" textlink="">
      <xdr:nvSpPr>
        <xdr:cNvPr id="27677" name="Freeform 135">
          <a:extLst>
            <a:ext uri="{FF2B5EF4-FFF2-40B4-BE49-F238E27FC236}">
              <a16:creationId xmlns:a16="http://schemas.microsoft.com/office/drawing/2014/main" id="{2B52E239-43D0-71E8-C06F-3AF7075C633A}"/>
            </a:ext>
          </a:extLst>
        </xdr:cNvPr>
        <xdr:cNvSpPr/>
      </xdr:nvSpPr>
      <xdr:spPr>
        <a:xfrm>
          <a:off x="3316605" y="20027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7</xdr:row>
      <xdr:rowOff>104775</xdr:rowOff>
    </xdr:from>
    <xdr:to>
      <xdr:col>1</xdr:col>
      <xdr:colOff>291465</xdr:colOff>
      <xdr:row>7</xdr:row>
      <xdr:rowOff>110490</xdr:rowOff>
    </xdr:to>
    <xdr:sp macro="" textlink="">
      <xdr:nvSpPr>
        <xdr:cNvPr id="27678" name="Freeform 136">
          <a:extLst>
            <a:ext uri="{FF2B5EF4-FFF2-40B4-BE49-F238E27FC236}">
              <a16:creationId xmlns:a16="http://schemas.microsoft.com/office/drawing/2014/main" id="{EC006D82-8C77-DC12-9162-CB61A4626925}"/>
            </a:ext>
          </a:extLst>
        </xdr:cNvPr>
        <xdr:cNvSpPr/>
      </xdr:nvSpPr>
      <xdr:spPr>
        <a:xfrm>
          <a:off x="4211320" y="200279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79" name="Freeform 273">
          <a:extLst>
            <a:ext uri="{FF2B5EF4-FFF2-40B4-BE49-F238E27FC236}">
              <a16:creationId xmlns:a16="http://schemas.microsoft.com/office/drawing/2014/main" id="{186C5812-AF03-873C-09E8-6D1582A47FB5}"/>
            </a:ext>
          </a:extLst>
        </xdr:cNvPr>
        <xdr:cNvSpPr/>
      </xdr:nvSpPr>
      <xdr:spPr>
        <a:xfrm>
          <a:off x="64135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0" name="Freeform 143">
          <a:extLst>
            <a:ext uri="{FF2B5EF4-FFF2-40B4-BE49-F238E27FC236}">
              <a16:creationId xmlns:a16="http://schemas.microsoft.com/office/drawing/2014/main" id="{BE30F475-0DBE-C0C8-B660-7D53E37FAD16}"/>
            </a:ext>
          </a:extLst>
        </xdr:cNvPr>
        <xdr:cNvSpPr/>
      </xdr:nvSpPr>
      <xdr:spPr>
        <a:xfrm>
          <a:off x="510286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94</xdr:row>
      <xdr:rowOff>0</xdr:rowOff>
    </xdr:from>
    <xdr:to>
      <xdr:col>1</xdr:col>
      <xdr:colOff>281940</xdr:colOff>
      <xdr:row>94</xdr:row>
      <xdr:rowOff>5715</xdr:rowOff>
    </xdr:to>
    <xdr:sp macro="" textlink="">
      <xdr:nvSpPr>
        <xdr:cNvPr id="27681" name="Freeform 274">
          <a:extLst>
            <a:ext uri="{FF2B5EF4-FFF2-40B4-BE49-F238E27FC236}">
              <a16:creationId xmlns:a16="http://schemas.microsoft.com/office/drawing/2014/main" id="{BFE51BB1-8D7A-B521-16FF-05966047F5A0}"/>
            </a:ext>
          </a:extLst>
        </xdr:cNvPr>
        <xdr:cNvSpPr/>
      </xdr:nvSpPr>
      <xdr:spPr>
        <a:xfrm>
          <a:off x="1535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82" name="Freeform 148">
          <a:extLst>
            <a:ext uri="{FF2B5EF4-FFF2-40B4-BE49-F238E27FC236}">
              <a16:creationId xmlns:a16="http://schemas.microsoft.com/office/drawing/2014/main" id="{2821E470-E011-3419-5909-98FB41175DD6}"/>
            </a:ext>
          </a:extLst>
        </xdr:cNvPr>
        <xdr:cNvSpPr/>
      </xdr:nvSpPr>
      <xdr:spPr>
        <a:xfrm>
          <a:off x="5995035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83" name="Freeform 279">
          <a:extLst>
            <a:ext uri="{FF2B5EF4-FFF2-40B4-BE49-F238E27FC236}">
              <a16:creationId xmlns:a16="http://schemas.microsoft.com/office/drawing/2014/main" id="{8A3D3320-6CF8-39E8-A731-5F8476710736}"/>
            </a:ext>
          </a:extLst>
        </xdr:cNvPr>
        <xdr:cNvSpPr/>
      </xdr:nvSpPr>
      <xdr:spPr>
        <a:xfrm>
          <a:off x="2424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4" name="Freeform 149">
          <a:extLst>
            <a:ext uri="{FF2B5EF4-FFF2-40B4-BE49-F238E27FC236}">
              <a16:creationId xmlns:a16="http://schemas.microsoft.com/office/drawing/2014/main" id="{8A9E7753-DBC9-7A36-4A21-56DE75211CFE}"/>
            </a:ext>
          </a:extLst>
        </xdr:cNvPr>
        <xdr:cNvSpPr/>
      </xdr:nvSpPr>
      <xdr:spPr>
        <a:xfrm>
          <a:off x="688975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5" name="Freeform 280">
          <a:extLst>
            <a:ext uri="{FF2B5EF4-FFF2-40B4-BE49-F238E27FC236}">
              <a16:creationId xmlns:a16="http://schemas.microsoft.com/office/drawing/2014/main" id="{9A32E570-8842-D894-AE0F-1CCE8D8A2C97}"/>
            </a:ext>
          </a:extLst>
        </xdr:cNvPr>
        <xdr:cNvSpPr/>
      </xdr:nvSpPr>
      <xdr:spPr>
        <a:xfrm>
          <a:off x="331851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6" name="Freeform 281">
          <a:extLst>
            <a:ext uri="{FF2B5EF4-FFF2-40B4-BE49-F238E27FC236}">
              <a16:creationId xmlns:a16="http://schemas.microsoft.com/office/drawing/2014/main" id="{2FBCA78E-93D4-4C29-E65F-E4F4315DEB0D}"/>
            </a:ext>
          </a:extLst>
        </xdr:cNvPr>
        <xdr:cNvSpPr/>
      </xdr:nvSpPr>
      <xdr:spPr>
        <a:xfrm>
          <a:off x="4211955" y="226250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93</xdr:row>
      <xdr:rowOff>171450</xdr:rowOff>
    </xdr:from>
    <xdr:to>
      <xdr:col>0</xdr:col>
      <xdr:colOff>5715</xdr:colOff>
      <xdr:row>93</xdr:row>
      <xdr:rowOff>177165</xdr:rowOff>
    </xdr:to>
    <xdr:sp macro="" textlink="">
      <xdr:nvSpPr>
        <xdr:cNvPr id="27687" name="Freeform 268">
          <a:extLst>
            <a:ext uri="{FF2B5EF4-FFF2-40B4-BE49-F238E27FC236}">
              <a16:creationId xmlns:a16="http://schemas.microsoft.com/office/drawing/2014/main" id="{E3A9DE65-B41D-B293-5AA0-8EF0AC69A7D7}"/>
            </a:ext>
          </a:extLst>
        </xdr:cNvPr>
        <xdr:cNvSpPr/>
      </xdr:nvSpPr>
      <xdr:spPr>
        <a:xfrm>
          <a:off x="5102225" y="22752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9525</xdr:rowOff>
    </xdr:from>
    <xdr:to>
      <xdr:col>0</xdr:col>
      <xdr:colOff>5715</xdr:colOff>
      <xdr:row>94</xdr:row>
      <xdr:rowOff>15240</xdr:rowOff>
    </xdr:to>
    <xdr:sp macro="" textlink="">
      <xdr:nvSpPr>
        <xdr:cNvPr id="27688" name="Freeform 282">
          <a:extLst>
            <a:ext uri="{FF2B5EF4-FFF2-40B4-BE49-F238E27FC236}">
              <a16:creationId xmlns:a16="http://schemas.microsoft.com/office/drawing/2014/main" id="{BB237105-D8F5-870D-80FD-A562F0D9B9AA}"/>
            </a:ext>
          </a:extLst>
        </xdr:cNvPr>
        <xdr:cNvSpPr/>
      </xdr:nvSpPr>
      <xdr:spPr>
        <a:xfrm>
          <a:off x="5995670" y="22682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9525</xdr:rowOff>
    </xdr:from>
    <xdr:to>
      <xdr:col>1</xdr:col>
      <xdr:colOff>291465</xdr:colOff>
      <xdr:row>94</xdr:row>
      <xdr:rowOff>15240</xdr:rowOff>
    </xdr:to>
    <xdr:sp macro="" textlink="">
      <xdr:nvSpPr>
        <xdr:cNvPr id="27689" name="Freeform 283">
          <a:extLst>
            <a:ext uri="{FF2B5EF4-FFF2-40B4-BE49-F238E27FC236}">
              <a16:creationId xmlns:a16="http://schemas.microsoft.com/office/drawing/2014/main" id="{5BFD3336-1573-04B7-0386-F12DC4B5C388}"/>
            </a:ext>
          </a:extLst>
        </xdr:cNvPr>
        <xdr:cNvSpPr/>
      </xdr:nvSpPr>
      <xdr:spPr>
        <a:xfrm>
          <a:off x="6889750" y="22682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692" name="Freeform 605">
          <a:extLst>
            <a:ext uri="{FF2B5EF4-FFF2-40B4-BE49-F238E27FC236}">
              <a16:creationId xmlns:a16="http://schemas.microsoft.com/office/drawing/2014/main" id="{71ED9C0E-0180-3A3B-AAC0-2400DC2DFB79}"/>
            </a:ext>
          </a:extLst>
        </xdr:cNvPr>
        <xdr:cNvSpPr/>
      </xdr:nvSpPr>
      <xdr:spPr>
        <a:xfrm>
          <a:off x="24250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3" name="Freeform 410">
          <a:extLst>
            <a:ext uri="{FF2B5EF4-FFF2-40B4-BE49-F238E27FC236}">
              <a16:creationId xmlns:a16="http://schemas.microsoft.com/office/drawing/2014/main" id="{B4FE1ADA-DF37-F03E-62D2-7C84C29A2D7C}"/>
            </a:ext>
          </a:extLst>
        </xdr:cNvPr>
        <xdr:cNvSpPr/>
      </xdr:nvSpPr>
      <xdr:spPr>
        <a:xfrm>
          <a:off x="6413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4" name="Freeform 606">
          <a:extLst>
            <a:ext uri="{FF2B5EF4-FFF2-40B4-BE49-F238E27FC236}">
              <a16:creationId xmlns:a16="http://schemas.microsoft.com/office/drawing/2014/main" id="{9788367B-404E-9DE5-B246-C1F482993806}"/>
            </a:ext>
          </a:extLst>
        </xdr:cNvPr>
        <xdr:cNvSpPr/>
      </xdr:nvSpPr>
      <xdr:spPr>
        <a:xfrm>
          <a:off x="33191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191</xdr:row>
      <xdr:rowOff>0</xdr:rowOff>
    </xdr:from>
    <xdr:to>
      <xdr:col>1</xdr:col>
      <xdr:colOff>281940</xdr:colOff>
      <xdr:row>191</xdr:row>
      <xdr:rowOff>5715</xdr:rowOff>
    </xdr:to>
    <xdr:sp macro="" textlink="">
      <xdr:nvSpPr>
        <xdr:cNvPr id="27695" name="Freeform 411">
          <a:extLst>
            <a:ext uri="{FF2B5EF4-FFF2-40B4-BE49-F238E27FC236}">
              <a16:creationId xmlns:a16="http://schemas.microsoft.com/office/drawing/2014/main" id="{026C06EF-56D3-28A0-B406-2E401B0B18F5}"/>
            </a:ext>
          </a:extLst>
        </xdr:cNvPr>
        <xdr:cNvSpPr/>
      </xdr:nvSpPr>
      <xdr:spPr>
        <a:xfrm>
          <a:off x="1535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6" name="Freeform 629">
          <a:extLst>
            <a:ext uri="{FF2B5EF4-FFF2-40B4-BE49-F238E27FC236}">
              <a16:creationId xmlns:a16="http://schemas.microsoft.com/office/drawing/2014/main" id="{92090D50-85C8-7F95-3849-3155BD6B8B89}"/>
            </a:ext>
          </a:extLst>
        </xdr:cNvPr>
        <xdr:cNvSpPr/>
      </xdr:nvSpPr>
      <xdr:spPr>
        <a:xfrm>
          <a:off x="4211955" y="240220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7" name="Freeform 416">
          <a:extLst>
            <a:ext uri="{FF2B5EF4-FFF2-40B4-BE49-F238E27FC236}">
              <a16:creationId xmlns:a16="http://schemas.microsoft.com/office/drawing/2014/main" id="{0AD2901C-3BB6-33C9-8A0B-1A216BC1C438}"/>
            </a:ext>
          </a:extLst>
        </xdr:cNvPr>
        <xdr:cNvSpPr/>
      </xdr:nvSpPr>
      <xdr:spPr>
        <a:xfrm>
          <a:off x="2424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698" name="Freeform 152">
          <a:extLst>
            <a:ext uri="{FF2B5EF4-FFF2-40B4-BE49-F238E27FC236}">
              <a16:creationId xmlns:a16="http://schemas.microsoft.com/office/drawing/2014/main" id="{2AD4BFD7-3664-18E5-7A30-81EE6E2EA59D}"/>
            </a:ext>
          </a:extLst>
        </xdr:cNvPr>
        <xdr:cNvSpPr/>
      </xdr:nvSpPr>
      <xdr:spPr>
        <a:xfrm>
          <a:off x="242443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9" name="Freeform 630">
          <a:extLst>
            <a:ext uri="{FF2B5EF4-FFF2-40B4-BE49-F238E27FC236}">
              <a16:creationId xmlns:a16="http://schemas.microsoft.com/office/drawing/2014/main" id="{846F38E4-5F1B-F4AF-0557-38A69E3A50A0}"/>
            </a:ext>
          </a:extLst>
        </xdr:cNvPr>
        <xdr:cNvSpPr/>
      </xdr:nvSpPr>
      <xdr:spPr>
        <a:xfrm>
          <a:off x="5102860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0" name="Freeform 417">
          <a:extLst>
            <a:ext uri="{FF2B5EF4-FFF2-40B4-BE49-F238E27FC236}">
              <a16:creationId xmlns:a16="http://schemas.microsoft.com/office/drawing/2014/main" id="{0D62D19E-A4FD-053A-068B-79785F50E7E2}"/>
            </a:ext>
          </a:extLst>
        </xdr:cNvPr>
        <xdr:cNvSpPr/>
      </xdr:nvSpPr>
      <xdr:spPr>
        <a:xfrm>
          <a:off x="331851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1" name="Freeform 153">
          <a:extLst>
            <a:ext uri="{FF2B5EF4-FFF2-40B4-BE49-F238E27FC236}">
              <a16:creationId xmlns:a16="http://schemas.microsoft.com/office/drawing/2014/main" id="{D49D96CC-DBD6-B717-2C4C-8EBF7C1A7738}"/>
            </a:ext>
          </a:extLst>
        </xdr:cNvPr>
        <xdr:cNvSpPr/>
      </xdr:nvSpPr>
      <xdr:spPr>
        <a:xfrm>
          <a:off x="3318510" y="24707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702" name="Freeform 642">
          <a:extLst>
            <a:ext uri="{FF2B5EF4-FFF2-40B4-BE49-F238E27FC236}">
              <a16:creationId xmlns:a16="http://schemas.microsoft.com/office/drawing/2014/main" id="{16B5CFE4-CC9C-8BF3-4721-E9502A42280C}"/>
            </a:ext>
          </a:extLst>
        </xdr:cNvPr>
        <xdr:cNvSpPr/>
      </xdr:nvSpPr>
      <xdr:spPr>
        <a:xfrm>
          <a:off x="59937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171450</xdr:rowOff>
    </xdr:from>
    <xdr:to>
      <xdr:col>0</xdr:col>
      <xdr:colOff>5715</xdr:colOff>
      <xdr:row>96</xdr:row>
      <xdr:rowOff>177165</xdr:rowOff>
    </xdr:to>
    <xdr:sp macro="" textlink="">
      <xdr:nvSpPr>
        <xdr:cNvPr id="27703" name="Freeform 275">
          <a:extLst>
            <a:ext uri="{FF2B5EF4-FFF2-40B4-BE49-F238E27FC236}">
              <a16:creationId xmlns:a16="http://schemas.microsoft.com/office/drawing/2014/main" id="{FB9CAC19-F37F-5834-82E3-CBAF85B4888F}"/>
            </a:ext>
          </a:extLst>
        </xdr:cNvPr>
        <xdr:cNvSpPr/>
      </xdr:nvSpPr>
      <xdr:spPr>
        <a:xfrm>
          <a:off x="641350" y="2816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4" name="Freeform 418">
          <a:extLst>
            <a:ext uri="{FF2B5EF4-FFF2-40B4-BE49-F238E27FC236}">
              <a16:creationId xmlns:a16="http://schemas.microsoft.com/office/drawing/2014/main" id="{A697AC0E-5DAF-A6F0-EE31-594C331F1F2B}"/>
            </a:ext>
          </a:extLst>
        </xdr:cNvPr>
        <xdr:cNvSpPr/>
      </xdr:nvSpPr>
      <xdr:spPr>
        <a:xfrm>
          <a:off x="4211955" y="299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5" name="Freeform 154">
          <a:extLst>
            <a:ext uri="{FF2B5EF4-FFF2-40B4-BE49-F238E27FC236}">
              <a16:creationId xmlns:a16="http://schemas.microsoft.com/office/drawing/2014/main" id="{EBDB0FFF-20B6-9EE3-EB87-513CF6935B40}"/>
            </a:ext>
          </a:extLst>
        </xdr:cNvPr>
        <xdr:cNvSpPr/>
      </xdr:nvSpPr>
      <xdr:spPr>
        <a:xfrm>
          <a:off x="4211320" y="24707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96</xdr:row>
      <xdr:rowOff>171450</xdr:rowOff>
    </xdr:from>
    <xdr:to>
      <xdr:col>1</xdr:col>
      <xdr:colOff>281940</xdr:colOff>
      <xdr:row>96</xdr:row>
      <xdr:rowOff>177165</xdr:rowOff>
    </xdr:to>
    <xdr:sp macro="" textlink="">
      <xdr:nvSpPr>
        <xdr:cNvPr id="27706" name="Freeform 276">
          <a:extLst>
            <a:ext uri="{FF2B5EF4-FFF2-40B4-BE49-F238E27FC236}">
              <a16:creationId xmlns:a16="http://schemas.microsoft.com/office/drawing/2014/main" id="{738BCDF5-F5C3-6940-E6AE-F49D5D20BE3A}"/>
            </a:ext>
          </a:extLst>
        </xdr:cNvPr>
        <xdr:cNvSpPr/>
      </xdr:nvSpPr>
      <xdr:spPr>
        <a:xfrm>
          <a:off x="1535430" y="2816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707" name="Freeform 643">
          <a:extLst>
            <a:ext uri="{FF2B5EF4-FFF2-40B4-BE49-F238E27FC236}">
              <a16:creationId xmlns:a16="http://schemas.microsoft.com/office/drawing/2014/main" id="{2D896CE1-5A0C-403D-8EE1-50CE74DFC0E5}"/>
            </a:ext>
          </a:extLst>
        </xdr:cNvPr>
        <xdr:cNvSpPr/>
      </xdr:nvSpPr>
      <xdr:spPr>
        <a:xfrm>
          <a:off x="68878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08" name="Freeform 284">
          <a:extLst>
            <a:ext uri="{FF2B5EF4-FFF2-40B4-BE49-F238E27FC236}">
              <a16:creationId xmlns:a16="http://schemas.microsoft.com/office/drawing/2014/main" id="{6357AE3B-41A6-BA85-135B-1F80A663597B}"/>
            </a:ext>
          </a:extLst>
        </xdr:cNvPr>
        <xdr:cNvSpPr/>
      </xdr:nvSpPr>
      <xdr:spPr>
        <a:xfrm>
          <a:off x="242443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9" name="Freeform 419">
          <a:extLst>
            <a:ext uri="{FF2B5EF4-FFF2-40B4-BE49-F238E27FC236}">
              <a16:creationId xmlns:a16="http://schemas.microsoft.com/office/drawing/2014/main" id="{0EE6D0E5-2C68-85FF-81ED-DA52867B0608}"/>
            </a:ext>
          </a:extLst>
        </xdr:cNvPr>
        <xdr:cNvSpPr/>
      </xdr:nvSpPr>
      <xdr:spPr>
        <a:xfrm>
          <a:off x="5103495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</xdr:row>
      <xdr:rowOff>104775</xdr:rowOff>
    </xdr:from>
    <xdr:to>
      <xdr:col>0</xdr:col>
      <xdr:colOff>5715</xdr:colOff>
      <xdr:row>10</xdr:row>
      <xdr:rowOff>110490</xdr:rowOff>
    </xdr:to>
    <xdr:sp macro="" textlink="">
      <xdr:nvSpPr>
        <xdr:cNvPr id="27710" name="Freeform 144">
          <a:extLst>
            <a:ext uri="{FF2B5EF4-FFF2-40B4-BE49-F238E27FC236}">
              <a16:creationId xmlns:a16="http://schemas.microsoft.com/office/drawing/2014/main" id="{2658B192-C1E1-15CE-E8E0-E0904DCE47A6}"/>
            </a:ext>
          </a:extLst>
        </xdr:cNvPr>
        <xdr:cNvSpPr/>
      </xdr:nvSpPr>
      <xdr:spPr>
        <a:xfrm>
          <a:off x="5101590" y="24771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711" name="Freeform 155">
          <a:extLst>
            <a:ext uri="{FF2B5EF4-FFF2-40B4-BE49-F238E27FC236}">
              <a16:creationId xmlns:a16="http://schemas.microsoft.com/office/drawing/2014/main" id="{01F5A063-FDD1-31F8-CA0F-6241F49C412C}"/>
            </a:ext>
          </a:extLst>
        </xdr:cNvPr>
        <xdr:cNvSpPr/>
      </xdr:nvSpPr>
      <xdr:spPr>
        <a:xfrm>
          <a:off x="5995035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2" name="Freeform 285">
          <a:extLst>
            <a:ext uri="{FF2B5EF4-FFF2-40B4-BE49-F238E27FC236}">
              <a16:creationId xmlns:a16="http://schemas.microsoft.com/office/drawing/2014/main" id="{615C27FD-37A7-BB9D-026C-0692FFB5CF7D}"/>
            </a:ext>
          </a:extLst>
        </xdr:cNvPr>
        <xdr:cNvSpPr/>
      </xdr:nvSpPr>
      <xdr:spPr>
        <a:xfrm>
          <a:off x="331851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713" name="Freeform 422">
          <a:extLst>
            <a:ext uri="{FF2B5EF4-FFF2-40B4-BE49-F238E27FC236}">
              <a16:creationId xmlns:a16="http://schemas.microsoft.com/office/drawing/2014/main" id="{7F8B087C-5FDB-1359-0638-95F7653FF84A}"/>
            </a:ext>
          </a:extLst>
        </xdr:cNvPr>
        <xdr:cNvSpPr/>
      </xdr:nvSpPr>
      <xdr:spPr>
        <a:xfrm>
          <a:off x="599567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14" name="Freeform 156">
          <a:extLst>
            <a:ext uri="{FF2B5EF4-FFF2-40B4-BE49-F238E27FC236}">
              <a16:creationId xmlns:a16="http://schemas.microsoft.com/office/drawing/2014/main" id="{1EBA9F2C-ECE9-1F11-B6E1-B2752547800E}"/>
            </a:ext>
          </a:extLst>
        </xdr:cNvPr>
        <xdr:cNvSpPr/>
      </xdr:nvSpPr>
      <xdr:spPr>
        <a:xfrm>
          <a:off x="688975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0</xdr:rowOff>
    </xdr:from>
    <xdr:to>
      <xdr:col>1</xdr:col>
      <xdr:colOff>291465</xdr:colOff>
      <xdr:row>97</xdr:row>
      <xdr:rowOff>5715</xdr:rowOff>
    </xdr:to>
    <xdr:sp macro="" textlink="">
      <xdr:nvSpPr>
        <xdr:cNvPr id="27715" name="Freeform 286">
          <a:extLst>
            <a:ext uri="{FF2B5EF4-FFF2-40B4-BE49-F238E27FC236}">
              <a16:creationId xmlns:a16="http://schemas.microsoft.com/office/drawing/2014/main" id="{5DC83C13-28CF-E078-62F8-88766315463B}"/>
            </a:ext>
          </a:extLst>
        </xdr:cNvPr>
        <xdr:cNvSpPr/>
      </xdr:nvSpPr>
      <xdr:spPr>
        <a:xfrm>
          <a:off x="4211955" y="2810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16" name="Freeform 423">
          <a:extLst>
            <a:ext uri="{FF2B5EF4-FFF2-40B4-BE49-F238E27FC236}">
              <a16:creationId xmlns:a16="http://schemas.microsoft.com/office/drawing/2014/main" id="{712D33EC-432C-3984-70CE-1766D6C0332B}"/>
            </a:ext>
          </a:extLst>
        </xdr:cNvPr>
        <xdr:cNvSpPr/>
      </xdr:nvSpPr>
      <xdr:spPr>
        <a:xfrm>
          <a:off x="68897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152400</xdr:rowOff>
    </xdr:from>
    <xdr:to>
      <xdr:col>0</xdr:col>
      <xdr:colOff>5715</xdr:colOff>
      <xdr:row>96</xdr:row>
      <xdr:rowOff>158115</xdr:rowOff>
    </xdr:to>
    <xdr:sp macro="" textlink="">
      <xdr:nvSpPr>
        <xdr:cNvPr id="27717" name="Freeform 269">
          <a:extLst>
            <a:ext uri="{FF2B5EF4-FFF2-40B4-BE49-F238E27FC236}">
              <a16:creationId xmlns:a16="http://schemas.microsoft.com/office/drawing/2014/main" id="{2F17C966-1B17-4545-593C-6424F4822239}"/>
            </a:ext>
          </a:extLst>
        </xdr:cNvPr>
        <xdr:cNvSpPr/>
      </xdr:nvSpPr>
      <xdr:spPr>
        <a:xfrm>
          <a:off x="5102225" y="2830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18" name="Freeform 287">
          <a:extLst>
            <a:ext uri="{FF2B5EF4-FFF2-40B4-BE49-F238E27FC236}">
              <a16:creationId xmlns:a16="http://schemas.microsoft.com/office/drawing/2014/main" id="{25616A16-C437-FB7E-B282-68BC580646C1}"/>
            </a:ext>
          </a:extLst>
        </xdr:cNvPr>
        <xdr:cNvSpPr/>
      </xdr:nvSpPr>
      <xdr:spPr>
        <a:xfrm>
          <a:off x="599567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9" name="Freeform 288">
          <a:extLst>
            <a:ext uri="{FF2B5EF4-FFF2-40B4-BE49-F238E27FC236}">
              <a16:creationId xmlns:a16="http://schemas.microsoft.com/office/drawing/2014/main" id="{10AB8BDF-5E91-8E49-84D8-5B4ED7360917}"/>
            </a:ext>
          </a:extLst>
        </xdr:cNvPr>
        <xdr:cNvSpPr/>
      </xdr:nvSpPr>
      <xdr:spPr>
        <a:xfrm>
          <a:off x="688975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2" name="Freeform 607">
          <a:extLst>
            <a:ext uri="{FF2B5EF4-FFF2-40B4-BE49-F238E27FC236}">
              <a16:creationId xmlns:a16="http://schemas.microsoft.com/office/drawing/2014/main" id="{91522E34-7E91-714C-6433-F81B75F48D32}"/>
            </a:ext>
          </a:extLst>
        </xdr:cNvPr>
        <xdr:cNvSpPr/>
      </xdr:nvSpPr>
      <xdr:spPr>
        <a:xfrm>
          <a:off x="24250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3" name="Freeform 608">
          <a:extLst>
            <a:ext uri="{FF2B5EF4-FFF2-40B4-BE49-F238E27FC236}">
              <a16:creationId xmlns:a16="http://schemas.microsoft.com/office/drawing/2014/main" id="{532F28E9-C810-1A31-5E88-713BAED38E6F}"/>
            </a:ext>
          </a:extLst>
        </xdr:cNvPr>
        <xdr:cNvSpPr/>
      </xdr:nvSpPr>
      <xdr:spPr>
        <a:xfrm>
          <a:off x="33191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4" name="Freeform 666">
          <a:extLst>
            <a:ext uri="{FF2B5EF4-FFF2-40B4-BE49-F238E27FC236}">
              <a16:creationId xmlns:a16="http://schemas.microsoft.com/office/drawing/2014/main" id="{D13E1582-DBDB-A6CC-10EA-8ACE3B9136E7}"/>
            </a:ext>
          </a:extLst>
        </xdr:cNvPr>
        <xdr:cNvSpPr/>
      </xdr:nvSpPr>
      <xdr:spPr>
        <a:xfrm>
          <a:off x="4211955" y="25844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5" name="Freeform 631">
          <a:extLst>
            <a:ext uri="{FF2B5EF4-FFF2-40B4-BE49-F238E27FC236}">
              <a16:creationId xmlns:a16="http://schemas.microsoft.com/office/drawing/2014/main" id="{84CF5806-B7FE-4D3A-95C3-5DBED9EB2444}"/>
            </a:ext>
          </a:extLst>
        </xdr:cNvPr>
        <xdr:cNvSpPr/>
      </xdr:nvSpPr>
      <xdr:spPr>
        <a:xfrm>
          <a:off x="510095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6" name="Freeform 644">
          <a:extLst>
            <a:ext uri="{FF2B5EF4-FFF2-40B4-BE49-F238E27FC236}">
              <a16:creationId xmlns:a16="http://schemas.microsoft.com/office/drawing/2014/main" id="{E748EC44-6CF8-2AE8-41DD-33F66A01365C}"/>
            </a:ext>
          </a:extLst>
        </xdr:cNvPr>
        <xdr:cNvSpPr/>
      </xdr:nvSpPr>
      <xdr:spPr>
        <a:xfrm>
          <a:off x="59937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7" name="Freeform 645">
          <a:extLst>
            <a:ext uri="{FF2B5EF4-FFF2-40B4-BE49-F238E27FC236}">
              <a16:creationId xmlns:a16="http://schemas.microsoft.com/office/drawing/2014/main" id="{BE517ED7-AC51-B17E-D180-4AD4CF47D309}"/>
            </a:ext>
          </a:extLst>
        </xdr:cNvPr>
        <xdr:cNvSpPr/>
      </xdr:nvSpPr>
      <xdr:spPr>
        <a:xfrm>
          <a:off x="68878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28" name="Freeform 412">
          <a:extLst>
            <a:ext uri="{FF2B5EF4-FFF2-40B4-BE49-F238E27FC236}">
              <a16:creationId xmlns:a16="http://schemas.microsoft.com/office/drawing/2014/main" id="{4A27871A-36A0-DB07-CE8E-9A77F134816E}"/>
            </a:ext>
          </a:extLst>
        </xdr:cNvPr>
        <xdr:cNvSpPr/>
      </xdr:nvSpPr>
      <xdr:spPr>
        <a:xfrm>
          <a:off x="641350" y="3362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192</xdr:row>
      <xdr:rowOff>180975</xdr:rowOff>
    </xdr:from>
    <xdr:to>
      <xdr:col>1</xdr:col>
      <xdr:colOff>281940</xdr:colOff>
      <xdr:row>192</xdr:row>
      <xdr:rowOff>186690</xdr:rowOff>
    </xdr:to>
    <xdr:sp macro="" textlink="">
      <xdr:nvSpPr>
        <xdr:cNvPr id="27729" name="Freeform 413">
          <a:extLst>
            <a:ext uri="{FF2B5EF4-FFF2-40B4-BE49-F238E27FC236}">
              <a16:creationId xmlns:a16="http://schemas.microsoft.com/office/drawing/2014/main" id="{924258C8-A61D-1A5A-01FA-13C0CA115386}"/>
            </a:ext>
          </a:extLst>
        </xdr:cNvPr>
        <xdr:cNvSpPr/>
      </xdr:nvSpPr>
      <xdr:spPr>
        <a:xfrm>
          <a:off x="1535430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0" name="Freeform 424">
          <a:extLst>
            <a:ext uri="{FF2B5EF4-FFF2-40B4-BE49-F238E27FC236}">
              <a16:creationId xmlns:a16="http://schemas.microsoft.com/office/drawing/2014/main" id="{9A473898-42CA-06BA-D7A6-C5827F510468}"/>
            </a:ext>
          </a:extLst>
        </xdr:cNvPr>
        <xdr:cNvSpPr/>
      </xdr:nvSpPr>
      <xdr:spPr>
        <a:xfrm>
          <a:off x="242443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2" name="Freeform 425">
          <a:extLst>
            <a:ext uri="{FF2B5EF4-FFF2-40B4-BE49-F238E27FC236}">
              <a16:creationId xmlns:a16="http://schemas.microsoft.com/office/drawing/2014/main" id="{FA7E708F-1738-5177-99BA-0A287639B291}"/>
            </a:ext>
          </a:extLst>
        </xdr:cNvPr>
        <xdr:cNvSpPr/>
      </xdr:nvSpPr>
      <xdr:spPr>
        <a:xfrm>
          <a:off x="331851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34" name="Freeform 609">
          <a:extLst>
            <a:ext uri="{FF2B5EF4-FFF2-40B4-BE49-F238E27FC236}">
              <a16:creationId xmlns:a16="http://schemas.microsoft.com/office/drawing/2014/main" id="{FBE013E2-39A7-05C2-FE93-C697696F1E70}"/>
            </a:ext>
          </a:extLst>
        </xdr:cNvPr>
        <xdr:cNvSpPr/>
      </xdr:nvSpPr>
      <xdr:spPr>
        <a:xfrm>
          <a:off x="24250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5" name="Freeform 426">
          <a:extLst>
            <a:ext uri="{FF2B5EF4-FFF2-40B4-BE49-F238E27FC236}">
              <a16:creationId xmlns:a16="http://schemas.microsoft.com/office/drawing/2014/main" id="{C3D84956-BBD4-B016-AD28-A8C00299B4C7}"/>
            </a:ext>
          </a:extLst>
        </xdr:cNvPr>
        <xdr:cNvSpPr/>
      </xdr:nvSpPr>
      <xdr:spPr>
        <a:xfrm>
          <a:off x="4211955" y="3356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6" name="Freeform 610">
          <a:extLst>
            <a:ext uri="{FF2B5EF4-FFF2-40B4-BE49-F238E27FC236}">
              <a16:creationId xmlns:a16="http://schemas.microsoft.com/office/drawing/2014/main" id="{9D0EA245-BCCF-FDB4-005E-EA373AE9DC77}"/>
            </a:ext>
          </a:extLst>
        </xdr:cNvPr>
        <xdr:cNvSpPr/>
      </xdr:nvSpPr>
      <xdr:spPr>
        <a:xfrm>
          <a:off x="33191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37" name="Freeform 420">
          <a:extLst>
            <a:ext uri="{FF2B5EF4-FFF2-40B4-BE49-F238E27FC236}">
              <a16:creationId xmlns:a16="http://schemas.microsoft.com/office/drawing/2014/main" id="{1D3E1304-482D-8FDF-3663-2109D9897984}"/>
            </a:ext>
          </a:extLst>
        </xdr:cNvPr>
        <xdr:cNvSpPr/>
      </xdr:nvSpPr>
      <xdr:spPr>
        <a:xfrm>
          <a:off x="5102225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8" name="Freeform 667">
          <a:extLst>
            <a:ext uri="{FF2B5EF4-FFF2-40B4-BE49-F238E27FC236}">
              <a16:creationId xmlns:a16="http://schemas.microsoft.com/office/drawing/2014/main" id="{1C5273FC-28DC-C54F-4A14-9D33E028AC05}"/>
            </a:ext>
          </a:extLst>
        </xdr:cNvPr>
        <xdr:cNvSpPr/>
      </xdr:nvSpPr>
      <xdr:spPr>
        <a:xfrm>
          <a:off x="4211955" y="27730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9" name="Freeform 427">
          <a:extLst>
            <a:ext uri="{FF2B5EF4-FFF2-40B4-BE49-F238E27FC236}">
              <a16:creationId xmlns:a16="http://schemas.microsoft.com/office/drawing/2014/main" id="{67738B55-40DE-5AEC-CCFA-BA102186E5AE}"/>
            </a:ext>
          </a:extLst>
        </xdr:cNvPr>
        <xdr:cNvSpPr/>
      </xdr:nvSpPr>
      <xdr:spPr>
        <a:xfrm>
          <a:off x="599567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0" name="Freeform 632">
          <a:extLst>
            <a:ext uri="{FF2B5EF4-FFF2-40B4-BE49-F238E27FC236}">
              <a16:creationId xmlns:a16="http://schemas.microsoft.com/office/drawing/2014/main" id="{488B45D7-4900-2297-2CBB-C9F9B71180D2}"/>
            </a:ext>
          </a:extLst>
        </xdr:cNvPr>
        <xdr:cNvSpPr/>
      </xdr:nvSpPr>
      <xdr:spPr>
        <a:xfrm>
          <a:off x="510095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41" name="Freeform 428">
          <a:extLst>
            <a:ext uri="{FF2B5EF4-FFF2-40B4-BE49-F238E27FC236}">
              <a16:creationId xmlns:a16="http://schemas.microsoft.com/office/drawing/2014/main" id="{1B6B9CA1-7028-48E6-AB3A-4C1DE51A338F}"/>
            </a:ext>
          </a:extLst>
        </xdr:cNvPr>
        <xdr:cNvSpPr/>
      </xdr:nvSpPr>
      <xdr:spPr>
        <a:xfrm>
          <a:off x="688975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3" name="Freeform 646">
          <a:extLst>
            <a:ext uri="{FF2B5EF4-FFF2-40B4-BE49-F238E27FC236}">
              <a16:creationId xmlns:a16="http://schemas.microsoft.com/office/drawing/2014/main" id="{3D06D46E-D7AE-5528-D05D-CA8422DB782A}"/>
            </a:ext>
          </a:extLst>
        </xdr:cNvPr>
        <xdr:cNvSpPr/>
      </xdr:nvSpPr>
      <xdr:spPr>
        <a:xfrm>
          <a:off x="59937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44" name="Freeform 647">
          <a:extLst>
            <a:ext uri="{FF2B5EF4-FFF2-40B4-BE49-F238E27FC236}">
              <a16:creationId xmlns:a16="http://schemas.microsoft.com/office/drawing/2014/main" id="{7DB38E74-A084-FB9F-A57D-87E038D95795}"/>
            </a:ext>
          </a:extLst>
        </xdr:cNvPr>
        <xdr:cNvSpPr/>
      </xdr:nvSpPr>
      <xdr:spPr>
        <a:xfrm>
          <a:off x="68878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161925</xdr:rowOff>
    </xdr:from>
    <xdr:to>
      <xdr:col>0</xdr:col>
      <xdr:colOff>5715</xdr:colOff>
      <xdr:row>99</xdr:row>
      <xdr:rowOff>167640</xdr:rowOff>
    </xdr:to>
    <xdr:sp macro="" textlink="">
      <xdr:nvSpPr>
        <xdr:cNvPr id="27745" name="Freeform 277">
          <a:extLst>
            <a:ext uri="{FF2B5EF4-FFF2-40B4-BE49-F238E27FC236}">
              <a16:creationId xmlns:a16="http://schemas.microsoft.com/office/drawing/2014/main" id="{1E6A9AD4-A7E9-D62A-C70C-34C2F73C00A9}"/>
            </a:ext>
          </a:extLst>
        </xdr:cNvPr>
        <xdr:cNvSpPr/>
      </xdr:nvSpPr>
      <xdr:spPr>
        <a:xfrm>
          <a:off x="641350" y="33724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99</xdr:row>
      <xdr:rowOff>161925</xdr:rowOff>
    </xdr:from>
    <xdr:to>
      <xdr:col>1</xdr:col>
      <xdr:colOff>281940</xdr:colOff>
      <xdr:row>99</xdr:row>
      <xdr:rowOff>167640</xdr:rowOff>
    </xdr:to>
    <xdr:sp macro="" textlink="">
      <xdr:nvSpPr>
        <xdr:cNvPr id="27746" name="Freeform 278">
          <a:extLst>
            <a:ext uri="{FF2B5EF4-FFF2-40B4-BE49-F238E27FC236}">
              <a16:creationId xmlns:a16="http://schemas.microsoft.com/office/drawing/2014/main" id="{76F58BDD-223E-1B30-4F2E-9EB516A0348B}"/>
            </a:ext>
          </a:extLst>
        </xdr:cNvPr>
        <xdr:cNvSpPr/>
      </xdr:nvSpPr>
      <xdr:spPr>
        <a:xfrm>
          <a:off x="1535430" y="33724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47" name="Freeform 289">
          <a:extLst>
            <a:ext uri="{FF2B5EF4-FFF2-40B4-BE49-F238E27FC236}">
              <a16:creationId xmlns:a16="http://schemas.microsoft.com/office/drawing/2014/main" id="{5752446E-5975-020A-4A08-BA20EB21C4B1}"/>
            </a:ext>
          </a:extLst>
        </xdr:cNvPr>
        <xdr:cNvSpPr/>
      </xdr:nvSpPr>
      <xdr:spPr>
        <a:xfrm>
          <a:off x="242443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48" name="Freeform 290">
          <a:extLst>
            <a:ext uri="{FF2B5EF4-FFF2-40B4-BE49-F238E27FC236}">
              <a16:creationId xmlns:a16="http://schemas.microsoft.com/office/drawing/2014/main" id="{FABCC1E6-7B73-3426-8C5D-7412BE0FA55F}"/>
            </a:ext>
          </a:extLst>
        </xdr:cNvPr>
        <xdr:cNvSpPr/>
      </xdr:nvSpPr>
      <xdr:spPr>
        <a:xfrm>
          <a:off x="331851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0</xdr:rowOff>
    </xdr:from>
    <xdr:to>
      <xdr:col>1</xdr:col>
      <xdr:colOff>291465</xdr:colOff>
      <xdr:row>99</xdr:row>
      <xdr:rowOff>5715</xdr:rowOff>
    </xdr:to>
    <xdr:sp macro="" textlink="">
      <xdr:nvSpPr>
        <xdr:cNvPr id="27749" name="Freeform 291">
          <a:extLst>
            <a:ext uri="{FF2B5EF4-FFF2-40B4-BE49-F238E27FC236}">
              <a16:creationId xmlns:a16="http://schemas.microsoft.com/office/drawing/2014/main" id="{5C56D81C-0194-C532-3933-943B76E832BB}"/>
            </a:ext>
          </a:extLst>
        </xdr:cNvPr>
        <xdr:cNvSpPr/>
      </xdr:nvSpPr>
      <xdr:spPr>
        <a:xfrm>
          <a:off x="4211955" y="33655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142875</xdr:rowOff>
    </xdr:from>
    <xdr:to>
      <xdr:col>0</xdr:col>
      <xdr:colOff>5715</xdr:colOff>
      <xdr:row>99</xdr:row>
      <xdr:rowOff>148590</xdr:rowOff>
    </xdr:to>
    <xdr:sp macro="" textlink="">
      <xdr:nvSpPr>
        <xdr:cNvPr id="27750" name="Freeform 270">
          <a:extLst>
            <a:ext uri="{FF2B5EF4-FFF2-40B4-BE49-F238E27FC236}">
              <a16:creationId xmlns:a16="http://schemas.microsoft.com/office/drawing/2014/main" id="{92713119-F769-7F4B-02F8-0E5B4F272E73}"/>
            </a:ext>
          </a:extLst>
        </xdr:cNvPr>
        <xdr:cNvSpPr/>
      </xdr:nvSpPr>
      <xdr:spPr>
        <a:xfrm>
          <a:off x="5102225" y="33851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51" name="Freeform 292">
          <a:extLst>
            <a:ext uri="{FF2B5EF4-FFF2-40B4-BE49-F238E27FC236}">
              <a16:creationId xmlns:a16="http://schemas.microsoft.com/office/drawing/2014/main" id="{D2C5C0B1-BE02-FF89-AD00-7F8CD1D35D04}"/>
            </a:ext>
          </a:extLst>
        </xdr:cNvPr>
        <xdr:cNvSpPr/>
      </xdr:nvSpPr>
      <xdr:spPr>
        <a:xfrm>
          <a:off x="599567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52" name="Freeform 293">
          <a:extLst>
            <a:ext uri="{FF2B5EF4-FFF2-40B4-BE49-F238E27FC236}">
              <a16:creationId xmlns:a16="http://schemas.microsoft.com/office/drawing/2014/main" id="{EF93D373-8681-02FB-95D1-8F5E860FF9C6}"/>
            </a:ext>
          </a:extLst>
        </xdr:cNvPr>
        <xdr:cNvSpPr/>
      </xdr:nvSpPr>
      <xdr:spPr>
        <a:xfrm>
          <a:off x="688975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0</xdr:rowOff>
    </xdr:from>
    <xdr:to>
      <xdr:col>0</xdr:col>
      <xdr:colOff>5715</xdr:colOff>
      <xdr:row>281</xdr:row>
      <xdr:rowOff>5715</xdr:rowOff>
    </xdr:to>
    <xdr:sp macro="" textlink="">
      <xdr:nvSpPr>
        <xdr:cNvPr id="27753" name="Freeform 668">
          <a:extLst>
            <a:ext uri="{FF2B5EF4-FFF2-40B4-BE49-F238E27FC236}">
              <a16:creationId xmlns:a16="http://schemas.microsoft.com/office/drawing/2014/main" id="{EFFA5EF5-6C74-617F-27E6-1499E94D0059}"/>
            </a:ext>
          </a:extLst>
        </xdr:cNvPr>
        <xdr:cNvSpPr/>
      </xdr:nvSpPr>
      <xdr:spPr>
        <a:xfrm>
          <a:off x="641350" y="29552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0</xdr:rowOff>
    </xdr:from>
    <xdr:to>
      <xdr:col>1</xdr:col>
      <xdr:colOff>281940</xdr:colOff>
      <xdr:row>281</xdr:row>
      <xdr:rowOff>5715</xdr:rowOff>
    </xdr:to>
    <xdr:sp macro="" textlink="">
      <xdr:nvSpPr>
        <xdr:cNvPr id="27754" name="Freeform 669">
          <a:extLst>
            <a:ext uri="{FF2B5EF4-FFF2-40B4-BE49-F238E27FC236}">
              <a16:creationId xmlns:a16="http://schemas.microsoft.com/office/drawing/2014/main" id="{BDDC47BB-EE41-198B-23A5-F6096EB6E633}"/>
            </a:ext>
          </a:extLst>
        </xdr:cNvPr>
        <xdr:cNvSpPr/>
      </xdr:nvSpPr>
      <xdr:spPr>
        <a:xfrm>
          <a:off x="1535430" y="29552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55" name="Freeform 611">
          <a:extLst>
            <a:ext uri="{FF2B5EF4-FFF2-40B4-BE49-F238E27FC236}">
              <a16:creationId xmlns:a16="http://schemas.microsoft.com/office/drawing/2014/main" id="{70A6DB17-7CAB-E6E4-EF10-1E62A80BE6DC}"/>
            </a:ext>
          </a:extLst>
        </xdr:cNvPr>
        <xdr:cNvSpPr/>
      </xdr:nvSpPr>
      <xdr:spPr>
        <a:xfrm>
          <a:off x="24250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56" name="Freeform 414">
          <a:extLst>
            <a:ext uri="{FF2B5EF4-FFF2-40B4-BE49-F238E27FC236}">
              <a16:creationId xmlns:a16="http://schemas.microsoft.com/office/drawing/2014/main" id="{E408493C-A5E8-8D68-7185-FF7C97FC9F4B}"/>
            </a:ext>
          </a:extLst>
        </xdr:cNvPr>
        <xdr:cNvSpPr/>
      </xdr:nvSpPr>
      <xdr:spPr>
        <a:xfrm>
          <a:off x="641350" y="3734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57" name="Freeform 612">
          <a:extLst>
            <a:ext uri="{FF2B5EF4-FFF2-40B4-BE49-F238E27FC236}">
              <a16:creationId xmlns:a16="http://schemas.microsoft.com/office/drawing/2014/main" id="{779D63C2-0AD2-FFE7-9F23-381A09AB8D8E}"/>
            </a:ext>
          </a:extLst>
        </xdr:cNvPr>
        <xdr:cNvSpPr/>
      </xdr:nvSpPr>
      <xdr:spPr>
        <a:xfrm>
          <a:off x="33191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194</xdr:row>
      <xdr:rowOff>171450</xdr:rowOff>
    </xdr:from>
    <xdr:to>
      <xdr:col>1</xdr:col>
      <xdr:colOff>281940</xdr:colOff>
      <xdr:row>194</xdr:row>
      <xdr:rowOff>177165</xdr:rowOff>
    </xdr:to>
    <xdr:sp macro="" textlink="">
      <xdr:nvSpPr>
        <xdr:cNvPr id="27758" name="Freeform 415">
          <a:extLst>
            <a:ext uri="{FF2B5EF4-FFF2-40B4-BE49-F238E27FC236}">
              <a16:creationId xmlns:a16="http://schemas.microsoft.com/office/drawing/2014/main" id="{F75853BF-2822-E3F9-357F-A42F9B8B2FDF}"/>
            </a:ext>
          </a:extLst>
        </xdr:cNvPr>
        <xdr:cNvSpPr/>
      </xdr:nvSpPr>
      <xdr:spPr>
        <a:xfrm>
          <a:off x="1535430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59" name="Freeform 429">
          <a:extLst>
            <a:ext uri="{FF2B5EF4-FFF2-40B4-BE49-F238E27FC236}">
              <a16:creationId xmlns:a16="http://schemas.microsoft.com/office/drawing/2014/main" id="{66DE7222-4971-668D-6476-E76F0008C8CD}"/>
            </a:ext>
          </a:extLst>
        </xdr:cNvPr>
        <xdr:cNvSpPr/>
      </xdr:nvSpPr>
      <xdr:spPr>
        <a:xfrm>
          <a:off x="242443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1" name="Freeform 157">
          <a:extLst>
            <a:ext uri="{FF2B5EF4-FFF2-40B4-BE49-F238E27FC236}">
              <a16:creationId xmlns:a16="http://schemas.microsoft.com/office/drawing/2014/main" id="{E693E938-14AB-90C5-E405-B6A6AB2DA678}"/>
            </a:ext>
          </a:extLst>
        </xdr:cNvPr>
        <xdr:cNvSpPr/>
      </xdr:nvSpPr>
      <xdr:spPr>
        <a:xfrm>
          <a:off x="64135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2" name="Freeform 430">
          <a:extLst>
            <a:ext uri="{FF2B5EF4-FFF2-40B4-BE49-F238E27FC236}">
              <a16:creationId xmlns:a16="http://schemas.microsoft.com/office/drawing/2014/main" id="{0DF8696D-A446-B677-A784-C9EF68AF9522}"/>
            </a:ext>
          </a:extLst>
        </xdr:cNvPr>
        <xdr:cNvSpPr/>
      </xdr:nvSpPr>
      <xdr:spPr>
        <a:xfrm>
          <a:off x="331851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3" name="Freeform 633">
          <a:extLst>
            <a:ext uri="{FF2B5EF4-FFF2-40B4-BE49-F238E27FC236}">
              <a16:creationId xmlns:a16="http://schemas.microsoft.com/office/drawing/2014/main" id="{ECB1217D-0B36-E8FD-2BB2-EB658911F7E3}"/>
            </a:ext>
          </a:extLst>
        </xdr:cNvPr>
        <xdr:cNvSpPr/>
      </xdr:nvSpPr>
      <xdr:spPr>
        <a:xfrm>
          <a:off x="510095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</xdr:row>
      <xdr:rowOff>0</xdr:rowOff>
    </xdr:from>
    <xdr:to>
      <xdr:col>1</xdr:col>
      <xdr:colOff>281940</xdr:colOff>
      <xdr:row>12</xdr:row>
      <xdr:rowOff>5715</xdr:rowOff>
    </xdr:to>
    <xdr:sp macro="" textlink="">
      <xdr:nvSpPr>
        <xdr:cNvPr id="27764" name="Freeform 158">
          <a:extLst>
            <a:ext uri="{FF2B5EF4-FFF2-40B4-BE49-F238E27FC236}">
              <a16:creationId xmlns:a16="http://schemas.microsoft.com/office/drawing/2014/main" id="{319F1D23-E613-BD6B-1930-D52AEB8F9900}"/>
            </a:ext>
          </a:extLst>
        </xdr:cNvPr>
        <xdr:cNvSpPr/>
      </xdr:nvSpPr>
      <xdr:spPr>
        <a:xfrm>
          <a:off x="1535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5" name="Freeform 648">
          <a:extLst>
            <a:ext uri="{FF2B5EF4-FFF2-40B4-BE49-F238E27FC236}">
              <a16:creationId xmlns:a16="http://schemas.microsoft.com/office/drawing/2014/main" id="{59ED9C0A-185C-E3B8-6655-3F743E7FC0F3}"/>
            </a:ext>
          </a:extLst>
        </xdr:cNvPr>
        <xdr:cNvSpPr/>
      </xdr:nvSpPr>
      <xdr:spPr>
        <a:xfrm>
          <a:off x="59937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6" name="Freeform 431">
          <a:extLst>
            <a:ext uri="{FF2B5EF4-FFF2-40B4-BE49-F238E27FC236}">
              <a16:creationId xmlns:a16="http://schemas.microsoft.com/office/drawing/2014/main" id="{AA45FC1E-37D2-1995-F038-A73AC0375D51}"/>
            </a:ext>
          </a:extLst>
        </xdr:cNvPr>
        <xdr:cNvSpPr/>
      </xdr:nvSpPr>
      <xdr:spPr>
        <a:xfrm>
          <a:off x="4211955" y="37280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67" name="Freeform 649">
          <a:extLst>
            <a:ext uri="{FF2B5EF4-FFF2-40B4-BE49-F238E27FC236}">
              <a16:creationId xmlns:a16="http://schemas.microsoft.com/office/drawing/2014/main" id="{9EBB4472-ED98-E472-B5BA-74BDF225983D}"/>
            </a:ext>
          </a:extLst>
        </xdr:cNvPr>
        <xdr:cNvSpPr/>
      </xdr:nvSpPr>
      <xdr:spPr>
        <a:xfrm>
          <a:off x="68878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8" name="Freeform 163">
          <a:extLst>
            <a:ext uri="{FF2B5EF4-FFF2-40B4-BE49-F238E27FC236}">
              <a16:creationId xmlns:a16="http://schemas.microsoft.com/office/drawing/2014/main" id="{DAF26D4A-BCF7-073F-1E8B-B12F71414E1D}"/>
            </a:ext>
          </a:extLst>
        </xdr:cNvPr>
        <xdr:cNvSpPr/>
      </xdr:nvSpPr>
      <xdr:spPr>
        <a:xfrm>
          <a:off x="2424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69" name="Freeform 421">
          <a:extLst>
            <a:ext uri="{FF2B5EF4-FFF2-40B4-BE49-F238E27FC236}">
              <a16:creationId xmlns:a16="http://schemas.microsoft.com/office/drawing/2014/main" id="{104219A9-3573-4774-2697-27A87A5160F5}"/>
            </a:ext>
          </a:extLst>
        </xdr:cNvPr>
        <xdr:cNvSpPr/>
      </xdr:nvSpPr>
      <xdr:spPr>
        <a:xfrm>
          <a:off x="5102225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0" name="Freeform 164">
          <a:extLst>
            <a:ext uri="{FF2B5EF4-FFF2-40B4-BE49-F238E27FC236}">
              <a16:creationId xmlns:a16="http://schemas.microsoft.com/office/drawing/2014/main" id="{CACBFAEC-9E11-8AAC-CE84-7020D03A1F9A}"/>
            </a:ext>
          </a:extLst>
        </xdr:cNvPr>
        <xdr:cNvSpPr/>
      </xdr:nvSpPr>
      <xdr:spPr>
        <a:xfrm>
          <a:off x="331851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71" name="Freeform 432">
          <a:extLst>
            <a:ext uri="{FF2B5EF4-FFF2-40B4-BE49-F238E27FC236}">
              <a16:creationId xmlns:a16="http://schemas.microsoft.com/office/drawing/2014/main" id="{1D3587B8-7FED-97E6-9899-2ECD3B795EE6}"/>
            </a:ext>
          </a:extLst>
        </xdr:cNvPr>
        <xdr:cNvSpPr/>
      </xdr:nvSpPr>
      <xdr:spPr>
        <a:xfrm>
          <a:off x="599567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2" name="Freeform 165">
          <a:extLst>
            <a:ext uri="{FF2B5EF4-FFF2-40B4-BE49-F238E27FC236}">
              <a16:creationId xmlns:a16="http://schemas.microsoft.com/office/drawing/2014/main" id="{CDABD1C5-AEBD-F4C9-C3A1-0CEC44E98B50}"/>
            </a:ext>
          </a:extLst>
        </xdr:cNvPr>
        <xdr:cNvSpPr/>
      </xdr:nvSpPr>
      <xdr:spPr>
        <a:xfrm>
          <a:off x="4211320" y="29521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73" name="Freeform 433">
          <a:extLst>
            <a:ext uri="{FF2B5EF4-FFF2-40B4-BE49-F238E27FC236}">
              <a16:creationId xmlns:a16="http://schemas.microsoft.com/office/drawing/2014/main" id="{6DB84610-933B-CEB4-140F-4FD99BBD2CDD}"/>
            </a:ext>
          </a:extLst>
        </xdr:cNvPr>
        <xdr:cNvSpPr/>
      </xdr:nvSpPr>
      <xdr:spPr>
        <a:xfrm>
          <a:off x="688975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0</xdr:col>
      <xdr:colOff>5715</xdr:colOff>
      <xdr:row>13</xdr:row>
      <xdr:rowOff>24765</xdr:rowOff>
    </xdr:to>
    <xdr:sp macro="" textlink="">
      <xdr:nvSpPr>
        <xdr:cNvPr id="27774" name="Freeform 145">
          <a:extLst>
            <a:ext uri="{FF2B5EF4-FFF2-40B4-BE49-F238E27FC236}">
              <a16:creationId xmlns:a16="http://schemas.microsoft.com/office/drawing/2014/main" id="{1028A182-5352-8513-CA3C-C3F07274D5D6}"/>
            </a:ext>
          </a:extLst>
        </xdr:cNvPr>
        <xdr:cNvSpPr/>
      </xdr:nvSpPr>
      <xdr:spPr>
        <a:xfrm>
          <a:off x="5101590" y="29648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75" name="Freeform 166">
          <a:extLst>
            <a:ext uri="{FF2B5EF4-FFF2-40B4-BE49-F238E27FC236}">
              <a16:creationId xmlns:a16="http://schemas.microsoft.com/office/drawing/2014/main" id="{C29A580C-FEED-566F-EBF3-123CEEDDBF06}"/>
            </a:ext>
          </a:extLst>
        </xdr:cNvPr>
        <xdr:cNvSpPr/>
      </xdr:nvSpPr>
      <xdr:spPr>
        <a:xfrm>
          <a:off x="5995035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7777" name="Freeform 670">
          <a:extLst>
            <a:ext uri="{FF2B5EF4-FFF2-40B4-BE49-F238E27FC236}">
              <a16:creationId xmlns:a16="http://schemas.microsoft.com/office/drawing/2014/main" id="{3733763E-A9A8-59BF-F5DD-0B61001F29F4}"/>
            </a:ext>
          </a:extLst>
        </xdr:cNvPr>
        <xdr:cNvSpPr/>
      </xdr:nvSpPr>
      <xdr:spPr>
        <a:xfrm>
          <a:off x="641350" y="31362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180975</xdr:rowOff>
    </xdr:from>
    <xdr:to>
      <xdr:col>1</xdr:col>
      <xdr:colOff>281940</xdr:colOff>
      <xdr:row>281</xdr:row>
      <xdr:rowOff>186690</xdr:rowOff>
    </xdr:to>
    <xdr:sp macro="" textlink="">
      <xdr:nvSpPr>
        <xdr:cNvPr id="27778" name="Freeform 671">
          <a:extLst>
            <a:ext uri="{FF2B5EF4-FFF2-40B4-BE49-F238E27FC236}">
              <a16:creationId xmlns:a16="http://schemas.microsoft.com/office/drawing/2014/main" id="{233D59A9-CF10-37C2-6605-46E46A01173C}"/>
            </a:ext>
          </a:extLst>
        </xdr:cNvPr>
        <xdr:cNvSpPr/>
      </xdr:nvSpPr>
      <xdr:spPr>
        <a:xfrm>
          <a:off x="1535430" y="31362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79" name="Freeform 613">
          <a:extLst>
            <a:ext uri="{FF2B5EF4-FFF2-40B4-BE49-F238E27FC236}">
              <a16:creationId xmlns:a16="http://schemas.microsoft.com/office/drawing/2014/main" id="{169B5295-19FC-47B9-6441-789EECF96E8B}"/>
            </a:ext>
          </a:extLst>
        </xdr:cNvPr>
        <xdr:cNvSpPr/>
      </xdr:nvSpPr>
      <xdr:spPr>
        <a:xfrm>
          <a:off x="24250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0" name="Freeform 614">
          <a:extLst>
            <a:ext uri="{FF2B5EF4-FFF2-40B4-BE49-F238E27FC236}">
              <a16:creationId xmlns:a16="http://schemas.microsoft.com/office/drawing/2014/main" id="{0BEAA415-2DD5-B426-085D-298DE164404A}"/>
            </a:ext>
          </a:extLst>
        </xdr:cNvPr>
        <xdr:cNvSpPr/>
      </xdr:nvSpPr>
      <xdr:spPr>
        <a:xfrm>
          <a:off x="33191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2" name="Freeform 634">
          <a:extLst>
            <a:ext uri="{FF2B5EF4-FFF2-40B4-BE49-F238E27FC236}">
              <a16:creationId xmlns:a16="http://schemas.microsoft.com/office/drawing/2014/main" id="{B5E2DF84-175B-6C5B-6EC2-8930C7595309}"/>
            </a:ext>
          </a:extLst>
        </xdr:cNvPr>
        <xdr:cNvSpPr/>
      </xdr:nvSpPr>
      <xdr:spPr>
        <a:xfrm>
          <a:off x="510095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3" name="Freeform 650">
          <a:extLst>
            <a:ext uri="{FF2B5EF4-FFF2-40B4-BE49-F238E27FC236}">
              <a16:creationId xmlns:a16="http://schemas.microsoft.com/office/drawing/2014/main" id="{5C819FF9-7370-B6BD-0566-1D5A1CD1DB31}"/>
            </a:ext>
          </a:extLst>
        </xdr:cNvPr>
        <xdr:cNvSpPr/>
      </xdr:nvSpPr>
      <xdr:spPr>
        <a:xfrm>
          <a:off x="59937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4" name="Freeform 651">
          <a:extLst>
            <a:ext uri="{FF2B5EF4-FFF2-40B4-BE49-F238E27FC236}">
              <a16:creationId xmlns:a16="http://schemas.microsoft.com/office/drawing/2014/main" id="{D09A5DE9-38AA-01BC-3630-4735184E3E77}"/>
            </a:ext>
          </a:extLst>
        </xdr:cNvPr>
        <xdr:cNvSpPr/>
      </xdr:nvSpPr>
      <xdr:spPr>
        <a:xfrm>
          <a:off x="68878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5" name="Freeform 672">
          <a:extLst>
            <a:ext uri="{FF2B5EF4-FFF2-40B4-BE49-F238E27FC236}">
              <a16:creationId xmlns:a16="http://schemas.microsoft.com/office/drawing/2014/main" id="{2FAD014D-756B-4BAC-439F-77900416355A}"/>
            </a:ext>
          </a:extLst>
        </xdr:cNvPr>
        <xdr:cNvSpPr/>
      </xdr:nvSpPr>
      <xdr:spPr>
        <a:xfrm>
          <a:off x="641350" y="33242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282</xdr:row>
      <xdr:rowOff>180975</xdr:rowOff>
    </xdr:from>
    <xdr:to>
      <xdr:col>1</xdr:col>
      <xdr:colOff>281940</xdr:colOff>
      <xdr:row>282</xdr:row>
      <xdr:rowOff>186690</xdr:rowOff>
    </xdr:to>
    <xdr:sp macro="" textlink="">
      <xdr:nvSpPr>
        <xdr:cNvPr id="27786" name="Freeform 673">
          <a:extLst>
            <a:ext uri="{FF2B5EF4-FFF2-40B4-BE49-F238E27FC236}">
              <a16:creationId xmlns:a16="http://schemas.microsoft.com/office/drawing/2014/main" id="{D70DBFE1-EF47-097D-8518-FF62F2CDA63B}"/>
            </a:ext>
          </a:extLst>
        </xdr:cNvPr>
        <xdr:cNvSpPr/>
      </xdr:nvSpPr>
      <xdr:spPr>
        <a:xfrm>
          <a:off x="1535430" y="33242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7" name="Freeform 615">
          <a:extLst>
            <a:ext uri="{FF2B5EF4-FFF2-40B4-BE49-F238E27FC236}">
              <a16:creationId xmlns:a16="http://schemas.microsoft.com/office/drawing/2014/main" id="{D0059F26-34D8-1529-8526-6283B0ACDF86}"/>
            </a:ext>
          </a:extLst>
        </xdr:cNvPr>
        <xdr:cNvSpPr/>
      </xdr:nvSpPr>
      <xdr:spPr>
        <a:xfrm>
          <a:off x="24250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88" name="Freeform 616">
          <a:extLst>
            <a:ext uri="{FF2B5EF4-FFF2-40B4-BE49-F238E27FC236}">
              <a16:creationId xmlns:a16="http://schemas.microsoft.com/office/drawing/2014/main" id="{3C1BB572-5615-3C5E-7151-702378259907}"/>
            </a:ext>
          </a:extLst>
        </xdr:cNvPr>
        <xdr:cNvSpPr/>
      </xdr:nvSpPr>
      <xdr:spPr>
        <a:xfrm>
          <a:off x="33191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0" name="Freeform 635">
          <a:extLst>
            <a:ext uri="{FF2B5EF4-FFF2-40B4-BE49-F238E27FC236}">
              <a16:creationId xmlns:a16="http://schemas.microsoft.com/office/drawing/2014/main" id="{512DB762-3E87-18DA-6FF0-0DBBD3A8E31C}"/>
            </a:ext>
          </a:extLst>
        </xdr:cNvPr>
        <xdr:cNvSpPr/>
      </xdr:nvSpPr>
      <xdr:spPr>
        <a:xfrm>
          <a:off x="510095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1" name="Freeform 652">
          <a:extLst>
            <a:ext uri="{FF2B5EF4-FFF2-40B4-BE49-F238E27FC236}">
              <a16:creationId xmlns:a16="http://schemas.microsoft.com/office/drawing/2014/main" id="{8E2D5288-7EF7-10EF-0609-78182C9E83EE}"/>
            </a:ext>
          </a:extLst>
        </xdr:cNvPr>
        <xdr:cNvSpPr/>
      </xdr:nvSpPr>
      <xdr:spPr>
        <a:xfrm>
          <a:off x="59937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92" name="Freeform 653">
          <a:extLst>
            <a:ext uri="{FF2B5EF4-FFF2-40B4-BE49-F238E27FC236}">
              <a16:creationId xmlns:a16="http://schemas.microsoft.com/office/drawing/2014/main" id="{D7957390-F20F-7169-3BAC-3907F8A17681}"/>
            </a:ext>
          </a:extLst>
        </xdr:cNvPr>
        <xdr:cNvSpPr/>
      </xdr:nvSpPr>
      <xdr:spPr>
        <a:xfrm>
          <a:off x="68878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104775</xdr:rowOff>
    </xdr:from>
    <xdr:to>
      <xdr:col>0</xdr:col>
      <xdr:colOff>5715</xdr:colOff>
      <xdr:row>14</xdr:row>
      <xdr:rowOff>110490</xdr:rowOff>
    </xdr:to>
    <xdr:sp macro="" textlink="">
      <xdr:nvSpPr>
        <xdr:cNvPr id="27793" name="Freeform 159">
          <a:extLst>
            <a:ext uri="{FF2B5EF4-FFF2-40B4-BE49-F238E27FC236}">
              <a16:creationId xmlns:a16="http://schemas.microsoft.com/office/drawing/2014/main" id="{05CD723E-1FF0-8197-43BF-26D847FE60C6}"/>
            </a:ext>
          </a:extLst>
        </xdr:cNvPr>
        <xdr:cNvSpPr/>
      </xdr:nvSpPr>
      <xdr:spPr>
        <a:xfrm>
          <a:off x="641350" y="3441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14</xdr:row>
      <xdr:rowOff>104775</xdr:rowOff>
    </xdr:from>
    <xdr:to>
      <xdr:col>1</xdr:col>
      <xdr:colOff>281940</xdr:colOff>
      <xdr:row>14</xdr:row>
      <xdr:rowOff>110490</xdr:rowOff>
    </xdr:to>
    <xdr:sp macro="" textlink="">
      <xdr:nvSpPr>
        <xdr:cNvPr id="27794" name="Freeform 160">
          <a:extLst>
            <a:ext uri="{FF2B5EF4-FFF2-40B4-BE49-F238E27FC236}">
              <a16:creationId xmlns:a16="http://schemas.microsoft.com/office/drawing/2014/main" id="{973A725E-808C-906F-FC3E-BEE2351DF95C}"/>
            </a:ext>
          </a:extLst>
        </xdr:cNvPr>
        <xdr:cNvSpPr/>
      </xdr:nvSpPr>
      <xdr:spPr>
        <a:xfrm>
          <a:off x="1535430" y="3441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795" name="Freeform 168">
          <a:extLst>
            <a:ext uri="{FF2B5EF4-FFF2-40B4-BE49-F238E27FC236}">
              <a16:creationId xmlns:a16="http://schemas.microsoft.com/office/drawing/2014/main" id="{7C5DA450-F46A-CEFB-FE1A-BBAC671D0571}"/>
            </a:ext>
          </a:extLst>
        </xdr:cNvPr>
        <xdr:cNvSpPr/>
      </xdr:nvSpPr>
      <xdr:spPr>
        <a:xfrm>
          <a:off x="242443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6" name="Freeform 169">
          <a:extLst>
            <a:ext uri="{FF2B5EF4-FFF2-40B4-BE49-F238E27FC236}">
              <a16:creationId xmlns:a16="http://schemas.microsoft.com/office/drawing/2014/main" id="{B0502B33-F1D0-BF70-AFBD-18697A2329E9}"/>
            </a:ext>
          </a:extLst>
        </xdr:cNvPr>
        <xdr:cNvSpPr/>
      </xdr:nvSpPr>
      <xdr:spPr>
        <a:xfrm>
          <a:off x="3318510" y="343471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7" name="Freeform 170">
          <a:extLst>
            <a:ext uri="{FF2B5EF4-FFF2-40B4-BE49-F238E27FC236}">
              <a16:creationId xmlns:a16="http://schemas.microsoft.com/office/drawing/2014/main" id="{C305BDCE-A623-4147-7CD1-4C515C8120A2}"/>
            </a:ext>
          </a:extLst>
        </xdr:cNvPr>
        <xdr:cNvSpPr/>
      </xdr:nvSpPr>
      <xdr:spPr>
        <a:xfrm>
          <a:off x="4211320" y="343471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798" name="Freeform 294">
          <a:extLst>
            <a:ext uri="{FF2B5EF4-FFF2-40B4-BE49-F238E27FC236}">
              <a16:creationId xmlns:a16="http://schemas.microsoft.com/office/drawing/2014/main" id="{73175FEA-8433-B3EC-8A69-FB3A413D39A0}"/>
            </a:ext>
          </a:extLst>
        </xdr:cNvPr>
        <xdr:cNvSpPr/>
      </xdr:nvSpPr>
      <xdr:spPr>
        <a:xfrm>
          <a:off x="64135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133350</xdr:rowOff>
    </xdr:from>
    <xdr:to>
      <xdr:col>0</xdr:col>
      <xdr:colOff>5715</xdr:colOff>
      <xdr:row>15</xdr:row>
      <xdr:rowOff>139065</xdr:rowOff>
    </xdr:to>
    <xdr:sp macro="" textlink="">
      <xdr:nvSpPr>
        <xdr:cNvPr id="27799" name="Freeform 146">
          <a:extLst>
            <a:ext uri="{FF2B5EF4-FFF2-40B4-BE49-F238E27FC236}">
              <a16:creationId xmlns:a16="http://schemas.microsoft.com/office/drawing/2014/main" id="{B798765C-1F95-7ED6-135D-6E2AF74B2A74}"/>
            </a:ext>
          </a:extLst>
        </xdr:cNvPr>
        <xdr:cNvSpPr/>
      </xdr:nvSpPr>
      <xdr:spPr>
        <a:xfrm>
          <a:off x="5101590" y="3454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101</xdr:row>
      <xdr:rowOff>0</xdr:rowOff>
    </xdr:from>
    <xdr:to>
      <xdr:col>1</xdr:col>
      <xdr:colOff>281940</xdr:colOff>
      <xdr:row>101</xdr:row>
      <xdr:rowOff>5715</xdr:rowOff>
    </xdr:to>
    <xdr:sp macro="" textlink="">
      <xdr:nvSpPr>
        <xdr:cNvPr id="27800" name="Freeform 295">
          <a:extLst>
            <a:ext uri="{FF2B5EF4-FFF2-40B4-BE49-F238E27FC236}">
              <a16:creationId xmlns:a16="http://schemas.microsoft.com/office/drawing/2014/main" id="{B9B7E21D-30FF-1C28-6AEA-A133B095491E}"/>
            </a:ext>
          </a:extLst>
        </xdr:cNvPr>
        <xdr:cNvSpPr/>
      </xdr:nvSpPr>
      <xdr:spPr>
        <a:xfrm>
          <a:off x="1535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801" name="Freeform 171">
          <a:extLst>
            <a:ext uri="{FF2B5EF4-FFF2-40B4-BE49-F238E27FC236}">
              <a16:creationId xmlns:a16="http://schemas.microsoft.com/office/drawing/2014/main" id="{E359450B-1C1A-DE17-B7E1-904A34A83152}"/>
            </a:ext>
          </a:extLst>
        </xdr:cNvPr>
        <xdr:cNvSpPr/>
      </xdr:nvSpPr>
      <xdr:spPr>
        <a:xfrm>
          <a:off x="5995035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2" name="Freeform 434">
          <a:extLst>
            <a:ext uri="{FF2B5EF4-FFF2-40B4-BE49-F238E27FC236}">
              <a16:creationId xmlns:a16="http://schemas.microsoft.com/office/drawing/2014/main" id="{1B0CFBD6-C8C7-ED07-25D4-870081963A82}"/>
            </a:ext>
          </a:extLst>
        </xdr:cNvPr>
        <xdr:cNvSpPr/>
      </xdr:nvSpPr>
      <xdr:spPr>
        <a:xfrm>
          <a:off x="64135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803" name="Freeform 300">
          <a:extLst>
            <a:ext uri="{FF2B5EF4-FFF2-40B4-BE49-F238E27FC236}">
              <a16:creationId xmlns:a16="http://schemas.microsoft.com/office/drawing/2014/main" id="{FA41D67F-4AC6-64BC-E4B3-1623E9FD7A60}"/>
            </a:ext>
          </a:extLst>
        </xdr:cNvPr>
        <xdr:cNvSpPr/>
      </xdr:nvSpPr>
      <xdr:spPr>
        <a:xfrm>
          <a:off x="2424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804" name="Freeform 172">
          <a:extLst>
            <a:ext uri="{FF2B5EF4-FFF2-40B4-BE49-F238E27FC236}">
              <a16:creationId xmlns:a16="http://schemas.microsoft.com/office/drawing/2014/main" id="{E50E80AC-22E1-637B-6376-4ECEA1E716A3}"/>
            </a:ext>
          </a:extLst>
        </xdr:cNvPr>
        <xdr:cNvSpPr/>
      </xdr:nvSpPr>
      <xdr:spPr>
        <a:xfrm>
          <a:off x="688975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197</xdr:row>
      <xdr:rowOff>0</xdr:rowOff>
    </xdr:from>
    <xdr:to>
      <xdr:col>1</xdr:col>
      <xdr:colOff>281940</xdr:colOff>
      <xdr:row>197</xdr:row>
      <xdr:rowOff>5715</xdr:rowOff>
    </xdr:to>
    <xdr:sp macro="" textlink="">
      <xdr:nvSpPr>
        <xdr:cNvPr id="27805" name="Freeform 435">
          <a:extLst>
            <a:ext uri="{FF2B5EF4-FFF2-40B4-BE49-F238E27FC236}">
              <a16:creationId xmlns:a16="http://schemas.microsoft.com/office/drawing/2014/main" id="{529040CC-EAC9-E971-787B-EB12ACFA6349}"/>
            </a:ext>
          </a:extLst>
        </xdr:cNvPr>
        <xdr:cNvSpPr/>
      </xdr:nvSpPr>
      <xdr:spPr>
        <a:xfrm>
          <a:off x="1535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6" name="Freeform 301">
          <a:extLst>
            <a:ext uri="{FF2B5EF4-FFF2-40B4-BE49-F238E27FC236}">
              <a16:creationId xmlns:a16="http://schemas.microsoft.com/office/drawing/2014/main" id="{DC3EB291-4318-0B7E-EA36-114942CF2BBF}"/>
            </a:ext>
          </a:extLst>
        </xdr:cNvPr>
        <xdr:cNvSpPr/>
      </xdr:nvSpPr>
      <xdr:spPr>
        <a:xfrm>
          <a:off x="331851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7" name="Freeform 440">
          <a:extLst>
            <a:ext uri="{FF2B5EF4-FFF2-40B4-BE49-F238E27FC236}">
              <a16:creationId xmlns:a16="http://schemas.microsoft.com/office/drawing/2014/main" id="{A1D266FE-7CA9-9187-AA93-E93EB6C23C07}"/>
            </a:ext>
          </a:extLst>
        </xdr:cNvPr>
        <xdr:cNvSpPr/>
      </xdr:nvSpPr>
      <xdr:spPr>
        <a:xfrm>
          <a:off x="2424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8" name="Freeform 302">
          <a:extLst>
            <a:ext uri="{FF2B5EF4-FFF2-40B4-BE49-F238E27FC236}">
              <a16:creationId xmlns:a16="http://schemas.microsoft.com/office/drawing/2014/main" id="{F7AC5E07-2F7D-6210-A8D1-467F96DE2D95}"/>
            </a:ext>
          </a:extLst>
        </xdr:cNvPr>
        <xdr:cNvSpPr/>
      </xdr:nvSpPr>
      <xdr:spPr>
        <a:xfrm>
          <a:off x="4211955" y="39135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09" name="Freeform 441">
          <a:extLst>
            <a:ext uri="{FF2B5EF4-FFF2-40B4-BE49-F238E27FC236}">
              <a16:creationId xmlns:a16="http://schemas.microsoft.com/office/drawing/2014/main" id="{017B2E84-9BF9-47B1-24FA-B13392164962}"/>
            </a:ext>
          </a:extLst>
        </xdr:cNvPr>
        <xdr:cNvSpPr/>
      </xdr:nvSpPr>
      <xdr:spPr>
        <a:xfrm>
          <a:off x="331851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10" name="Freeform 303">
          <a:extLst>
            <a:ext uri="{FF2B5EF4-FFF2-40B4-BE49-F238E27FC236}">
              <a16:creationId xmlns:a16="http://schemas.microsoft.com/office/drawing/2014/main" id="{5898FCAB-BDE1-4641-765A-5DC82961313F}"/>
            </a:ext>
          </a:extLst>
        </xdr:cNvPr>
        <xdr:cNvSpPr/>
      </xdr:nvSpPr>
      <xdr:spPr>
        <a:xfrm>
          <a:off x="5103495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1" name="Freeform 442">
          <a:extLst>
            <a:ext uri="{FF2B5EF4-FFF2-40B4-BE49-F238E27FC236}">
              <a16:creationId xmlns:a16="http://schemas.microsoft.com/office/drawing/2014/main" id="{25AA09FC-22F2-794F-F3E8-25ABD44D82F9}"/>
            </a:ext>
          </a:extLst>
        </xdr:cNvPr>
        <xdr:cNvSpPr/>
      </xdr:nvSpPr>
      <xdr:spPr>
        <a:xfrm>
          <a:off x="4211955" y="40932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9525</xdr:rowOff>
    </xdr:from>
    <xdr:to>
      <xdr:col>0</xdr:col>
      <xdr:colOff>5715</xdr:colOff>
      <xdr:row>101</xdr:row>
      <xdr:rowOff>15240</xdr:rowOff>
    </xdr:to>
    <xdr:sp macro="" textlink="">
      <xdr:nvSpPr>
        <xdr:cNvPr id="27812" name="Freeform 306">
          <a:extLst>
            <a:ext uri="{FF2B5EF4-FFF2-40B4-BE49-F238E27FC236}">
              <a16:creationId xmlns:a16="http://schemas.microsoft.com/office/drawing/2014/main" id="{7C1AB872-F840-9ED6-23A4-0122232E8F48}"/>
            </a:ext>
          </a:extLst>
        </xdr:cNvPr>
        <xdr:cNvSpPr/>
      </xdr:nvSpPr>
      <xdr:spPr>
        <a:xfrm>
          <a:off x="5995670" y="39192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3" name="Freeform 443">
          <a:extLst>
            <a:ext uri="{FF2B5EF4-FFF2-40B4-BE49-F238E27FC236}">
              <a16:creationId xmlns:a16="http://schemas.microsoft.com/office/drawing/2014/main" id="{756CB6C0-B604-A59A-EFF8-2D14C484A4B5}"/>
            </a:ext>
          </a:extLst>
        </xdr:cNvPr>
        <xdr:cNvSpPr/>
      </xdr:nvSpPr>
      <xdr:spPr>
        <a:xfrm>
          <a:off x="5103495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9525</xdr:rowOff>
    </xdr:from>
    <xdr:to>
      <xdr:col>1</xdr:col>
      <xdr:colOff>291465</xdr:colOff>
      <xdr:row>101</xdr:row>
      <xdr:rowOff>15240</xdr:rowOff>
    </xdr:to>
    <xdr:sp macro="" textlink="">
      <xdr:nvSpPr>
        <xdr:cNvPr id="27814" name="Freeform 307">
          <a:extLst>
            <a:ext uri="{FF2B5EF4-FFF2-40B4-BE49-F238E27FC236}">
              <a16:creationId xmlns:a16="http://schemas.microsoft.com/office/drawing/2014/main" id="{CB6FAEFD-1B73-708A-DC69-877B4082C8AF}"/>
            </a:ext>
          </a:extLst>
        </xdr:cNvPr>
        <xdr:cNvSpPr/>
      </xdr:nvSpPr>
      <xdr:spPr>
        <a:xfrm>
          <a:off x="6889750" y="39192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9525</xdr:rowOff>
    </xdr:from>
    <xdr:to>
      <xdr:col>0</xdr:col>
      <xdr:colOff>5715</xdr:colOff>
      <xdr:row>197</xdr:row>
      <xdr:rowOff>15240</xdr:rowOff>
    </xdr:to>
    <xdr:sp macro="" textlink="">
      <xdr:nvSpPr>
        <xdr:cNvPr id="27815" name="Freeform 446">
          <a:extLst>
            <a:ext uri="{FF2B5EF4-FFF2-40B4-BE49-F238E27FC236}">
              <a16:creationId xmlns:a16="http://schemas.microsoft.com/office/drawing/2014/main" id="{E95C24AF-3305-359B-62E5-558EFDF04E18}"/>
            </a:ext>
          </a:extLst>
        </xdr:cNvPr>
        <xdr:cNvSpPr/>
      </xdr:nvSpPr>
      <xdr:spPr>
        <a:xfrm>
          <a:off x="5995670" y="4098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9525</xdr:rowOff>
    </xdr:from>
    <xdr:to>
      <xdr:col>1</xdr:col>
      <xdr:colOff>291465</xdr:colOff>
      <xdr:row>197</xdr:row>
      <xdr:rowOff>15240</xdr:rowOff>
    </xdr:to>
    <xdr:sp macro="" textlink="">
      <xdr:nvSpPr>
        <xdr:cNvPr id="27816" name="Freeform 447">
          <a:extLst>
            <a:ext uri="{FF2B5EF4-FFF2-40B4-BE49-F238E27FC236}">
              <a16:creationId xmlns:a16="http://schemas.microsoft.com/office/drawing/2014/main" id="{D996E2DF-73BF-7A13-9272-6474C06C2DBC}"/>
            </a:ext>
          </a:extLst>
        </xdr:cNvPr>
        <xdr:cNvSpPr/>
      </xdr:nvSpPr>
      <xdr:spPr>
        <a:xfrm>
          <a:off x="6889750" y="4098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0</xdr:rowOff>
    </xdr:from>
    <xdr:to>
      <xdr:col>0</xdr:col>
      <xdr:colOff>5715</xdr:colOff>
      <xdr:row>284</xdr:row>
      <xdr:rowOff>5715</xdr:rowOff>
    </xdr:to>
    <xdr:sp macro="" textlink="">
      <xdr:nvSpPr>
        <xdr:cNvPr id="27817" name="Freeform 678">
          <a:extLst>
            <a:ext uri="{FF2B5EF4-FFF2-40B4-BE49-F238E27FC236}">
              <a16:creationId xmlns:a16="http://schemas.microsoft.com/office/drawing/2014/main" id="{50E34113-0EA0-9521-E3DD-10F8F2E5FC15}"/>
            </a:ext>
          </a:extLst>
        </xdr:cNvPr>
        <xdr:cNvSpPr/>
      </xdr:nvSpPr>
      <xdr:spPr>
        <a:xfrm>
          <a:off x="641350" y="3510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284</xdr:row>
      <xdr:rowOff>0</xdr:rowOff>
    </xdr:from>
    <xdr:to>
      <xdr:col>1</xdr:col>
      <xdr:colOff>281940</xdr:colOff>
      <xdr:row>284</xdr:row>
      <xdr:rowOff>5715</xdr:rowOff>
    </xdr:to>
    <xdr:sp macro="" textlink="">
      <xdr:nvSpPr>
        <xdr:cNvPr id="27818" name="Freeform 679">
          <a:extLst>
            <a:ext uri="{FF2B5EF4-FFF2-40B4-BE49-F238E27FC236}">
              <a16:creationId xmlns:a16="http://schemas.microsoft.com/office/drawing/2014/main" id="{DC15982B-A321-C7C7-9B65-03EDC36FAD13}"/>
            </a:ext>
          </a:extLst>
        </xdr:cNvPr>
        <xdr:cNvSpPr/>
      </xdr:nvSpPr>
      <xdr:spPr>
        <a:xfrm>
          <a:off x="1535430" y="3510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19" name="Freeform 617">
          <a:extLst>
            <a:ext uri="{FF2B5EF4-FFF2-40B4-BE49-F238E27FC236}">
              <a16:creationId xmlns:a16="http://schemas.microsoft.com/office/drawing/2014/main" id="{1B7F15B2-0E5B-C72A-3554-6F5A89A6E334}"/>
            </a:ext>
          </a:extLst>
        </xdr:cNvPr>
        <xdr:cNvSpPr/>
      </xdr:nvSpPr>
      <xdr:spPr>
        <a:xfrm>
          <a:off x="24250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0" name="Freeform 618">
          <a:extLst>
            <a:ext uri="{FF2B5EF4-FFF2-40B4-BE49-F238E27FC236}">
              <a16:creationId xmlns:a16="http://schemas.microsoft.com/office/drawing/2014/main" id="{5C7D57B6-D896-2CD7-BF0B-6E535AD9EA7B}"/>
            </a:ext>
          </a:extLst>
        </xdr:cNvPr>
        <xdr:cNvSpPr/>
      </xdr:nvSpPr>
      <xdr:spPr>
        <a:xfrm>
          <a:off x="33191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0</xdr:rowOff>
    </xdr:from>
    <xdr:to>
      <xdr:col>1</xdr:col>
      <xdr:colOff>291465</xdr:colOff>
      <xdr:row>284</xdr:row>
      <xdr:rowOff>5715</xdr:rowOff>
    </xdr:to>
    <xdr:sp macro="" textlink="">
      <xdr:nvSpPr>
        <xdr:cNvPr id="27821" name="Freeform 684">
          <a:extLst>
            <a:ext uri="{FF2B5EF4-FFF2-40B4-BE49-F238E27FC236}">
              <a16:creationId xmlns:a16="http://schemas.microsoft.com/office/drawing/2014/main" id="{EAE697AA-0D02-87DB-3160-5A9B640E2F48}"/>
            </a:ext>
          </a:extLst>
        </xdr:cNvPr>
        <xdr:cNvSpPr/>
      </xdr:nvSpPr>
      <xdr:spPr>
        <a:xfrm>
          <a:off x="4211955" y="3510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2" name="Freeform 636">
          <a:extLst>
            <a:ext uri="{FF2B5EF4-FFF2-40B4-BE49-F238E27FC236}">
              <a16:creationId xmlns:a16="http://schemas.microsoft.com/office/drawing/2014/main" id="{F0745DB4-D5B8-DB50-137A-8B0DBF9DA05B}"/>
            </a:ext>
          </a:extLst>
        </xdr:cNvPr>
        <xdr:cNvSpPr/>
      </xdr:nvSpPr>
      <xdr:spPr>
        <a:xfrm>
          <a:off x="510095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3" name="Freeform 654">
          <a:extLst>
            <a:ext uri="{FF2B5EF4-FFF2-40B4-BE49-F238E27FC236}">
              <a16:creationId xmlns:a16="http://schemas.microsoft.com/office/drawing/2014/main" id="{F445AAE2-0DE1-AF85-17B5-BDF2E4C0C74A}"/>
            </a:ext>
          </a:extLst>
        </xdr:cNvPr>
        <xdr:cNvSpPr/>
      </xdr:nvSpPr>
      <xdr:spPr>
        <a:xfrm>
          <a:off x="59937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4" name="Freeform 655">
          <a:extLst>
            <a:ext uri="{FF2B5EF4-FFF2-40B4-BE49-F238E27FC236}">
              <a16:creationId xmlns:a16="http://schemas.microsoft.com/office/drawing/2014/main" id="{29CDAA57-FB09-8C6C-EC9A-046A67FF0891}"/>
            </a:ext>
          </a:extLst>
        </xdr:cNvPr>
        <xdr:cNvSpPr/>
      </xdr:nvSpPr>
      <xdr:spPr>
        <a:xfrm>
          <a:off x="68878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0</xdr:rowOff>
    </xdr:from>
    <xdr:to>
      <xdr:col>0</xdr:col>
      <xdr:colOff>5715</xdr:colOff>
      <xdr:row>285</xdr:row>
      <xdr:rowOff>5715</xdr:rowOff>
    </xdr:to>
    <xdr:sp macro="" textlink="">
      <xdr:nvSpPr>
        <xdr:cNvPr id="27825" name="Freeform 680">
          <a:extLst>
            <a:ext uri="{FF2B5EF4-FFF2-40B4-BE49-F238E27FC236}">
              <a16:creationId xmlns:a16="http://schemas.microsoft.com/office/drawing/2014/main" id="{BF3E8056-1A91-7BC2-3F42-AD87BE127E16}"/>
            </a:ext>
          </a:extLst>
        </xdr:cNvPr>
        <xdr:cNvSpPr/>
      </xdr:nvSpPr>
      <xdr:spPr>
        <a:xfrm>
          <a:off x="641350" y="36988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285</xdr:row>
      <xdr:rowOff>0</xdr:rowOff>
    </xdr:from>
    <xdr:to>
      <xdr:col>1</xdr:col>
      <xdr:colOff>281940</xdr:colOff>
      <xdr:row>285</xdr:row>
      <xdr:rowOff>5715</xdr:rowOff>
    </xdr:to>
    <xdr:sp macro="" textlink="">
      <xdr:nvSpPr>
        <xdr:cNvPr id="27826" name="Freeform 681">
          <a:extLst>
            <a:ext uri="{FF2B5EF4-FFF2-40B4-BE49-F238E27FC236}">
              <a16:creationId xmlns:a16="http://schemas.microsoft.com/office/drawing/2014/main" id="{22B24096-11CE-A5F9-1D83-13BDEB6B3A4F}"/>
            </a:ext>
          </a:extLst>
        </xdr:cNvPr>
        <xdr:cNvSpPr/>
      </xdr:nvSpPr>
      <xdr:spPr>
        <a:xfrm>
          <a:off x="1535430" y="36988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27" name="Freeform 619">
          <a:extLst>
            <a:ext uri="{FF2B5EF4-FFF2-40B4-BE49-F238E27FC236}">
              <a16:creationId xmlns:a16="http://schemas.microsoft.com/office/drawing/2014/main" id="{9D3A64FA-C226-109B-8B2D-420C632E3EC7}"/>
            </a:ext>
          </a:extLst>
        </xdr:cNvPr>
        <xdr:cNvSpPr/>
      </xdr:nvSpPr>
      <xdr:spPr>
        <a:xfrm>
          <a:off x="24250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28" name="Freeform 620">
          <a:extLst>
            <a:ext uri="{FF2B5EF4-FFF2-40B4-BE49-F238E27FC236}">
              <a16:creationId xmlns:a16="http://schemas.microsoft.com/office/drawing/2014/main" id="{6BA789BE-528C-3C01-9C1D-93AE35DDFECF}"/>
            </a:ext>
          </a:extLst>
        </xdr:cNvPr>
        <xdr:cNvSpPr/>
      </xdr:nvSpPr>
      <xdr:spPr>
        <a:xfrm>
          <a:off x="33191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0</xdr:rowOff>
    </xdr:from>
    <xdr:to>
      <xdr:col>1</xdr:col>
      <xdr:colOff>291465</xdr:colOff>
      <xdr:row>285</xdr:row>
      <xdr:rowOff>5715</xdr:rowOff>
    </xdr:to>
    <xdr:sp macro="" textlink="">
      <xdr:nvSpPr>
        <xdr:cNvPr id="27829" name="Freeform 685">
          <a:extLst>
            <a:ext uri="{FF2B5EF4-FFF2-40B4-BE49-F238E27FC236}">
              <a16:creationId xmlns:a16="http://schemas.microsoft.com/office/drawing/2014/main" id="{AFE25382-ADD3-4611-A785-9A35EB2239AE}"/>
            </a:ext>
          </a:extLst>
        </xdr:cNvPr>
        <xdr:cNvSpPr/>
      </xdr:nvSpPr>
      <xdr:spPr>
        <a:xfrm>
          <a:off x="4211955" y="369252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0" name="Freeform 637">
          <a:extLst>
            <a:ext uri="{FF2B5EF4-FFF2-40B4-BE49-F238E27FC236}">
              <a16:creationId xmlns:a16="http://schemas.microsoft.com/office/drawing/2014/main" id="{71F2C26E-7819-BD0C-39E0-205467E74E8C}"/>
            </a:ext>
          </a:extLst>
        </xdr:cNvPr>
        <xdr:cNvSpPr/>
      </xdr:nvSpPr>
      <xdr:spPr>
        <a:xfrm>
          <a:off x="510095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31" name="Freeform 436">
          <a:extLst>
            <a:ext uri="{FF2B5EF4-FFF2-40B4-BE49-F238E27FC236}">
              <a16:creationId xmlns:a16="http://schemas.microsoft.com/office/drawing/2014/main" id="{08BCB90E-031E-8CB3-8A90-E69960E796C9}"/>
            </a:ext>
          </a:extLst>
        </xdr:cNvPr>
        <xdr:cNvSpPr/>
      </xdr:nvSpPr>
      <xdr:spPr>
        <a:xfrm>
          <a:off x="641350" y="44665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2" name="Freeform 656">
          <a:extLst>
            <a:ext uri="{FF2B5EF4-FFF2-40B4-BE49-F238E27FC236}">
              <a16:creationId xmlns:a16="http://schemas.microsoft.com/office/drawing/2014/main" id="{73623158-4D0B-DD83-CB52-BDCF78320E81}"/>
            </a:ext>
          </a:extLst>
        </xdr:cNvPr>
        <xdr:cNvSpPr/>
      </xdr:nvSpPr>
      <xdr:spPr>
        <a:xfrm>
          <a:off x="59937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198</xdr:row>
      <xdr:rowOff>180975</xdr:rowOff>
    </xdr:from>
    <xdr:to>
      <xdr:col>1</xdr:col>
      <xdr:colOff>281940</xdr:colOff>
      <xdr:row>198</xdr:row>
      <xdr:rowOff>186690</xdr:rowOff>
    </xdr:to>
    <xdr:sp macro="" textlink="">
      <xdr:nvSpPr>
        <xdr:cNvPr id="27833" name="Freeform 437">
          <a:extLst>
            <a:ext uri="{FF2B5EF4-FFF2-40B4-BE49-F238E27FC236}">
              <a16:creationId xmlns:a16="http://schemas.microsoft.com/office/drawing/2014/main" id="{4CBCE613-AC81-CF42-D6E7-0CE0EF3AAF2C}"/>
            </a:ext>
          </a:extLst>
        </xdr:cNvPr>
        <xdr:cNvSpPr/>
      </xdr:nvSpPr>
      <xdr:spPr>
        <a:xfrm>
          <a:off x="1535430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34" name="Freeform 657">
          <a:extLst>
            <a:ext uri="{FF2B5EF4-FFF2-40B4-BE49-F238E27FC236}">
              <a16:creationId xmlns:a16="http://schemas.microsoft.com/office/drawing/2014/main" id="{77058B13-4E91-DC74-407C-71B6A79008DC}"/>
            </a:ext>
          </a:extLst>
        </xdr:cNvPr>
        <xdr:cNvSpPr/>
      </xdr:nvSpPr>
      <xdr:spPr>
        <a:xfrm>
          <a:off x="68878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0</xdr:col>
      <xdr:colOff>5715</xdr:colOff>
      <xdr:row>199</xdr:row>
      <xdr:rowOff>5715</xdr:rowOff>
    </xdr:to>
    <xdr:sp macro="" textlink="">
      <xdr:nvSpPr>
        <xdr:cNvPr id="27835" name="Freeform 448">
          <a:extLst>
            <a:ext uri="{FF2B5EF4-FFF2-40B4-BE49-F238E27FC236}">
              <a16:creationId xmlns:a16="http://schemas.microsoft.com/office/drawing/2014/main" id="{F121C585-CF0D-2E2A-CBB5-8D944AA059B7}"/>
            </a:ext>
          </a:extLst>
        </xdr:cNvPr>
        <xdr:cNvSpPr/>
      </xdr:nvSpPr>
      <xdr:spPr>
        <a:xfrm>
          <a:off x="2424430" y="44596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28575</xdr:rowOff>
    </xdr:from>
    <xdr:to>
      <xdr:col>0</xdr:col>
      <xdr:colOff>5715</xdr:colOff>
      <xdr:row>17</xdr:row>
      <xdr:rowOff>34290</xdr:rowOff>
    </xdr:to>
    <xdr:sp macro="" textlink="">
      <xdr:nvSpPr>
        <xdr:cNvPr id="27836" name="Freeform 161">
          <a:extLst>
            <a:ext uri="{FF2B5EF4-FFF2-40B4-BE49-F238E27FC236}">
              <a16:creationId xmlns:a16="http://schemas.microsoft.com/office/drawing/2014/main" id="{D3D555C4-A8F9-8B53-3E9C-BCDC8D3321AC}"/>
            </a:ext>
          </a:extLst>
        </xdr:cNvPr>
        <xdr:cNvSpPr/>
      </xdr:nvSpPr>
      <xdr:spPr>
        <a:xfrm>
          <a:off x="641350" y="39293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28575</xdr:rowOff>
    </xdr:from>
    <xdr:to>
      <xdr:col>1</xdr:col>
      <xdr:colOff>281940</xdr:colOff>
      <xdr:row>17</xdr:row>
      <xdr:rowOff>34290</xdr:rowOff>
    </xdr:to>
    <xdr:sp macro="" textlink="">
      <xdr:nvSpPr>
        <xdr:cNvPr id="27837" name="Freeform 162">
          <a:extLst>
            <a:ext uri="{FF2B5EF4-FFF2-40B4-BE49-F238E27FC236}">
              <a16:creationId xmlns:a16="http://schemas.microsoft.com/office/drawing/2014/main" id="{69231807-E85A-DAD6-49CA-1890FB33F6AE}"/>
            </a:ext>
          </a:extLst>
        </xdr:cNvPr>
        <xdr:cNvSpPr/>
      </xdr:nvSpPr>
      <xdr:spPr>
        <a:xfrm>
          <a:off x="1535430" y="39293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38" name="Freeform 449">
          <a:extLst>
            <a:ext uri="{FF2B5EF4-FFF2-40B4-BE49-F238E27FC236}">
              <a16:creationId xmlns:a16="http://schemas.microsoft.com/office/drawing/2014/main" id="{865E0ADD-D91F-2AC6-26B1-ABD35D8F578B}"/>
            </a:ext>
          </a:extLst>
        </xdr:cNvPr>
        <xdr:cNvSpPr/>
      </xdr:nvSpPr>
      <xdr:spPr>
        <a:xfrm>
          <a:off x="3318510" y="44596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39" name="Freeform 173">
          <a:extLst>
            <a:ext uri="{FF2B5EF4-FFF2-40B4-BE49-F238E27FC236}">
              <a16:creationId xmlns:a16="http://schemas.microsoft.com/office/drawing/2014/main" id="{BAE2DBD2-75D0-A1C8-7055-9135F65BC0FE}"/>
            </a:ext>
          </a:extLst>
        </xdr:cNvPr>
        <xdr:cNvSpPr/>
      </xdr:nvSpPr>
      <xdr:spPr>
        <a:xfrm>
          <a:off x="242443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40" name="Freeform 450">
          <a:extLst>
            <a:ext uri="{FF2B5EF4-FFF2-40B4-BE49-F238E27FC236}">
              <a16:creationId xmlns:a16="http://schemas.microsoft.com/office/drawing/2014/main" id="{0E0B6F82-1A0D-985F-2588-7E2B9E98635B}"/>
            </a:ext>
          </a:extLst>
        </xdr:cNvPr>
        <xdr:cNvSpPr/>
      </xdr:nvSpPr>
      <xdr:spPr>
        <a:xfrm>
          <a:off x="4211955" y="44596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1" name="Freeform 174">
          <a:extLst>
            <a:ext uri="{FF2B5EF4-FFF2-40B4-BE49-F238E27FC236}">
              <a16:creationId xmlns:a16="http://schemas.microsoft.com/office/drawing/2014/main" id="{EDA6653D-7F8E-C675-B836-9260D20B68EC}"/>
            </a:ext>
          </a:extLst>
        </xdr:cNvPr>
        <xdr:cNvSpPr/>
      </xdr:nvSpPr>
      <xdr:spPr>
        <a:xfrm>
          <a:off x="3318510" y="3922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42" name="Freeform 444">
          <a:extLst>
            <a:ext uri="{FF2B5EF4-FFF2-40B4-BE49-F238E27FC236}">
              <a16:creationId xmlns:a16="http://schemas.microsoft.com/office/drawing/2014/main" id="{285B0230-33D8-0EEE-8306-286144535BD5}"/>
            </a:ext>
          </a:extLst>
        </xdr:cNvPr>
        <xdr:cNvSpPr/>
      </xdr:nvSpPr>
      <xdr:spPr>
        <a:xfrm>
          <a:off x="5102225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3" name="Freeform 175">
          <a:extLst>
            <a:ext uri="{FF2B5EF4-FFF2-40B4-BE49-F238E27FC236}">
              <a16:creationId xmlns:a16="http://schemas.microsoft.com/office/drawing/2014/main" id="{A96F2E71-8865-2891-569D-3239A9BB4547}"/>
            </a:ext>
          </a:extLst>
        </xdr:cNvPr>
        <xdr:cNvSpPr/>
      </xdr:nvSpPr>
      <xdr:spPr>
        <a:xfrm>
          <a:off x="4211320" y="39223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44" name="Freeform 296">
          <a:extLst>
            <a:ext uri="{FF2B5EF4-FFF2-40B4-BE49-F238E27FC236}">
              <a16:creationId xmlns:a16="http://schemas.microsoft.com/office/drawing/2014/main" id="{496621DD-2023-A317-2077-5652DA7F2C57}"/>
            </a:ext>
          </a:extLst>
        </xdr:cNvPr>
        <xdr:cNvSpPr/>
      </xdr:nvSpPr>
      <xdr:spPr>
        <a:xfrm>
          <a:off x="641350" y="4467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9525</xdr:rowOff>
    </xdr:from>
    <xdr:to>
      <xdr:col>0</xdr:col>
      <xdr:colOff>5715</xdr:colOff>
      <xdr:row>199</xdr:row>
      <xdr:rowOff>15240</xdr:rowOff>
    </xdr:to>
    <xdr:sp macro="" textlink="">
      <xdr:nvSpPr>
        <xdr:cNvPr id="27845" name="Freeform 451">
          <a:extLst>
            <a:ext uri="{FF2B5EF4-FFF2-40B4-BE49-F238E27FC236}">
              <a16:creationId xmlns:a16="http://schemas.microsoft.com/office/drawing/2014/main" id="{C0F95DD1-41CE-FD5C-7FF9-B4CAFAFB9BD3}"/>
            </a:ext>
          </a:extLst>
        </xdr:cNvPr>
        <xdr:cNvSpPr/>
      </xdr:nvSpPr>
      <xdr:spPr>
        <a:xfrm>
          <a:off x="5995670" y="44653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103</xdr:row>
      <xdr:rowOff>171450</xdr:rowOff>
    </xdr:from>
    <xdr:to>
      <xdr:col>1</xdr:col>
      <xdr:colOff>281940</xdr:colOff>
      <xdr:row>103</xdr:row>
      <xdr:rowOff>177165</xdr:rowOff>
    </xdr:to>
    <xdr:sp macro="" textlink="">
      <xdr:nvSpPr>
        <xdr:cNvPr id="27846" name="Freeform 297">
          <a:extLst>
            <a:ext uri="{FF2B5EF4-FFF2-40B4-BE49-F238E27FC236}">
              <a16:creationId xmlns:a16="http://schemas.microsoft.com/office/drawing/2014/main" id="{2E7CA382-C39F-72F5-DDC2-D9C43EF7E883}"/>
            </a:ext>
          </a:extLst>
        </xdr:cNvPr>
        <xdr:cNvSpPr/>
      </xdr:nvSpPr>
      <xdr:spPr>
        <a:xfrm>
          <a:off x="1535430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</xdr:row>
      <xdr:rowOff>47625</xdr:rowOff>
    </xdr:from>
    <xdr:to>
      <xdr:col>0</xdr:col>
      <xdr:colOff>5715</xdr:colOff>
      <xdr:row>18</xdr:row>
      <xdr:rowOff>53340</xdr:rowOff>
    </xdr:to>
    <xdr:sp macro="" textlink="">
      <xdr:nvSpPr>
        <xdr:cNvPr id="27847" name="Freeform 147">
          <a:extLst>
            <a:ext uri="{FF2B5EF4-FFF2-40B4-BE49-F238E27FC236}">
              <a16:creationId xmlns:a16="http://schemas.microsoft.com/office/drawing/2014/main" id="{EB3180F7-AFB5-9747-FD7D-02A14260C519}"/>
            </a:ext>
          </a:extLst>
        </xdr:cNvPr>
        <xdr:cNvSpPr/>
      </xdr:nvSpPr>
      <xdr:spPr>
        <a:xfrm>
          <a:off x="5101590" y="3942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48" name="Freeform 308">
          <a:extLst>
            <a:ext uri="{FF2B5EF4-FFF2-40B4-BE49-F238E27FC236}">
              <a16:creationId xmlns:a16="http://schemas.microsoft.com/office/drawing/2014/main" id="{1787270B-4D01-C762-37B7-85DC49B9AE35}"/>
            </a:ext>
          </a:extLst>
        </xdr:cNvPr>
        <xdr:cNvSpPr/>
      </xdr:nvSpPr>
      <xdr:spPr>
        <a:xfrm>
          <a:off x="242443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9525</xdr:rowOff>
    </xdr:from>
    <xdr:to>
      <xdr:col>1</xdr:col>
      <xdr:colOff>291465</xdr:colOff>
      <xdr:row>199</xdr:row>
      <xdr:rowOff>15240</xdr:rowOff>
    </xdr:to>
    <xdr:sp macro="" textlink="">
      <xdr:nvSpPr>
        <xdr:cNvPr id="27849" name="Freeform 452">
          <a:extLst>
            <a:ext uri="{FF2B5EF4-FFF2-40B4-BE49-F238E27FC236}">
              <a16:creationId xmlns:a16="http://schemas.microsoft.com/office/drawing/2014/main" id="{4878D692-14EA-E57E-FD03-CD579FBF82C9}"/>
            </a:ext>
          </a:extLst>
        </xdr:cNvPr>
        <xdr:cNvSpPr/>
      </xdr:nvSpPr>
      <xdr:spPr>
        <a:xfrm>
          <a:off x="6889750" y="44653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50" name="Freeform 176">
          <a:extLst>
            <a:ext uri="{FF2B5EF4-FFF2-40B4-BE49-F238E27FC236}">
              <a16:creationId xmlns:a16="http://schemas.microsoft.com/office/drawing/2014/main" id="{A9609DA0-8D97-D1EE-C5CA-698FC959921F}"/>
            </a:ext>
          </a:extLst>
        </xdr:cNvPr>
        <xdr:cNvSpPr/>
      </xdr:nvSpPr>
      <xdr:spPr>
        <a:xfrm>
          <a:off x="5995035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51" name="Freeform 309">
          <a:extLst>
            <a:ext uri="{FF2B5EF4-FFF2-40B4-BE49-F238E27FC236}">
              <a16:creationId xmlns:a16="http://schemas.microsoft.com/office/drawing/2014/main" id="{49025A65-CCDE-351D-D908-06CEF458A7CE}"/>
            </a:ext>
          </a:extLst>
        </xdr:cNvPr>
        <xdr:cNvSpPr/>
      </xdr:nvSpPr>
      <xdr:spPr>
        <a:xfrm>
          <a:off x="331851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52" name="Freeform 177">
          <a:extLst>
            <a:ext uri="{FF2B5EF4-FFF2-40B4-BE49-F238E27FC236}">
              <a16:creationId xmlns:a16="http://schemas.microsoft.com/office/drawing/2014/main" id="{DF6CC570-79FA-640B-FA52-5108E66305CB}"/>
            </a:ext>
          </a:extLst>
        </xdr:cNvPr>
        <xdr:cNvSpPr/>
      </xdr:nvSpPr>
      <xdr:spPr>
        <a:xfrm>
          <a:off x="688975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0</xdr:rowOff>
    </xdr:from>
    <xdr:to>
      <xdr:col>1</xdr:col>
      <xdr:colOff>291465</xdr:colOff>
      <xdr:row>104</xdr:row>
      <xdr:rowOff>5715</xdr:rowOff>
    </xdr:to>
    <xdr:sp macro="" textlink="">
      <xdr:nvSpPr>
        <xdr:cNvPr id="27853" name="Freeform 310">
          <a:extLst>
            <a:ext uri="{FF2B5EF4-FFF2-40B4-BE49-F238E27FC236}">
              <a16:creationId xmlns:a16="http://schemas.microsoft.com/office/drawing/2014/main" id="{A4D2CABE-2CD8-20BA-4002-DD77162A7CC7}"/>
            </a:ext>
          </a:extLst>
        </xdr:cNvPr>
        <xdr:cNvSpPr/>
      </xdr:nvSpPr>
      <xdr:spPr>
        <a:xfrm>
          <a:off x="4211955" y="4461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0</xdr:rowOff>
    </xdr:from>
    <xdr:to>
      <xdr:col>0</xdr:col>
      <xdr:colOff>5715</xdr:colOff>
      <xdr:row>286</xdr:row>
      <xdr:rowOff>5715</xdr:rowOff>
    </xdr:to>
    <xdr:sp macro="" textlink="">
      <xdr:nvSpPr>
        <xdr:cNvPr id="27854" name="Freeform 682">
          <a:extLst>
            <a:ext uri="{FF2B5EF4-FFF2-40B4-BE49-F238E27FC236}">
              <a16:creationId xmlns:a16="http://schemas.microsoft.com/office/drawing/2014/main" id="{3EC57B04-FBFD-5F8D-1C56-A8010107C84A}"/>
            </a:ext>
          </a:extLst>
        </xdr:cNvPr>
        <xdr:cNvSpPr/>
      </xdr:nvSpPr>
      <xdr:spPr>
        <a:xfrm>
          <a:off x="641350" y="38881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55" name="Freeform 304">
          <a:extLst>
            <a:ext uri="{FF2B5EF4-FFF2-40B4-BE49-F238E27FC236}">
              <a16:creationId xmlns:a16="http://schemas.microsoft.com/office/drawing/2014/main" id="{1D53193E-BFEF-B0C4-71C4-850652502377}"/>
            </a:ext>
          </a:extLst>
        </xdr:cNvPr>
        <xdr:cNvSpPr/>
      </xdr:nvSpPr>
      <xdr:spPr>
        <a:xfrm>
          <a:off x="5102225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286</xdr:row>
      <xdr:rowOff>0</xdr:rowOff>
    </xdr:from>
    <xdr:to>
      <xdr:col>1</xdr:col>
      <xdr:colOff>281940</xdr:colOff>
      <xdr:row>286</xdr:row>
      <xdr:rowOff>5715</xdr:rowOff>
    </xdr:to>
    <xdr:sp macro="" textlink="">
      <xdr:nvSpPr>
        <xdr:cNvPr id="27856" name="Freeform 683">
          <a:extLst>
            <a:ext uri="{FF2B5EF4-FFF2-40B4-BE49-F238E27FC236}">
              <a16:creationId xmlns:a16="http://schemas.microsoft.com/office/drawing/2014/main" id="{45073366-AD92-C851-615C-9DCD54134FCA}"/>
            </a:ext>
          </a:extLst>
        </xdr:cNvPr>
        <xdr:cNvSpPr/>
      </xdr:nvSpPr>
      <xdr:spPr>
        <a:xfrm>
          <a:off x="1535430" y="38881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57" name="Freeform 311">
          <a:extLst>
            <a:ext uri="{FF2B5EF4-FFF2-40B4-BE49-F238E27FC236}">
              <a16:creationId xmlns:a16="http://schemas.microsoft.com/office/drawing/2014/main" id="{9AD048B5-A9A8-107D-AAFB-F63C5FCE75CA}"/>
            </a:ext>
          </a:extLst>
        </xdr:cNvPr>
        <xdr:cNvSpPr/>
      </xdr:nvSpPr>
      <xdr:spPr>
        <a:xfrm>
          <a:off x="599567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58" name="Freeform 621">
          <a:extLst>
            <a:ext uri="{FF2B5EF4-FFF2-40B4-BE49-F238E27FC236}">
              <a16:creationId xmlns:a16="http://schemas.microsoft.com/office/drawing/2014/main" id="{F2CFDC03-C8FD-A580-C24E-470388CA983E}"/>
            </a:ext>
          </a:extLst>
        </xdr:cNvPr>
        <xdr:cNvSpPr/>
      </xdr:nvSpPr>
      <xdr:spPr>
        <a:xfrm>
          <a:off x="24250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59" name="Freeform 622">
          <a:extLst>
            <a:ext uri="{FF2B5EF4-FFF2-40B4-BE49-F238E27FC236}">
              <a16:creationId xmlns:a16="http://schemas.microsoft.com/office/drawing/2014/main" id="{BF20916A-085D-052D-2BD8-740BF29CC036}"/>
            </a:ext>
          </a:extLst>
        </xdr:cNvPr>
        <xdr:cNvSpPr/>
      </xdr:nvSpPr>
      <xdr:spPr>
        <a:xfrm>
          <a:off x="33191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60" name="Freeform 312">
          <a:extLst>
            <a:ext uri="{FF2B5EF4-FFF2-40B4-BE49-F238E27FC236}">
              <a16:creationId xmlns:a16="http://schemas.microsoft.com/office/drawing/2014/main" id="{9238410C-2A2D-CCF6-D33C-EE3358063431}"/>
            </a:ext>
          </a:extLst>
        </xdr:cNvPr>
        <xdr:cNvSpPr/>
      </xdr:nvSpPr>
      <xdr:spPr>
        <a:xfrm>
          <a:off x="688975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0</xdr:rowOff>
    </xdr:from>
    <xdr:to>
      <xdr:col>1</xdr:col>
      <xdr:colOff>291465</xdr:colOff>
      <xdr:row>286</xdr:row>
      <xdr:rowOff>5715</xdr:rowOff>
    </xdr:to>
    <xdr:sp macro="" textlink="">
      <xdr:nvSpPr>
        <xdr:cNvPr id="27861" name="Freeform 686">
          <a:extLst>
            <a:ext uri="{FF2B5EF4-FFF2-40B4-BE49-F238E27FC236}">
              <a16:creationId xmlns:a16="http://schemas.microsoft.com/office/drawing/2014/main" id="{A849B223-2601-FC45-F5DF-344514B7D8A2}"/>
            </a:ext>
          </a:extLst>
        </xdr:cNvPr>
        <xdr:cNvSpPr/>
      </xdr:nvSpPr>
      <xdr:spPr>
        <a:xfrm>
          <a:off x="4211955" y="388112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2" name="Freeform 638">
          <a:extLst>
            <a:ext uri="{FF2B5EF4-FFF2-40B4-BE49-F238E27FC236}">
              <a16:creationId xmlns:a16="http://schemas.microsoft.com/office/drawing/2014/main" id="{438D890C-6326-40F0-A9B2-27F921D75101}"/>
            </a:ext>
          </a:extLst>
        </xdr:cNvPr>
        <xdr:cNvSpPr/>
      </xdr:nvSpPr>
      <xdr:spPr>
        <a:xfrm>
          <a:off x="510095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3" name="Freeform 658">
          <a:extLst>
            <a:ext uri="{FF2B5EF4-FFF2-40B4-BE49-F238E27FC236}">
              <a16:creationId xmlns:a16="http://schemas.microsoft.com/office/drawing/2014/main" id="{15D7B010-23D7-66C1-EBD6-000AE54011D1}"/>
            </a:ext>
          </a:extLst>
        </xdr:cNvPr>
        <xdr:cNvSpPr/>
      </xdr:nvSpPr>
      <xdr:spPr>
        <a:xfrm>
          <a:off x="59937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64" name="Freeform 659">
          <a:extLst>
            <a:ext uri="{FF2B5EF4-FFF2-40B4-BE49-F238E27FC236}">
              <a16:creationId xmlns:a16="http://schemas.microsoft.com/office/drawing/2014/main" id="{B1CB5DDB-D438-064D-765D-70864A3EB6A0}"/>
            </a:ext>
          </a:extLst>
        </xdr:cNvPr>
        <xdr:cNvSpPr/>
      </xdr:nvSpPr>
      <xdr:spPr>
        <a:xfrm>
          <a:off x="68878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65" name="Freeform 438">
          <a:extLst>
            <a:ext uri="{FF2B5EF4-FFF2-40B4-BE49-F238E27FC236}">
              <a16:creationId xmlns:a16="http://schemas.microsoft.com/office/drawing/2014/main" id="{5CFB7B25-2676-0915-46A1-798802837876}"/>
            </a:ext>
          </a:extLst>
        </xdr:cNvPr>
        <xdr:cNvSpPr/>
      </xdr:nvSpPr>
      <xdr:spPr>
        <a:xfrm>
          <a:off x="641350" y="48387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200</xdr:row>
      <xdr:rowOff>171450</xdr:rowOff>
    </xdr:from>
    <xdr:to>
      <xdr:col>1</xdr:col>
      <xdr:colOff>281940</xdr:colOff>
      <xdr:row>200</xdr:row>
      <xdr:rowOff>177165</xdr:rowOff>
    </xdr:to>
    <xdr:sp macro="" textlink="">
      <xdr:nvSpPr>
        <xdr:cNvPr id="27866" name="Freeform 439">
          <a:extLst>
            <a:ext uri="{FF2B5EF4-FFF2-40B4-BE49-F238E27FC236}">
              <a16:creationId xmlns:a16="http://schemas.microsoft.com/office/drawing/2014/main" id="{184AC36C-56DA-3DA5-4A2A-E6062627771D}"/>
            </a:ext>
          </a:extLst>
        </xdr:cNvPr>
        <xdr:cNvSpPr/>
      </xdr:nvSpPr>
      <xdr:spPr>
        <a:xfrm>
          <a:off x="1535430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0</xdr:col>
      <xdr:colOff>5715</xdr:colOff>
      <xdr:row>201</xdr:row>
      <xdr:rowOff>5715</xdr:rowOff>
    </xdr:to>
    <xdr:sp macro="" textlink="">
      <xdr:nvSpPr>
        <xdr:cNvPr id="27867" name="Freeform 453">
          <a:extLst>
            <a:ext uri="{FF2B5EF4-FFF2-40B4-BE49-F238E27FC236}">
              <a16:creationId xmlns:a16="http://schemas.microsoft.com/office/drawing/2014/main" id="{8A22EB5B-238D-998E-3BAC-69AE44634C14}"/>
            </a:ext>
          </a:extLst>
        </xdr:cNvPr>
        <xdr:cNvSpPr/>
      </xdr:nvSpPr>
      <xdr:spPr>
        <a:xfrm>
          <a:off x="2424430" y="48310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8" name="Freeform 454">
          <a:extLst>
            <a:ext uri="{FF2B5EF4-FFF2-40B4-BE49-F238E27FC236}">
              <a16:creationId xmlns:a16="http://schemas.microsoft.com/office/drawing/2014/main" id="{1603457C-8C35-8042-E724-4FEA6C3BDFB3}"/>
            </a:ext>
          </a:extLst>
        </xdr:cNvPr>
        <xdr:cNvSpPr/>
      </xdr:nvSpPr>
      <xdr:spPr>
        <a:xfrm>
          <a:off x="3318510" y="48310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9" name="Freeform 455">
          <a:extLst>
            <a:ext uri="{FF2B5EF4-FFF2-40B4-BE49-F238E27FC236}">
              <a16:creationId xmlns:a16="http://schemas.microsoft.com/office/drawing/2014/main" id="{F7B8A879-82D3-0769-EEA0-9DD1820B98CA}"/>
            </a:ext>
          </a:extLst>
        </xdr:cNvPr>
        <xdr:cNvSpPr/>
      </xdr:nvSpPr>
      <xdr:spPr>
        <a:xfrm>
          <a:off x="4211955" y="483108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71" name="Freeform 445">
          <a:extLst>
            <a:ext uri="{FF2B5EF4-FFF2-40B4-BE49-F238E27FC236}">
              <a16:creationId xmlns:a16="http://schemas.microsoft.com/office/drawing/2014/main" id="{07359F67-31CA-7A82-5E33-8C5827C9A714}"/>
            </a:ext>
          </a:extLst>
        </xdr:cNvPr>
        <xdr:cNvSpPr/>
      </xdr:nvSpPr>
      <xdr:spPr>
        <a:xfrm>
          <a:off x="5102225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9525</xdr:rowOff>
    </xdr:from>
    <xdr:to>
      <xdr:col>0</xdr:col>
      <xdr:colOff>5715</xdr:colOff>
      <xdr:row>201</xdr:row>
      <xdr:rowOff>15240</xdr:rowOff>
    </xdr:to>
    <xdr:sp macro="" textlink="">
      <xdr:nvSpPr>
        <xdr:cNvPr id="27872" name="Freeform 456">
          <a:extLst>
            <a:ext uri="{FF2B5EF4-FFF2-40B4-BE49-F238E27FC236}">
              <a16:creationId xmlns:a16="http://schemas.microsoft.com/office/drawing/2014/main" id="{EA6336C6-66FC-CFF4-B4FF-2960D65189A7}"/>
            </a:ext>
          </a:extLst>
        </xdr:cNvPr>
        <xdr:cNvSpPr/>
      </xdr:nvSpPr>
      <xdr:spPr>
        <a:xfrm>
          <a:off x="5995670" y="483679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9525</xdr:rowOff>
    </xdr:from>
    <xdr:to>
      <xdr:col>1</xdr:col>
      <xdr:colOff>291465</xdr:colOff>
      <xdr:row>201</xdr:row>
      <xdr:rowOff>15240</xdr:rowOff>
    </xdr:to>
    <xdr:sp macro="" textlink="">
      <xdr:nvSpPr>
        <xdr:cNvPr id="27874" name="Freeform 457">
          <a:extLst>
            <a:ext uri="{FF2B5EF4-FFF2-40B4-BE49-F238E27FC236}">
              <a16:creationId xmlns:a16="http://schemas.microsoft.com/office/drawing/2014/main" id="{7CC828C8-BDCC-3FD5-DDE5-C7C2E5F96294}"/>
            </a:ext>
          </a:extLst>
        </xdr:cNvPr>
        <xdr:cNvSpPr/>
      </xdr:nvSpPr>
      <xdr:spPr>
        <a:xfrm>
          <a:off x="6889750" y="483679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5" name="Freeform 623">
          <a:extLst>
            <a:ext uri="{FF2B5EF4-FFF2-40B4-BE49-F238E27FC236}">
              <a16:creationId xmlns:a16="http://schemas.microsoft.com/office/drawing/2014/main" id="{CA33DDE4-C62D-E0A5-6958-8AD7568F2167}"/>
            </a:ext>
          </a:extLst>
        </xdr:cNvPr>
        <xdr:cNvSpPr/>
      </xdr:nvSpPr>
      <xdr:spPr>
        <a:xfrm>
          <a:off x="24250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76" name="Freeform 624">
          <a:extLst>
            <a:ext uri="{FF2B5EF4-FFF2-40B4-BE49-F238E27FC236}">
              <a16:creationId xmlns:a16="http://schemas.microsoft.com/office/drawing/2014/main" id="{298EFDA8-EF78-B472-DA83-BAE077F33E41}"/>
            </a:ext>
          </a:extLst>
        </xdr:cNvPr>
        <xdr:cNvSpPr/>
      </xdr:nvSpPr>
      <xdr:spPr>
        <a:xfrm>
          <a:off x="33191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0</xdr:rowOff>
    </xdr:from>
    <xdr:to>
      <xdr:col>1</xdr:col>
      <xdr:colOff>291465</xdr:colOff>
      <xdr:row>287</xdr:row>
      <xdr:rowOff>5715</xdr:rowOff>
    </xdr:to>
    <xdr:sp macro="" textlink="">
      <xdr:nvSpPr>
        <xdr:cNvPr id="27877" name="Freeform 694">
          <a:extLst>
            <a:ext uri="{FF2B5EF4-FFF2-40B4-BE49-F238E27FC236}">
              <a16:creationId xmlns:a16="http://schemas.microsoft.com/office/drawing/2014/main" id="{B7D2D809-5701-DDBB-13DD-70349CC8C32B}"/>
            </a:ext>
          </a:extLst>
        </xdr:cNvPr>
        <xdr:cNvSpPr/>
      </xdr:nvSpPr>
      <xdr:spPr>
        <a:xfrm>
          <a:off x="4211955" y="4063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8" name="Freeform 639">
          <a:extLst>
            <a:ext uri="{FF2B5EF4-FFF2-40B4-BE49-F238E27FC236}">
              <a16:creationId xmlns:a16="http://schemas.microsoft.com/office/drawing/2014/main" id="{63B7C9B7-9CDF-57B6-21E4-F09516079880}"/>
            </a:ext>
          </a:extLst>
        </xdr:cNvPr>
        <xdr:cNvSpPr/>
      </xdr:nvSpPr>
      <xdr:spPr>
        <a:xfrm>
          <a:off x="510095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9" name="Freeform 660">
          <a:extLst>
            <a:ext uri="{FF2B5EF4-FFF2-40B4-BE49-F238E27FC236}">
              <a16:creationId xmlns:a16="http://schemas.microsoft.com/office/drawing/2014/main" id="{E69EEA1C-FE03-217E-D3EB-F2FD7EBE1937}"/>
            </a:ext>
          </a:extLst>
        </xdr:cNvPr>
        <xdr:cNvSpPr/>
      </xdr:nvSpPr>
      <xdr:spPr>
        <a:xfrm>
          <a:off x="59937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0" name="Freeform 298">
          <a:extLst>
            <a:ext uri="{FF2B5EF4-FFF2-40B4-BE49-F238E27FC236}">
              <a16:creationId xmlns:a16="http://schemas.microsoft.com/office/drawing/2014/main" id="{E5DC6EF8-1C84-0509-2317-93FD78B762FA}"/>
            </a:ext>
          </a:extLst>
        </xdr:cNvPr>
        <xdr:cNvSpPr/>
      </xdr:nvSpPr>
      <xdr:spPr>
        <a:xfrm>
          <a:off x="641350" y="5022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81" name="Freeform 661">
          <a:extLst>
            <a:ext uri="{FF2B5EF4-FFF2-40B4-BE49-F238E27FC236}">
              <a16:creationId xmlns:a16="http://schemas.microsoft.com/office/drawing/2014/main" id="{88E75610-F7B6-7CDA-6F90-D3C66D62C4EE}"/>
            </a:ext>
          </a:extLst>
        </xdr:cNvPr>
        <xdr:cNvSpPr/>
      </xdr:nvSpPr>
      <xdr:spPr>
        <a:xfrm>
          <a:off x="68878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106</xdr:row>
      <xdr:rowOff>152400</xdr:rowOff>
    </xdr:from>
    <xdr:to>
      <xdr:col>1</xdr:col>
      <xdr:colOff>281940</xdr:colOff>
      <xdr:row>106</xdr:row>
      <xdr:rowOff>158115</xdr:rowOff>
    </xdr:to>
    <xdr:sp macro="" textlink="">
      <xdr:nvSpPr>
        <xdr:cNvPr id="27882" name="Freeform 299">
          <a:extLst>
            <a:ext uri="{FF2B5EF4-FFF2-40B4-BE49-F238E27FC236}">
              <a16:creationId xmlns:a16="http://schemas.microsoft.com/office/drawing/2014/main" id="{2A8B319F-17D1-88E0-CC84-F564855E585F}"/>
            </a:ext>
          </a:extLst>
        </xdr:cNvPr>
        <xdr:cNvSpPr/>
      </xdr:nvSpPr>
      <xdr:spPr>
        <a:xfrm>
          <a:off x="1535430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3" name="Freeform 313">
          <a:extLst>
            <a:ext uri="{FF2B5EF4-FFF2-40B4-BE49-F238E27FC236}">
              <a16:creationId xmlns:a16="http://schemas.microsoft.com/office/drawing/2014/main" id="{C031C145-D5D0-1EF5-685E-31D0F74C2262}"/>
            </a:ext>
          </a:extLst>
        </xdr:cNvPr>
        <xdr:cNvSpPr/>
      </xdr:nvSpPr>
      <xdr:spPr>
        <a:xfrm>
          <a:off x="242443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4" name="Freeform 314">
          <a:extLst>
            <a:ext uri="{FF2B5EF4-FFF2-40B4-BE49-F238E27FC236}">
              <a16:creationId xmlns:a16="http://schemas.microsoft.com/office/drawing/2014/main" id="{04FA895B-5417-F23F-F0EE-B7F6D4EE3800}"/>
            </a:ext>
          </a:extLst>
        </xdr:cNvPr>
        <xdr:cNvSpPr/>
      </xdr:nvSpPr>
      <xdr:spPr>
        <a:xfrm>
          <a:off x="331851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0</xdr:rowOff>
    </xdr:from>
    <xdr:to>
      <xdr:col>1</xdr:col>
      <xdr:colOff>291465</xdr:colOff>
      <xdr:row>106</xdr:row>
      <xdr:rowOff>5715</xdr:rowOff>
    </xdr:to>
    <xdr:sp macro="" textlink="">
      <xdr:nvSpPr>
        <xdr:cNvPr id="27885" name="Freeform 315">
          <a:extLst>
            <a:ext uri="{FF2B5EF4-FFF2-40B4-BE49-F238E27FC236}">
              <a16:creationId xmlns:a16="http://schemas.microsoft.com/office/drawing/2014/main" id="{1D2EF39B-BFB4-7665-D114-2DA5776B5B4D}"/>
            </a:ext>
          </a:extLst>
        </xdr:cNvPr>
        <xdr:cNvSpPr/>
      </xdr:nvSpPr>
      <xdr:spPr>
        <a:xfrm>
          <a:off x="4211955" y="50158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6" name="Freeform 305">
          <a:extLst>
            <a:ext uri="{FF2B5EF4-FFF2-40B4-BE49-F238E27FC236}">
              <a16:creationId xmlns:a16="http://schemas.microsoft.com/office/drawing/2014/main" id="{ADCD44D6-310C-7DB2-B0A8-E4BDE8FD9D64}"/>
            </a:ext>
          </a:extLst>
        </xdr:cNvPr>
        <xdr:cNvSpPr/>
      </xdr:nvSpPr>
      <xdr:spPr>
        <a:xfrm>
          <a:off x="5102225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7" name="Freeform 316">
          <a:extLst>
            <a:ext uri="{FF2B5EF4-FFF2-40B4-BE49-F238E27FC236}">
              <a16:creationId xmlns:a16="http://schemas.microsoft.com/office/drawing/2014/main" id="{810E4581-E1A4-CAB4-1357-55F830F87E85}"/>
            </a:ext>
          </a:extLst>
        </xdr:cNvPr>
        <xdr:cNvSpPr/>
      </xdr:nvSpPr>
      <xdr:spPr>
        <a:xfrm>
          <a:off x="599567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8" name="Freeform 317">
          <a:extLst>
            <a:ext uri="{FF2B5EF4-FFF2-40B4-BE49-F238E27FC236}">
              <a16:creationId xmlns:a16="http://schemas.microsoft.com/office/drawing/2014/main" id="{58796F1F-C0A3-FE31-3A0B-59C378CDA6C7}"/>
            </a:ext>
          </a:extLst>
        </xdr:cNvPr>
        <xdr:cNvSpPr/>
      </xdr:nvSpPr>
      <xdr:spPr>
        <a:xfrm>
          <a:off x="688975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1" name="Freeform 625">
          <a:extLst>
            <a:ext uri="{FF2B5EF4-FFF2-40B4-BE49-F238E27FC236}">
              <a16:creationId xmlns:a16="http://schemas.microsoft.com/office/drawing/2014/main" id="{3CF9AAA9-0303-040C-7903-B49CDD50B82B}"/>
            </a:ext>
          </a:extLst>
        </xdr:cNvPr>
        <xdr:cNvSpPr/>
      </xdr:nvSpPr>
      <xdr:spPr>
        <a:xfrm>
          <a:off x="24250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2" name="Freeform 626">
          <a:extLst>
            <a:ext uri="{FF2B5EF4-FFF2-40B4-BE49-F238E27FC236}">
              <a16:creationId xmlns:a16="http://schemas.microsoft.com/office/drawing/2014/main" id="{156F8E14-B7B8-CB96-4F9F-657E946746C0}"/>
            </a:ext>
          </a:extLst>
        </xdr:cNvPr>
        <xdr:cNvSpPr/>
      </xdr:nvSpPr>
      <xdr:spPr>
        <a:xfrm>
          <a:off x="33191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0</xdr:rowOff>
    </xdr:from>
    <xdr:to>
      <xdr:col>1</xdr:col>
      <xdr:colOff>291465</xdr:colOff>
      <xdr:row>288</xdr:row>
      <xdr:rowOff>5715</xdr:rowOff>
    </xdr:to>
    <xdr:sp macro="" textlink="">
      <xdr:nvSpPr>
        <xdr:cNvPr id="27893" name="Freeform 695">
          <a:extLst>
            <a:ext uri="{FF2B5EF4-FFF2-40B4-BE49-F238E27FC236}">
              <a16:creationId xmlns:a16="http://schemas.microsoft.com/office/drawing/2014/main" id="{B49EB5F6-A920-465C-234E-A7310988E3B1}"/>
            </a:ext>
          </a:extLst>
        </xdr:cNvPr>
        <xdr:cNvSpPr/>
      </xdr:nvSpPr>
      <xdr:spPr>
        <a:xfrm>
          <a:off x="4211955" y="4245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4" name="Freeform 640">
          <a:extLst>
            <a:ext uri="{FF2B5EF4-FFF2-40B4-BE49-F238E27FC236}">
              <a16:creationId xmlns:a16="http://schemas.microsoft.com/office/drawing/2014/main" id="{C608EA9D-6839-40E4-F887-A7BD68BF9730}"/>
            </a:ext>
          </a:extLst>
        </xdr:cNvPr>
        <xdr:cNvSpPr/>
      </xdr:nvSpPr>
      <xdr:spPr>
        <a:xfrm>
          <a:off x="510095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5" name="Freeform 662">
          <a:extLst>
            <a:ext uri="{FF2B5EF4-FFF2-40B4-BE49-F238E27FC236}">
              <a16:creationId xmlns:a16="http://schemas.microsoft.com/office/drawing/2014/main" id="{B6AE5704-AE8A-029F-9835-5FCE63C2757F}"/>
            </a:ext>
          </a:extLst>
        </xdr:cNvPr>
        <xdr:cNvSpPr/>
      </xdr:nvSpPr>
      <xdr:spPr>
        <a:xfrm>
          <a:off x="59937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6" name="Freeform 663">
          <a:extLst>
            <a:ext uri="{FF2B5EF4-FFF2-40B4-BE49-F238E27FC236}">
              <a16:creationId xmlns:a16="http://schemas.microsoft.com/office/drawing/2014/main" id="{9D8DAE5B-9FAD-B22A-6EBB-34877BEF6D4C}"/>
            </a:ext>
          </a:extLst>
        </xdr:cNvPr>
        <xdr:cNvSpPr/>
      </xdr:nvSpPr>
      <xdr:spPr>
        <a:xfrm>
          <a:off x="68878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899" name="Freeform 627">
          <a:extLst>
            <a:ext uri="{FF2B5EF4-FFF2-40B4-BE49-F238E27FC236}">
              <a16:creationId xmlns:a16="http://schemas.microsoft.com/office/drawing/2014/main" id="{B0869DF5-9D08-1539-1854-EEE2AD3BCB0D}"/>
            </a:ext>
          </a:extLst>
        </xdr:cNvPr>
        <xdr:cNvSpPr/>
      </xdr:nvSpPr>
      <xdr:spPr>
        <a:xfrm>
          <a:off x="24250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0" name="Freeform 628">
          <a:extLst>
            <a:ext uri="{FF2B5EF4-FFF2-40B4-BE49-F238E27FC236}">
              <a16:creationId xmlns:a16="http://schemas.microsoft.com/office/drawing/2014/main" id="{0D623AA0-8320-CA6E-AAAF-FF229574157F}"/>
            </a:ext>
          </a:extLst>
        </xdr:cNvPr>
        <xdr:cNvSpPr/>
      </xdr:nvSpPr>
      <xdr:spPr>
        <a:xfrm>
          <a:off x="33191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1" name="Freeform 641">
          <a:extLst>
            <a:ext uri="{FF2B5EF4-FFF2-40B4-BE49-F238E27FC236}">
              <a16:creationId xmlns:a16="http://schemas.microsoft.com/office/drawing/2014/main" id="{2C7ADF95-66C2-EF18-8CD9-D607286FCCE9}"/>
            </a:ext>
          </a:extLst>
        </xdr:cNvPr>
        <xdr:cNvSpPr/>
      </xdr:nvSpPr>
      <xdr:spPr>
        <a:xfrm>
          <a:off x="510095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2" name="Freeform 178">
          <a:extLst>
            <a:ext uri="{FF2B5EF4-FFF2-40B4-BE49-F238E27FC236}">
              <a16:creationId xmlns:a16="http://schemas.microsoft.com/office/drawing/2014/main" id="{AD3F4EAF-8EB8-D3CC-0BE6-C924A71DCBAD}"/>
            </a:ext>
          </a:extLst>
        </xdr:cNvPr>
        <xdr:cNvSpPr/>
      </xdr:nvSpPr>
      <xdr:spPr>
        <a:xfrm>
          <a:off x="64135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3" name="Freeform 664">
          <a:extLst>
            <a:ext uri="{FF2B5EF4-FFF2-40B4-BE49-F238E27FC236}">
              <a16:creationId xmlns:a16="http://schemas.microsoft.com/office/drawing/2014/main" id="{C83AE6E7-410F-25B8-BA10-EFFA483B43FB}"/>
            </a:ext>
          </a:extLst>
        </xdr:cNvPr>
        <xdr:cNvSpPr/>
      </xdr:nvSpPr>
      <xdr:spPr>
        <a:xfrm>
          <a:off x="59937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4" name="Freeform 665">
          <a:extLst>
            <a:ext uri="{FF2B5EF4-FFF2-40B4-BE49-F238E27FC236}">
              <a16:creationId xmlns:a16="http://schemas.microsoft.com/office/drawing/2014/main" id="{C3E15F47-8BD2-A651-884E-021D5E64B0A0}"/>
            </a:ext>
          </a:extLst>
        </xdr:cNvPr>
        <xdr:cNvSpPr/>
      </xdr:nvSpPr>
      <xdr:spPr>
        <a:xfrm>
          <a:off x="68878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0</xdr:rowOff>
    </xdr:from>
    <xdr:to>
      <xdr:col>1</xdr:col>
      <xdr:colOff>281940</xdr:colOff>
      <xdr:row>17</xdr:row>
      <xdr:rowOff>5715</xdr:rowOff>
    </xdr:to>
    <xdr:sp macro="" textlink="">
      <xdr:nvSpPr>
        <xdr:cNvPr id="27905" name="Freeform 179">
          <a:extLst>
            <a:ext uri="{FF2B5EF4-FFF2-40B4-BE49-F238E27FC236}">
              <a16:creationId xmlns:a16="http://schemas.microsoft.com/office/drawing/2014/main" id="{370C0461-5335-58AA-67AF-DFB1FD7CFFC0}"/>
            </a:ext>
          </a:extLst>
        </xdr:cNvPr>
        <xdr:cNvSpPr/>
      </xdr:nvSpPr>
      <xdr:spPr>
        <a:xfrm>
          <a:off x="1535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6" name="Freeform 184">
          <a:extLst>
            <a:ext uri="{FF2B5EF4-FFF2-40B4-BE49-F238E27FC236}">
              <a16:creationId xmlns:a16="http://schemas.microsoft.com/office/drawing/2014/main" id="{819BD8A2-22EC-FB3C-895C-5718743294C9}"/>
            </a:ext>
          </a:extLst>
        </xdr:cNvPr>
        <xdr:cNvSpPr/>
      </xdr:nvSpPr>
      <xdr:spPr>
        <a:xfrm>
          <a:off x="2424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7" name="Freeform 185">
          <a:extLst>
            <a:ext uri="{FF2B5EF4-FFF2-40B4-BE49-F238E27FC236}">
              <a16:creationId xmlns:a16="http://schemas.microsoft.com/office/drawing/2014/main" id="{D616D3E1-FE81-D17C-ADF8-85880BE0680D}"/>
            </a:ext>
          </a:extLst>
        </xdr:cNvPr>
        <xdr:cNvSpPr/>
      </xdr:nvSpPr>
      <xdr:spPr>
        <a:xfrm>
          <a:off x="331851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8" name="Freeform 186">
          <a:extLst>
            <a:ext uri="{FF2B5EF4-FFF2-40B4-BE49-F238E27FC236}">
              <a16:creationId xmlns:a16="http://schemas.microsoft.com/office/drawing/2014/main" id="{0881FFB1-B413-2AE7-E5E3-C1B59AAD4DA0}"/>
            </a:ext>
          </a:extLst>
        </xdr:cNvPr>
        <xdr:cNvSpPr/>
      </xdr:nvSpPr>
      <xdr:spPr>
        <a:xfrm>
          <a:off x="4211320" y="44049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9" name="Freeform 187">
          <a:extLst>
            <a:ext uri="{FF2B5EF4-FFF2-40B4-BE49-F238E27FC236}">
              <a16:creationId xmlns:a16="http://schemas.microsoft.com/office/drawing/2014/main" id="{EB6785C5-5BCE-306B-8E7D-B22FA36BADC8}"/>
            </a:ext>
          </a:extLst>
        </xdr:cNvPr>
        <xdr:cNvSpPr/>
      </xdr:nvSpPr>
      <xdr:spPr>
        <a:xfrm>
          <a:off x="510286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10" name="Freeform 190">
          <a:extLst>
            <a:ext uri="{FF2B5EF4-FFF2-40B4-BE49-F238E27FC236}">
              <a16:creationId xmlns:a16="http://schemas.microsoft.com/office/drawing/2014/main" id="{88218D6A-1C2B-B2BB-BE06-488CB2709576}"/>
            </a:ext>
          </a:extLst>
        </xdr:cNvPr>
        <xdr:cNvSpPr/>
      </xdr:nvSpPr>
      <xdr:spPr>
        <a:xfrm>
          <a:off x="5995035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11" name="Freeform 191">
          <a:extLst>
            <a:ext uri="{FF2B5EF4-FFF2-40B4-BE49-F238E27FC236}">
              <a16:creationId xmlns:a16="http://schemas.microsoft.com/office/drawing/2014/main" id="{8AE07446-BF09-F570-4E5F-0A273E75C1BE}"/>
            </a:ext>
          </a:extLst>
        </xdr:cNvPr>
        <xdr:cNvSpPr/>
      </xdr:nvSpPr>
      <xdr:spPr>
        <a:xfrm>
          <a:off x="688975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2" name="Freeform 458">
          <a:extLst>
            <a:ext uri="{FF2B5EF4-FFF2-40B4-BE49-F238E27FC236}">
              <a16:creationId xmlns:a16="http://schemas.microsoft.com/office/drawing/2014/main" id="{4EDF8C56-41B7-5CFD-48CA-88EFC00B7B36}"/>
            </a:ext>
          </a:extLst>
        </xdr:cNvPr>
        <xdr:cNvSpPr/>
      </xdr:nvSpPr>
      <xdr:spPr>
        <a:xfrm>
          <a:off x="64135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203</xdr:row>
      <xdr:rowOff>0</xdr:rowOff>
    </xdr:from>
    <xdr:to>
      <xdr:col>1</xdr:col>
      <xdr:colOff>281940</xdr:colOff>
      <xdr:row>203</xdr:row>
      <xdr:rowOff>5715</xdr:rowOff>
    </xdr:to>
    <xdr:sp macro="" textlink="">
      <xdr:nvSpPr>
        <xdr:cNvPr id="27913" name="Freeform 459">
          <a:extLst>
            <a:ext uri="{FF2B5EF4-FFF2-40B4-BE49-F238E27FC236}">
              <a16:creationId xmlns:a16="http://schemas.microsoft.com/office/drawing/2014/main" id="{8154C160-9FCC-4599-1F79-99B395AFA7BB}"/>
            </a:ext>
          </a:extLst>
        </xdr:cNvPr>
        <xdr:cNvSpPr/>
      </xdr:nvSpPr>
      <xdr:spPr>
        <a:xfrm>
          <a:off x="1535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4" name="Freeform 464">
          <a:extLst>
            <a:ext uri="{FF2B5EF4-FFF2-40B4-BE49-F238E27FC236}">
              <a16:creationId xmlns:a16="http://schemas.microsoft.com/office/drawing/2014/main" id="{3677B450-5A11-C4F1-73D9-17780DA951DE}"/>
            </a:ext>
          </a:extLst>
        </xdr:cNvPr>
        <xdr:cNvSpPr/>
      </xdr:nvSpPr>
      <xdr:spPr>
        <a:xfrm>
          <a:off x="2424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5" name="Freeform 465">
          <a:extLst>
            <a:ext uri="{FF2B5EF4-FFF2-40B4-BE49-F238E27FC236}">
              <a16:creationId xmlns:a16="http://schemas.microsoft.com/office/drawing/2014/main" id="{2D1F3D7D-D98D-85C5-5F48-43C61342E40C}"/>
            </a:ext>
          </a:extLst>
        </xdr:cNvPr>
        <xdr:cNvSpPr/>
      </xdr:nvSpPr>
      <xdr:spPr>
        <a:xfrm>
          <a:off x="331851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6" name="Freeform 466">
          <a:extLst>
            <a:ext uri="{FF2B5EF4-FFF2-40B4-BE49-F238E27FC236}">
              <a16:creationId xmlns:a16="http://schemas.microsoft.com/office/drawing/2014/main" id="{7B09DA7F-1A11-8106-9CF1-CAD5DDEAE5D2}"/>
            </a:ext>
          </a:extLst>
        </xdr:cNvPr>
        <xdr:cNvSpPr/>
      </xdr:nvSpPr>
      <xdr:spPr>
        <a:xfrm>
          <a:off x="4211955" y="5196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7" name="Freeform 467">
          <a:extLst>
            <a:ext uri="{FF2B5EF4-FFF2-40B4-BE49-F238E27FC236}">
              <a16:creationId xmlns:a16="http://schemas.microsoft.com/office/drawing/2014/main" id="{193BCBE6-40A5-CB77-EDB6-94333E7C1E37}"/>
            </a:ext>
          </a:extLst>
        </xdr:cNvPr>
        <xdr:cNvSpPr/>
      </xdr:nvSpPr>
      <xdr:spPr>
        <a:xfrm>
          <a:off x="5103495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9525</xdr:rowOff>
    </xdr:from>
    <xdr:to>
      <xdr:col>0</xdr:col>
      <xdr:colOff>5715</xdr:colOff>
      <xdr:row>203</xdr:row>
      <xdr:rowOff>15240</xdr:rowOff>
    </xdr:to>
    <xdr:sp macro="" textlink="">
      <xdr:nvSpPr>
        <xdr:cNvPr id="27918" name="Freeform 470">
          <a:extLst>
            <a:ext uri="{FF2B5EF4-FFF2-40B4-BE49-F238E27FC236}">
              <a16:creationId xmlns:a16="http://schemas.microsoft.com/office/drawing/2014/main" id="{48A48908-E343-0F6B-BFE8-CFF1E76BA524}"/>
            </a:ext>
          </a:extLst>
        </xdr:cNvPr>
        <xdr:cNvSpPr/>
      </xdr:nvSpPr>
      <xdr:spPr>
        <a:xfrm>
          <a:off x="5995670" y="5202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9525</xdr:rowOff>
    </xdr:from>
    <xdr:to>
      <xdr:col>1</xdr:col>
      <xdr:colOff>291465</xdr:colOff>
      <xdr:row>203</xdr:row>
      <xdr:rowOff>15240</xdr:rowOff>
    </xdr:to>
    <xdr:sp macro="" textlink="">
      <xdr:nvSpPr>
        <xdr:cNvPr id="27919" name="Freeform 471">
          <a:extLst>
            <a:ext uri="{FF2B5EF4-FFF2-40B4-BE49-F238E27FC236}">
              <a16:creationId xmlns:a16="http://schemas.microsoft.com/office/drawing/2014/main" id="{FCBA1136-A338-FA4D-DC09-26FB61E8CC78}"/>
            </a:ext>
          </a:extLst>
        </xdr:cNvPr>
        <xdr:cNvSpPr/>
      </xdr:nvSpPr>
      <xdr:spPr>
        <a:xfrm>
          <a:off x="6889750" y="52025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0" name="Freeform 318">
          <a:extLst>
            <a:ext uri="{FF2B5EF4-FFF2-40B4-BE49-F238E27FC236}">
              <a16:creationId xmlns:a16="http://schemas.microsoft.com/office/drawing/2014/main" id="{2A2C6CCC-31A7-39F7-8DBD-A50BB59F2550}"/>
            </a:ext>
          </a:extLst>
        </xdr:cNvPr>
        <xdr:cNvSpPr/>
      </xdr:nvSpPr>
      <xdr:spPr>
        <a:xfrm>
          <a:off x="64135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21" name="Freeform 180">
          <a:extLst>
            <a:ext uri="{FF2B5EF4-FFF2-40B4-BE49-F238E27FC236}">
              <a16:creationId xmlns:a16="http://schemas.microsoft.com/office/drawing/2014/main" id="{AD29CBC1-4927-8BCC-279E-9CA3E0D3EF1B}"/>
            </a:ext>
          </a:extLst>
        </xdr:cNvPr>
        <xdr:cNvSpPr/>
      </xdr:nvSpPr>
      <xdr:spPr>
        <a:xfrm>
          <a:off x="641350" y="4892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108</xdr:row>
      <xdr:rowOff>0</xdr:rowOff>
    </xdr:from>
    <xdr:to>
      <xdr:col>1</xdr:col>
      <xdr:colOff>281940</xdr:colOff>
      <xdr:row>108</xdr:row>
      <xdr:rowOff>5715</xdr:rowOff>
    </xdr:to>
    <xdr:sp macro="" textlink="">
      <xdr:nvSpPr>
        <xdr:cNvPr id="27922" name="Freeform 319">
          <a:extLst>
            <a:ext uri="{FF2B5EF4-FFF2-40B4-BE49-F238E27FC236}">
              <a16:creationId xmlns:a16="http://schemas.microsoft.com/office/drawing/2014/main" id="{BA216255-0BC6-C962-93A0-3C24CCB4D5F6}"/>
            </a:ext>
          </a:extLst>
        </xdr:cNvPr>
        <xdr:cNvSpPr/>
      </xdr:nvSpPr>
      <xdr:spPr>
        <a:xfrm>
          <a:off x="1535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</xdr:row>
      <xdr:rowOff>104775</xdr:rowOff>
    </xdr:from>
    <xdr:to>
      <xdr:col>1</xdr:col>
      <xdr:colOff>281940</xdr:colOff>
      <xdr:row>19</xdr:row>
      <xdr:rowOff>110490</xdr:rowOff>
    </xdr:to>
    <xdr:sp macro="" textlink="">
      <xdr:nvSpPr>
        <xdr:cNvPr id="27923" name="Freeform 181">
          <a:extLst>
            <a:ext uri="{FF2B5EF4-FFF2-40B4-BE49-F238E27FC236}">
              <a16:creationId xmlns:a16="http://schemas.microsoft.com/office/drawing/2014/main" id="{4E336C44-9925-6FEE-84C0-D8C61AB1B545}"/>
            </a:ext>
          </a:extLst>
        </xdr:cNvPr>
        <xdr:cNvSpPr/>
      </xdr:nvSpPr>
      <xdr:spPr>
        <a:xfrm>
          <a:off x="153543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24" name="Freeform 192">
          <a:extLst>
            <a:ext uri="{FF2B5EF4-FFF2-40B4-BE49-F238E27FC236}">
              <a16:creationId xmlns:a16="http://schemas.microsoft.com/office/drawing/2014/main" id="{7376481B-6060-5A31-9D5D-B2F4DD432C6D}"/>
            </a:ext>
          </a:extLst>
        </xdr:cNvPr>
        <xdr:cNvSpPr/>
      </xdr:nvSpPr>
      <xdr:spPr>
        <a:xfrm>
          <a:off x="242443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5" name="Freeform 324">
          <a:extLst>
            <a:ext uri="{FF2B5EF4-FFF2-40B4-BE49-F238E27FC236}">
              <a16:creationId xmlns:a16="http://schemas.microsoft.com/office/drawing/2014/main" id="{612999B4-DC8C-DE05-8C7E-907DDE1A9E28}"/>
            </a:ext>
          </a:extLst>
        </xdr:cNvPr>
        <xdr:cNvSpPr/>
      </xdr:nvSpPr>
      <xdr:spPr>
        <a:xfrm>
          <a:off x="2424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26" name="Freeform 460">
          <a:extLst>
            <a:ext uri="{FF2B5EF4-FFF2-40B4-BE49-F238E27FC236}">
              <a16:creationId xmlns:a16="http://schemas.microsoft.com/office/drawing/2014/main" id="{8DB0CD20-885B-5124-CE90-E3DB178BC3A5}"/>
            </a:ext>
          </a:extLst>
        </xdr:cNvPr>
        <xdr:cNvSpPr/>
      </xdr:nvSpPr>
      <xdr:spPr>
        <a:xfrm>
          <a:off x="641350" y="55683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204</xdr:row>
      <xdr:rowOff>180975</xdr:rowOff>
    </xdr:from>
    <xdr:to>
      <xdr:col>1</xdr:col>
      <xdr:colOff>281940</xdr:colOff>
      <xdr:row>204</xdr:row>
      <xdr:rowOff>186690</xdr:rowOff>
    </xdr:to>
    <xdr:sp macro="" textlink="">
      <xdr:nvSpPr>
        <xdr:cNvPr id="27927" name="Freeform 461">
          <a:extLst>
            <a:ext uri="{FF2B5EF4-FFF2-40B4-BE49-F238E27FC236}">
              <a16:creationId xmlns:a16="http://schemas.microsoft.com/office/drawing/2014/main" id="{37B7BAAA-E9C8-7CB0-DA44-D0644FC80FD5}"/>
            </a:ext>
          </a:extLst>
        </xdr:cNvPr>
        <xdr:cNvSpPr/>
      </xdr:nvSpPr>
      <xdr:spPr>
        <a:xfrm>
          <a:off x="1535430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28" name="Freeform 193">
          <a:extLst>
            <a:ext uri="{FF2B5EF4-FFF2-40B4-BE49-F238E27FC236}">
              <a16:creationId xmlns:a16="http://schemas.microsoft.com/office/drawing/2014/main" id="{64B8A3DC-CBE1-1212-C09C-0BC33848F875}"/>
            </a:ext>
          </a:extLst>
        </xdr:cNvPr>
        <xdr:cNvSpPr/>
      </xdr:nvSpPr>
      <xdr:spPr>
        <a:xfrm>
          <a:off x="3318510" y="4886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29" name="Freeform 325">
          <a:extLst>
            <a:ext uri="{FF2B5EF4-FFF2-40B4-BE49-F238E27FC236}">
              <a16:creationId xmlns:a16="http://schemas.microsoft.com/office/drawing/2014/main" id="{0D303056-7D14-64C3-2DAB-A1AE7D0E645E}"/>
            </a:ext>
          </a:extLst>
        </xdr:cNvPr>
        <xdr:cNvSpPr/>
      </xdr:nvSpPr>
      <xdr:spPr>
        <a:xfrm>
          <a:off x="331851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0</xdr:rowOff>
    </xdr:from>
    <xdr:to>
      <xdr:col>0</xdr:col>
      <xdr:colOff>5715</xdr:colOff>
      <xdr:row>205</xdr:row>
      <xdr:rowOff>5715</xdr:rowOff>
    </xdr:to>
    <xdr:sp macro="" textlink="">
      <xdr:nvSpPr>
        <xdr:cNvPr id="27930" name="Freeform 472">
          <a:extLst>
            <a:ext uri="{FF2B5EF4-FFF2-40B4-BE49-F238E27FC236}">
              <a16:creationId xmlns:a16="http://schemas.microsoft.com/office/drawing/2014/main" id="{DCB0EC90-948A-04CE-E560-6330ED4742F1}"/>
            </a:ext>
          </a:extLst>
        </xdr:cNvPr>
        <xdr:cNvSpPr/>
      </xdr:nvSpPr>
      <xdr:spPr>
        <a:xfrm>
          <a:off x="2424430" y="55619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31" name="Freeform 194">
          <a:extLst>
            <a:ext uri="{FF2B5EF4-FFF2-40B4-BE49-F238E27FC236}">
              <a16:creationId xmlns:a16="http://schemas.microsoft.com/office/drawing/2014/main" id="{1C78EBE4-CAFF-7ACE-7A43-9683DE24F847}"/>
            </a:ext>
          </a:extLst>
        </xdr:cNvPr>
        <xdr:cNvSpPr/>
      </xdr:nvSpPr>
      <xdr:spPr>
        <a:xfrm>
          <a:off x="4211320" y="48863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2" name="Freeform 326">
          <a:extLst>
            <a:ext uri="{FF2B5EF4-FFF2-40B4-BE49-F238E27FC236}">
              <a16:creationId xmlns:a16="http://schemas.microsoft.com/office/drawing/2014/main" id="{B1B62696-7D49-929B-244A-E572A94052DD}"/>
            </a:ext>
          </a:extLst>
        </xdr:cNvPr>
        <xdr:cNvSpPr/>
      </xdr:nvSpPr>
      <xdr:spPr>
        <a:xfrm>
          <a:off x="4211955" y="556577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3" name="Freeform 473">
          <a:extLst>
            <a:ext uri="{FF2B5EF4-FFF2-40B4-BE49-F238E27FC236}">
              <a16:creationId xmlns:a16="http://schemas.microsoft.com/office/drawing/2014/main" id="{443EE847-4D6C-FA59-23E8-EF6CEE48644B}"/>
            </a:ext>
          </a:extLst>
        </xdr:cNvPr>
        <xdr:cNvSpPr/>
      </xdr:nvSpPr>
      <xdr:spPr>
        <a:xfrm>
          <a:off x="3318510" y="55619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34" name="Freeform 188">
          <a:extLst>
            <a:ext uri="{FF2B5EF4-FFF2-40B4-BE49-F238E27FC236}">
              <a16:creationId xmlns:a16="http://schemas.microsoft.com/office/drawing/2014/main" id="{7CC38007-0E52-696D-E39A-F79DCE793670}"/>
            </a:ext>
          </a:extLst>
        </xdr:cNvPr>
        <xdr:cNvSpPr/>
      </xdr:nvSpPr>
      <xdr:spPr>
        <a:xfrm>
          <a:off x="510159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5" name="Freeform 327">
          <a:extLst>
            <a:ext uri="{FF2B5EF4-FFF2-40B4-BE49-F238E27FC236}">
              <a16:creationId xmlns:a16="http://schemas.microsoft.com/office/drawing/2014/main" id="{9EA00F29-6E79-BC65-C3E1-E125683208A5}"/>
            </a:ext>
          </a:extLst>
        </xdr:cNvPr>
        <xdr:cNvSpPr/>
      </xdr:nvSpPr>
      <xdr:spPr>
        <a:xfrm>
          <a:off x="5103495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6" name="Freeform 474">
          <a:extLst>
            <a:ext uri="{FF2B5EF4-FFF2-40B4-BE49-F238E27FC236}">
              <a16:creationId xmlns:a16="http://schemas.microsoft.com/office/drawing/2014/main" id="{7D99011C-37E7-3B66-8F6C-4EE04F451B62}"/>
            </a:ext>
          </a:extLst>
        </xdr:cNvPr>
        <xdr:cNvSpPr/>
      </xdr:nvSpPr>
      <xdr:spPr>
        <a:xfrm>
          <a:off x="4211955" y="55619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37" name="Freeform 195">
          <a:extLst>
            <a:ext uri="{FF2B5EF4-FFF2-40B4-BE49-F238E27FC236}">
              <a16:creationId xmlns:a16="http://schemas.microsoft.com/office/drawing/2014/main" id="{AA329409-417E-4C08-4978-29976CAA2BF3}"/>
            </a:ext>
          </a:extLst>
        </xdr:cNvPr>
        <xdr:cNvSpPr/>
      </xdr:nvSpPr>
      <xdr:spPr>
        <a:xfrm>
          <a:off x="5995035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9525</xdr:rowOff>
    </xdr:from>
    <xdr:to>
      <xdr:col>0</xdr:col>
      <xdr:colOff>5715</xdr:colOff>
      <xdr:row>108</xdr:row>
      <xdr:rowOff>15240</xdr:rowOff>
    </xdr:to>
    <xdr:sp macro="" textlink="">
      <xdr:nvSpPr>
        <xdr:cNvPr id="27938" name="Freeform 330">
          <a:extLst>
            <a:ext uri="{FF2B5EF4-FFF2-40B4-BE49-F238E27FC236}">
              <a16:creationId xmlns:a16="http://schemas.microsoft.com/office/drawing/2014/main" id="{5A9D39CB-4700-66B5-3B84-7C607B7BD1C7}"/>
            </a:ext>
          </a:extLst>
        </xdr:cNvPr>
        <xdr:cNvSpPr/>
      </xdr:nvSpPr>
      <xdr:spPr>
        <a:xfrm>
          <a:off x="5995670" y="557149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39" name="Freeform 468">
          <a:extLst>
            <a:ext uri="{FF2B5EF4-FFF2-40B4-BE49-F238E27FC236}">
              <a16:creationId xmlns:a16="http://schemas.microsoft.com/office/drawing/2014/main" id="{FE58FC91-7A47-4ABE-E9AF-3C1AFD000995}"/>
            </a:ext>
          </a:extLst>
        </xdr:cNvPr>
        <xdr:cNvSpPr/>
      </xdr:nvSpPr>
      <xdr:spPr>
        <a:xfrm>
          <a:off x="5102225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40" name="Freeform 196">
          <a:extLst>
            <a:ext uri="{FF2B5EF4-FFF2-40B4-BE49-F238E27FC236}">
              <a16:creationId xmlns:a16="http://schemas.microsoft.com/office/drawing/2014/main" id="{11DBF19C-0F86-2AE1-7944-F2DA9F1A22F0}"/>
            </a:ext>
          </a:extLst>
        </xdr:cNvPr>
        <xdr:cNvSpPr/>
      </xdr:nvSpPr>
      <xdr:spPr>
        <a:xfrm>
          <a:off x="688975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9525</xdr:rowOff>
    </xdr:from>
    <xdr:to>
      <xdr:col>0</xdr:col>
      <xdr:colOff>5715</xdr:colOff>
      <xdr:row>205</xdr:row>
      <xdr:rowOff>15240</xdr:rowOff>
    </xdr:to>
    <xdr:sp macro="" textlink="">
      <xdr:nvSpPr>
        <xdr:cNvPr id="27941" name="Freeform 475">
          <a:extLst>
            <a:ext uri="{FF2B5EF4-FFF2-40B4-BE49-F238E27FC236}">
              <a16:creationId xmlns:a16="http://schemas.microsoft.com/office/drawing/2014/main" id="{7D7A30A9-09C7-AC89-4413-470A73D5AD5C}"/>
            </a:ext>
          </a:extLst>
        </xdr:cNvPr>
        <xdr:cNvSpPr/>
      </xdr:nvSpPr>
      <xdr:spPr>
        <a:xfrm>
          <a:off x="5995670" y="55670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9525</xdr:rowOff>
    </xdr:from>
    <xdr:to>
      <xdr:col>1</xdr:col>
      <xdr:colOff>291465</xdr:colOff>
      <xdr:row>108</xdr:row>
      <xdr:rowOff>15240</xdr:rowOff>
    </xdr:to>
    <xdr:sp macro="" textlink="">
      <xdr:nvSpPr>
        <xdr:cNvPr id="27942" name="Freeform 331">
          <a:extLst>
            <a:ext uri="{FF2B5EF4-FFF2-40B4-BE49-F238E27FC236}">
              <a16:creationId xmlns:a16="http://schemas.microsoft.com/office/drawing/2014/main" id="{8CD4B4CA-A591-C66A-F26E-CD24CBD1EFCE}"/>
            </a:ext>
          </a:extLst>
        </xdr:cNvPr>
        <xdr:cNvSpPr/>
      </xdr:nvSpPr>
      <xdr:spPr>
        <a:xfrm>
          <a:off x="6889750" y="557149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9525</xdr:rowOff>
    </xdr:from>
    <xdr:to>
      <xdr:col>1</xdr:col>
      <xdr:colOff>291465</xdr:colOff>
      <xdr:row>205</xdr:row>
      <xdr:rowOff>15240</xdr:rowOff>
    </xdr:to>
    <xdr:sp macro="" textlink="">
      <xdr:nvSpPr>
        <xdr:cNvPr id="27943" name="Freeform 476">
          <a:extLst>
            <a:ext uri="{FF2B5EF4-FFF2-40B4-BE49-F238E27FC236}">
              <a16:creationId xmlns:a16="http://schemas.microsoft.com/office/drawing/2014/main" id="{776B8EC2-A6B9-9126-1BEC-F26D82D86C96}"/>
            </a:ext>
          </a:extLst>
        </xdr:cNvPr>
        <xdr:cNvSpPr/>
      </xdr:nvSpPr>
      <xdr:spPr>
        <a:xfrm>
          <a:off x="6889750" y="55670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4" name="Freeform 462">
          <a:extLst>
            <a:ext uri="{FF2B5EF4-FFF2-40B4-BE49-F238E27FC236}">
              <a16:creationId xmlns:a16="http://schemas.microsoft.com/office/drawing/2014/main" id="{6F5B470F-B33D-3618-5384-3592D852F24E}"/>
            </a:ext>
          </a:extLst>
        </xdr:cNvPr>
        <xdr:cNvSpPr/>
      </xdr:nvSpPr>
      <xdr:spPr>
        <a:xfrm>
          <a:off x="641350" y="5940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206</xdr:row>
      <xdr:rowOff>171450</xdr:rowOff>
    </xdr:from>
    <xdr:to>
      <xdr:col>1</xdr:col>
      <xdr:colOff>281940</xdr:colOff>
      <xdr:row>206</xdr:row>
      <xdr:rowOff>177165</xdr:rowOff>
    </xdr:to>
    <xdr:sp macro="" textlink="">
      <xdr:nvSpPr>
        <xdr:cNvPr id="27945" name="Freeform 463">
          <a:extLst>
            <a:ext uri="{FF2B5EF4-FFF2-40B4-BE49-F238E27FC236}">
              <a16:creationId xmlns:a16="http://schemas.microsoft.com/office/drawing/2014/main" id="{8F69E923-1AF3-E5E1-B974-6E263A759148}"/>
            </a:ext>
          </a:extLst>
        </xdr:cNvPr>
        <xdr:cNvSpPr/>
      </xdr:nvSpPr>
      <xdr:spPr>
        <a:xfrm>
          <a:off x="1535430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0</xdr:rowOff>
    </xdr:from>
    <xdr:to>
      <xdr:col>0</xdr:col>
      <xdr:colOff>5715</xdr:colOff>
      <xdr:row>207</xdr:row>
      <xdr:rowOff>5715</xdr:rowOff>
    </xdr:to>
    <xdr:sp macro="" textlink="">
      <xdr:nvSpPr>
        <xdr:cNvPr id="27946" name="Freeform 477">
          <a:extLst>
            <a:ext uri="{FF2B5EF4-FFF2-40B4-BE49-F238E27FC236}">
              <a16:creationId xmlns:a16="http://schemas.microsoft.com/office/drawing/2014/main" id="{002605C8-B676-7B8D-9690-4CB08E329B1E}"/>
            </a:ext>
          </a:extLst>
        </xdr:cNvPr>
        <xdr:cNvSpPr/>
      </xdr:nvSpPr>
      <xdr:spPr>
        <a:xfrm>
          <a:off x="2424430" y="59334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7" name="Freeform 478">
          <a:extLst>
            <a:ext uri="{FF2B5EF4-FFF2-40B4-BE49-F238E27FC236}">
              <a16:creationId xmlns:a16="http://schemas.microsoft.com/office/drawing/2014/main" id="{4ABBAFA8-BACA-8082-D0F0-42C9650DEED4}"/>
            </a:ext>
          </a:extLst>
        </xdr:cNvPr>
        <xdr:cNvSpPr/>
      </xdr:nvSpPr>
      <xdr:spPr>
        <a:xfrm>
          <a:off x="3318510" y="59334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8" name="Freeform 479">
          <a:extLst>
            <a:ext uri="{FF2B5EF4-FFF2-40B4-BE49-F238E27FC236}">
              <a16:creationId xmlns:a16="http://schemas.microsoft.com/office/drawing/2014/main" id="{7FDA2DE0-556C-B807-9207-1350BFA4611E}"/>
            </a:ext>
          </a:extLst>
        </xdr:cNvPr>
        <xdr:cNvSpPr/>
      </xdr:nvSpPr>
      <xdr:spPr>
        <a:xfrm>
          <a:off x="4211955" y="59334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9" name="Freeform 469">
          <a:extLst>
            <a:ext uri="{FF2B5EF4-FFF2-40B4-BE49-F238E27FC236}">
              <a16:creationId xmlns:a16="http://schemas.microsoft.com/office/drawing/2014/main" id="{EC5D08AC-9AB2-0A73-454D-41A55AAA0B69}"/>
            </a:ext>
          </a:extLst>
        </xdr:cNvPr>
        <xdr:cNvSpPr/>
      </xdr:nvSpPr>
      <xdr:spPr>
        <a:xfrm>
          <a:off x="5102225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9525</xdr:rowOff>
    </xdr:from>
    <xdr:to>
      <xdr:col>0</xdr:col>
      <xdr:colOff>5715</xdr:colOff>
      <xdr:row>207</xdr:row>
      <xdr:rowOff>15240</xdr:rowOff>
    </xdr:to>
    <xdr:sp macro="" textlink="">
      <xdr:nvSpPr>
        <xdr:cNvPr id="27950" name="Freeform 480">
          <a:extLst>
            <a:ext uri="{FF2B5EF4-FFF2-40B4-BE49-F238E27FC236}">
              <a16:creationId xmlns:a16="http://schemas.microsoft.com/office/drawing/2014/main" id="{7387BB96-B18D-2850-8272-AB14702EA9C0}"/>
            </a:ext>
          </a:extLst>
        </xdr:cNvPr>
        <xdr:cNvSpPr/>
      </xdr:nvSpPr>
      <xdr:spPr>
        <a:xfrm>
          <a:off x="5995670" y="59391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51" name="Freeform 320">
          <a:extLst>
            <a:ext uri="{FF2B5EF4-FFF2-40B4-BE49-F238E27FC236}">
              <a16:creationId xmlns:a16="http://schemas.microsoft.com/office/drawing/2014/main" id="{59BD1E82-CFC1-4357-B70E-769CBD32E720}"/>
            </a:ext>
          </a:extLst>
        </xdr:cNvPr>
        <xdr:cNvSpPr/>
      </xdr:nvSpPr>
      <xdr:spPr>
        <a:xfrm>
          <a:off x="641350" y="6120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9525</xdr:rowOff>
    </xdr:from>
    <xdr:to>
      <xdr:col>1</xdr:col>
      <xdr:colOff>291465</xdr:colOff>
      <xdr:row>207</xdr:row>
      <xdr:rowOff>15240</xdr:rowOff>
    </xdr:to>
    <xdr:sp macro="" textlink="">
      <xdr:nvSpPr>
        <xdr:cNvPr id="27952" name="Freeform 481">
          <a:extLst>
            <a:ext uri="{FF2B5EF4-FFF2-40B4-BE49-F238E27FC236}">
              <a16:creationId xmlns:a16="http://schemas.microsoft.com/office/drawing/2014/main" id="{CAF9F58E-D142-0DA5-EE37-A772317A1F62}"/>
            </a:ext>
          </a:extLst>
        </xdr:cNvPr>
        <xdr:cNvSpPr/>
      </xdr:nvSpPr>
      <xdr:spPr>
        <a:xfrm>
          <a:off x="6889750" y="59391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110</xdr:row>
      <xdr:rowOff>171450</xdr:rowOff>
    </xdr:from>
    <xdr:to>
      <xdr:col>1</xdr:col>
      <xdr:colOff>281940</xdr:colOff>
      <xdr:row>110</xdr:row>
      <xdr:rowOff>177165</xdr:rowOff>
    </xdr:to>
    <xdr:sp macro="" textlink="">
      <xdr:nvSpPr>
        <xdr:cNvPr id="27953" name="Freeform 321">
          <a:extLst>
            <a:ext uri="{FF2B5EF4-FFF2-40B4-BE49-F238E27FC236}">
              <a16:creationId xmlns:a16="http://schemas.microsoft.com/office/drawing/2014/main" id="{A37FB891-2025-02BB-9F8E-D9F5EB9ADCC4}"/>
            </a:ext>
          </a:extLst>
        </xdr:cNvPr>
        <xdr:cNvSpPr/>
      </xdr:nvSpPr>
      <xdr:spPr>
        <a:xfrm>
          <a:off x="1535430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54" name="Freeform 182">
          <a:extLst>
            <a:ext uri="{FF2B5EF4-FFF2-40B4-BE49-F238E27FC236}">
              <a16:creationId xmlns:a16="http://schemas.microsoft.com/office/drawing/2014/main" id="{A07FF332-6079-E527-E78D-BF7D0BDA45EB}"/>
            </a:ext>
          </a:extLst>
        </xdr:cNvPr>
        <xdr:cNvSpPr/>
      </xdr:nvSpPr>
      <xdr:spPr>
        <a:xfrm>
          <a:off x="641350" y="5380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0</xdr:rowOff>
    </xdr:from>
    <xdr:to>
      <xdr:col>0</xdr:col>
      <xdr:colOff>5715</xdr:colOff>
      <xdr:row>111</xdr:row>
      <xdr:rowOff>5715</xdr:rowOff>
    </xdr:to>
    <xdr:sp macro="" textlink="">
      <xdr:nvSpPr>
        <xdr:cNvPr id="27955" name="Freeform 332">
          <a:extLst>
            <a:ext uri="{FF2B5EF4-FFF2-40B4-BE49-F238E27FC236}">
              <a16:creationId xmlns:a16="http://schemas.microsoft.com/office/drawing/2014/main" id="{46439A2A-A6ED-6E9F-9C61-E83CB40AFF90}"/>
            </a:ext>
          </a:extLst>
        </xdr:cNvPr>
        <xdr:cNvSpPr/>
      </xdr:nvSpPr>
      <xdr:spPr>
        <a:xfrm>
          <a:off x="2424430" y="6113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19050</xdr:rowOff>
    </xdr:from>
    <xdr:to>
      <xdr:col>1</xdr:col>
      <xdr:colOff>281940</xdr:colOff>
      <xdr:row>22</xdr:row>
      <xdr:rowOff>24765</xdr:rowOff>
    </xdr:to>
    <xdr:sp macro="" textlink="">
      <xdr:nvSpPr>
        <xdr:cNvPr id="27956" name="Freeform 183">
          <a:extLst>
            <a:ext uri="{FF2B5EF4-FFF2-40B4-BE49-F238E27FC236}">
              <a16:creationId xmlns:a16="http://schemas.microsoft.com/office/drawing/2014/main" id="{571E7B92-69AF-C6CE-6C10-C1DF87A2F5DC}"/>
            </a:ext>
          </a:extLst>
        </xdr:cNvPr>
        <xdr:cNvSpPr/>
      </xdr:nvSpPr>
      <xdr:spPr>
        <a:xfrm>
          <a:off x="153543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57" name="Freeform 197">
          <a:extLst>
            <a:ext uri="{FF2B5EF4-FFF2-40B4-BE49-F238E27FC236}">
              <a16:creationId xmlns:a16="http://schemas.microsoft.com/office/drawing/2014/main" id="{FEFD76C8-9F94-5828-A06E-81B805AC3A62}"/>
            </a:ext>
          </a:extLst>
        </xdr:cNvPr>
        <xdr:cNvSpPr/>
      </xdr:nvSpPr>
      <xdr:spPr>
        <a:xfrm>
          <a:off x="242443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58" name="Freeform 333">
          <a:extLst>
            <a:ext uri="{FF2B5EF4-FFF2-40B4-BE49-F238E27FC236}">
              <a16:creationId xmlns:a16="http://schemas.microsoft.com/office/drawing/2014/main" id="{05A53A0B-A39A-7AA3-074F-0AC2F399A074}"/>
            </a:ext>
          </a:extLst>
        </xdr:cNvPr>
        <xdr:cNvSpPr/>
      </xdr:nvSpPr>
      <xdr:spPr>
        <a:xfrm>
          <a:off x="3318510" y="6113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59" name="Freeform 198">
          <a:extLst>
            <a:ext uri="{FF2B5EF4-FFF2-40B4-BE49-F238E27FC236}">
              <a16:creationId xmlns:a16="http://schemas.microsoft.com/office/drawing/2014/main" id="{8866DB45-F476-76D8-95F0-8BAA91C6DE82}"/>
            </a:ext>
          </a:extLst>
        </xdr:cNvPr>
        <xdr:cNvSpPr/>
      </xdr:nvSpPr>
      <xdr:spPr>
        <a:xfrm>
          <a:off x="3318510" y="53733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60" name="Freeform 334">
          <a:extLst>
            <a:ext uri="{FF2B5EF4-FFF2-40B4-BE49-F238E27FC236}">
              <a16:creationId xmlns:a16="http://schemas.microsoft.com/office/drawing/2014/main" id="{6FEAAD4C-7370-C928-D97C-31393F85DAD2}"/>
            </a:ext>
          </a:extLst>
        </xdr:cNvPr>
        <xdr:cNvSpPr/>
      </xdr:nvSpPr>
      <xdr:spPr>
        <a:xfrm>
          <a:off x="4211955" y="6113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1" name="Freeform 199">
          <a:extLst>
            <a:ext uri="{FF2B5EF4-FFF2-40B4-BE49-F238E27FC236}">
              <a16:creationId xmlns:a16="http://schemas.microsoft.com/office/drawing/2014/main" id="{576D2196-8539-E4CA-A8C1-56A60841C885}"/>
            </a:ext>
          </a:extLst>
        </xdr:cNvPr>
        <xdr:cNvSpPr/>
      </xdr:nvSpPr>
      <xdr:spPr>
        <a:xfrm>
          <a:off x="4211320" y="537337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62" name="Freeform 328">
          <a:extLst>
            <a:ext uri="{FF2B5EF4-FFF2-40B4-BE49-F238E27FC236}">
              <a16:creationId xmlns:a16="http://schemas.microsoft.com/office/drawing/2014/main" id="{6AA6F08F-0240-FB44-D46B-A00AF654D2D9}"/>
            </a:ext>
          </a:extLst>
        </xdr:cNvPr>
        <xdr:cNvSpPr/>
      </xdr:nvSpPr>
      <xdr:spPr>
        <a:xfrm>
          <a:off x="5102225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9525</xdr:rowOff>
    </xdr:from>
    <xdr:to>
      <xdr:col>0</xdr:col>
      <xdr:colOff>5715</xdr:colOff>
      <xdr:row>111</xdr:row>
      <xdr:rowOff>15240</xdr:rowOff>
    </xdr:to>
    <xdr:sp macro="" textlink="">
      <xdr:nvSpPr>
        <xdr:cNvPr id="27963" name="Freeform 335">
          <a:extLst>
            <a:ext uri="{FF2B5EF4-FFF2-40B4-BE49-F238E27FC236}">
              <a16:creationId xmlns:a16="http://schemas.microsoft.com/office/drawing/2014/main" id="{3104B5D6-0472-EC36-A813-84ACDC41523C}"/>
            </a:ext>
          </a:extLst>
        </xdr:cNvPr>
        <xdr:cNvSpPr/>
      </xdr:nvSpPr>
      <xdr:spPr>
        <a:xfrm>
          <a:off x="5995670" y="6118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64" name="Freeform 189">
          <a:extLst>
            <a:ext uri="{FF2B5EF4-FFF2-40B4-BE49-F238E27FC236}">
              <a16:creationId xmlns:a16="http://schemas.microsoft.com/office/drawing/2014/main" id="{D337F921-2AAA-5CAB-89EB-D9A1BB142A8C}"/>
            </a:ext>
          </a:extLst>
        </xdr:cNvPr>
        <xdr:cNvSpPr/>
      </xdr:nvSpPr>
      <xdr:spPr>
        <a:xfrm>
          <a:off x="510159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65" name="Freeform 200">
          <a:extLst>
            <a:ext uri="{FF2B5EF4-FFF2-40B4-BE49-F238E27FC236}">
              <a16:creationId xmlns:a16="http://schemas.microsoft.com/office/drawing/2014/main" id="{95CCE692-E8A7-36C4-9287-CB0A3FF548EE}"/>
            </a:ext>
          </a:extLst>
        </xdr:cNvPr>
        <xdr:cNvSpPr/>
      </xdr:nvSpPr>
      <xdr:spPr>
        <a:xfrm>
          <a:off x="5995035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9525</xdr:rowOff>
    </xdr:from>
    <xdr:to>
      <xdr:col>1</xdr:col>
      <xdr:colOff>291465</xdr:colOff>
      <xdr:row>111</xdr:row>
      <xdr:rowOff>15240</xdr:rowOff>
    </xdr:to>
    <xdr:sp macro="" textlink="">
      <xdr:nvSpPr>
        <xdr:cNvPr id="27966" name="Freeform 336">
          <a:extLst>
            <a:ext uri="{FF2B5EF4-FFF2-40B4-BE49-F238E27FC236}">
              <a16:creationId xmlns:a16="http://schemas.microsoft.com/office/drawing/2014/main" id="{66DEDEFB-CF3C-AE01-1050-870F018A06DD}"/>
            </a:ext>
          </a:extLst>
        </xdr:cNvPr>
        <xdr:cNvSpPr/>
      </xdr:nvSpPr>
      <xdr:spPr>
        <a:xfrm>
          <a:off x="6889750" y="6118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7" name="Freeform 201">
          <a:extLst>
            <a:ext uri="{FF2B5EF4-FFF2-40B4-BE49-F238E27FC236}">
              <a16:creationId xmlns:a16="http://schemas.microsoft.com/office/drawing/2014/main" id="{B0A8F751-5701-87F9-EDA6-60224CCED295}"/>
            </a:ext>
          </a:extLst>
        </xdr:cNvPr>
        <xdr:cNvSpPr/>
      </xdr:nvSpPr>
      <xdr:spPr>
        <a:xfrm>
          <a:off x="688975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68" name="Freeform 322">
          <a:extLst>
            <a:ext uri="{FF2B5EF4-FFF2-40B4-BE49-F238E27FC236}">
              <a16:creationId xmlns:a16="http://schemas.microsoft.com/office/drawing/2014/main" id="{02EAE17C-816E-E5BC-8425-93F6A70B0C9D}"/>
            </a:ext>
          </a:extLst>
        </xdr:cNvPr>
        <xdr:cNvSpPr/>
      </xdr:nvSpPr>
      <xdr:spPr>
        <a:xfrm>
          <a:off x="641350" y="6675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113</xdr:row>
      <xdr:rowOff>152400</xdr:rowOff>
    </xdr:from>
    <xdr:to>
      <xdr:col>1</xdr:col>
      <xdr:colOff>281940</xdr:colOff>
      <xdr:row>113</xdr:row>
      <xdr:rowOff>158115</xdr:rowOff>
    </xdr:to>
    <xdr:sp macro="" textlink="">
      <xdr:nvSpPr>
        <xdr:cNvPr id="27969" name="Freeform 323">
          <a:extLst>
            <a:ext uri="{FF2B5EF4-FFF2-40B4-BE49-F238E27FC236}">
              <a16:creationId xmlns:a16="http://schemas.microsoft.com/office/drawing/2014/main" id="{0238361C-A49C-9AE7-4B99-BADCB42EA552}"/>
            </a:ext>
          </a:extLst>
        </xdr:cNvPr>
        <xdr:cNvSpPr/>
      </xdr:nvSpPr>
      <xdr:spPr>
        <a:xfrm>
          <a:off x="1535430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0</xdr:rowOff>
    </xdr:from>
    <xdr:to>
      <xdr:col>0</xdr:col>
      <xdr:colOff>5715</xdr:colOff>
      <xdr:row>113</xdr:row>
      <xdr:rowOff>5715</xdr:rowOff>
    </xdr:to>
    <xdr:sp macro="" textlink="">
      <xdr:nvSpPr>
        <xdr:cNvPr id="27970" name="Freeform 337">
          <a:extLst>
            <a:ext uri="{FF2B5EF4-FFF2-40B4-BE49-F238E27FC236}">
              <a16:creationId xmlns:a16="http://schemas.microsoft.com/office/drawing/2014/main" id="{5C56DEA0-B9D6-ABFF-7AB3-7272D498CD6C}"/>
            </a:ext>
          </a:extLst>
        </xdr:cNvPr>
        <xdr:cNvSpPr/>
      </xdr:nvSpPr>
      <xdr:spPr>
        <a:xfrm>
          <a:off x="2424430" y="6668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1" name="Freeform 338">
          <a:extLst>
            <a:ext uri="{FF2B5EF4-FFF2-40B4-BE49-F238E27FC236}">
              <a16:creationId xmlns:a16="http://schemas.microsoft.com/office/drawing/2014/main" id="{44394090-3A07-0805-EBA4-17FBDF5AE4C1}"/>
            </a:ext>
          </a:extLst>
        </xdr:cNvPr>
        <xdr:cNvSpPr/>
      </xdr:nvSpPr>
      <xdr:spPr>
        <a:xfrm>
          <a:off x="3318510" y="6668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2" name="Freeform 339">
          <a:extLst>
            <a:ext uri="{FF2B5EF4-FFF2-40B4-BE49-F238E27FC236}">
              <a16:creationId xmlns:a16="http://schemas.microsoft.com/office/drawing/2014/main" id="{A87F8561-3A08-AEC1-414B-2503263433EC}"/>
            </a:ext>
          </a:extLst>
        </xdr:cNvPr>
        <xdr:cNvSpPr/>
      </xdr:nvSpPr>
      <xdr:spPr>
        <a:xfrm>
          <a:off x="4211955" y="6668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3" name="Freeform 482">
          <a:extLst>
            <a:ext uri="{FF2B5EF4-FFF2-40B4-BE49-F238E27FC236}">
              <a16:creationId xmlns:a16="http://schemas.microsoft.com/office/drawing/2014/main" id="{898CE818-9EC1-F8AE-E13B-8AE14B05544B}"/>
            </a:ext>
          </a:extLst>
        </xdr:cNvPr>
        <xdr:cNvSpPr/>
      </xdr:nvSpPr>
      <xdr:spPr>
        <a:xfrm>
          <a:off x="64135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74" name="Freeform 329">
          <a:extLst>
            <a:ext uri="{FF2B5EF4-FFF2-40B4-BE49-F238E27FC236}">
              <a16:creationId xmlns:a16="http://schemas.microsoft.com/office/drawing/2014/main" id="{413A9CA6-768E-7C9D-68A3-3F179CF2119E}"/>
            </a:ext>
          </a:extLst>
        </xdr:cNvPr>
        <xdr:cNvSpPr/>
      </xdr:nvSpPr>
      <xdr:spPr>
        <a:xfrm>
          <a:off x="5102225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9525</xdr:rowOff>
    </xdr:from>
    <xdr:to>
      <xdr:col>0</xdr:col>
      <xdr:colOff>5715</xdr:colOff>
      <xdr:row>113</xdr:row>
      <xdr:rowOff>15240</xdr:rowOff>
    </xdr:to>
    <xdr:sp macro="" textlink="">
      <xdr:nvSpPr>
        <xdr:cNvPr id="27975" name="Freeform 340">
          <a:extLst>
            <a:ext uri="{FF2B5EF4-FFF2-40B4-BE49-F238E27FC236}">
              <a16:creationId xmlns:a16="http://schemas.microsoft.com/office/drawing/2014/main" id="{23606823-5844-02AC-60E4-E600B1E464F6}"/>
            </a:ext>
          </a:extLst>
        </xdr:cNvPr>
        <xdr:cNvSpPr/>
      </xdr:nvSpPr>
      <xdr:spPr>
        <a:xfrm>
          <a:off x="5995670" y="6673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209</xdr:row>
      <xdr:rowOff>0</xdr:rowOff>
    </xdr:from>
    <xdr:to>
      <xdr:col>1</xdr:col>
      <xdr:colOff>281940</xdr:colOff>
      <xdr:row>209</xdr:row>
      <xdr:rowOff>5715</xdr:rowOff>
    </xdr:to>
    <xdr:sp macro="" textlink="">
      <xdr:nvSpPr>
        <xdr:cNvPr id="27976" name="Freeform 483">
          <a:extLst>
            <a:ext uri="{FF2B5EF4-FFF2-40B4-BE49-F238E27FC236}">
              <a16:creationId xmlns:a16="http://schemas.microsoft.com/office/drawing/2014/main" id="{B831B72B-E51D-AC59-8D98-79F23FC1ECAC}"/>
            </a:ext>
          </a:extLst>
        </xdr:cNvPr>
        <xdr:cNvSpPr/>
      </xdr:nvSpPr>
      <xdr:spPr>
        <a:xfrm>
          <a:off x="1535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9525</xdr:rowOff>
    </xdr:from>
    <xdr:to>
      <xdr:col>1</xdr:col>
      <xdr:colOff>291465</xdr:colOff>
      <xdr:row>113</xdr:row>
      <xdr:rowOff>15240</xdr:rowOff>
    </xdr:to>
    <xdr:sp macro="" textlink="">
      <xdr:nvSpPr>
        <xdr:cNvPr id="27977" name="Freeform 341">
          <a:extLst>
            <a:ext uri="{FF2B5EF4-FFF2-40B4-BE49-F238E27FC236}">
              <a16:creationId xmlns:a16="http://schemas.microsoft.com/office/drawing/2014/main" id="{27E9B3C1-1433-8727-2E07-A2199299DD46}"/>
            </a:ext>
          </a:extLst>
        </xdr:cNvPr>
        <xdr:cNvSpPr/>
      </xdr:nvSpPr>
      <xdr:spPr>
        <a:xfrm>
          <a:off x="6889750" y="6673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8" name="Freeform 488">
          <a:extLst>
            <a:ext uri="{FF2B5EF4-FFF2-40B4-BE49-F238E27FC236}">
              <a16:creationId xmlns:a16="http://schemas.microsoft.com/office/drawing/2014/main" id="{6BC6231E-FA40-B7BF-03B3-98B125BE6F06}"/>
            </a:ext>
          </a:extLst>
        </xdr:cNvPr>
        <xdr:cNvSpPr/>
      </xdr:nvSpPr>
      <xdr:spPr>
        <a:xfrm>
          <a:off x="2424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79" name="Freeform 489">
          <a:extLst>
            <a:ext uri="{FF2B5EF4-FFF2-40B4-BE49-F238E27FC236}">
              <a16:creationId xmlns:a16="http://schemas.microsoft.com/office/drawing/2014/main" id="{7103D1E1-2BDB-2011-D344-EE38E7164C6E}"/>
            </a:ext>
          </a:extLst>
        </xdr:cNvPr>
        <xdr:cNvSpPr/>
      </xdr:nvSpPr>
      <xdr:spPr>
        <a:xfrm>
          <a:off x="331851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0" name="Freeform 490">
          <a:extLst>
            <a:ext uri="{FF2B5EF4-FFF2-40B4-BE49-F238E27FC236}">
              <a16:creationId xmlns:a16="http://schemas.microsoft.com/office/drawing/2014/main" id="{865E73DF-51E6-018A-E699-DDFFC202EA24}"/>
            </a:ext>
          </a:extLst>
        </xdr:cNvPr>
        <xdr:cNvSpPr/>
      </xdr:nvSpPr>
      <xdr:spPr>
        <a:xfrm>
          <a:off x="4211955" y="62985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1" name="Freeform 491">
          <a:extLst>
            <a:ext uri="{FF2B5EF4-FFF2-40B4-BE49-F238E27FC236}">
              <a16:creationId xmlns:a16="http://schemas.microsoft.com/office/drawing/2014/main" id="{C1FF3ADE-DDC5-FF91-1BE7-CE1134617582}"/>
            </a:ext>
          </a:extLst>
        </xdr:cNvPr>
        <xdr:cNvSpPr/>
      </xdr:nvSpPr>
      <xdr:spPr>
        <a:xfrm>
          <a:off x="5103495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9525</xdr:rowOff>
    </xdr:from>
    <xdr:to>
      <xdr:col>0</xdr:col>
      <xdr:colOff>5715</xdr:colOff>
      <xdr:row>209</xdr:row>
      <xdr:rowOff>15240</xdr:rowOff>
    </xdr:to>
    <xdr:sp macro="" textlink="">
      <xdr:nvSpPr>
        <xdr:cNvPr id="27982" name="Freeform 494">
          <a:extLst>
            <a:ext uri="{FF2B5EF4-FFF2-40B4-BE49-F238E27FC236}">
              <a16:creationId xmlns:a16="http://schemas.microsoft.com/office/drawing/2014/main" id="{5B11C7F1-8257-A56D-C136-45CFD4851EA5}"/>
            </a:ext>
          </a:extLst>
        </xdr:cNvPr>
        <xdr:cNvSpPr/>
      </xdr:nvSpPr>
      <xdr:spPr>
        <a:xfrm>
          <a:off x="5995670" y="63036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9525</xdr:rowOff>
    </xdr:from>
    <xdr:to>
      <xdr:col>1</xdr:col>
      <xdr:colOff>291465</xdr:colOff>
      <xdr:row>209</xdr:row>
      <xdr:rowOff>15240</xdr:rowOff>
    </xdr:to>
    <xdr:sp macro="" textlink="">
      <xdr:nvSpPr>
        <xdr:cNvPr id="27983" name="Freeform 495">
          <a:extLst>
            <a:ext uri="{FF2B5EF4-FFF2-40B4-BE49-F238E27FC236}">
              <a16:creationId xmlns:a16="http://schemas.microsoft.com/office/drawing/2014/main" id="{E922D020-F21C-F096-60A8-AC58B6A37511}"/>
            </a:ext>
          </a:extLst>
        </xdr:cNvPr>
        <xdr:cNvSpPr/>
      </xdr:nvSpPr>
      <xdr:spPr>
        <a:xfrm>
          <a:off x="6889750" y="63036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4" name="Freeform 202">
          <a:extLst>
            <a:ext uri="{FF2B5EF4-FFF2-40B4-BE49-F238E27FC236}">
              <a16:creationId xmlns:a16="http://schemas.microsoft.com/office/drawing/2014/main" id="{EC5D1B0C-5244-5B9E-D4FA-31694CB25E88}"/>
            </a:ext>
          </a:extLst>
        </xdr:cNvPr>
        <xdr:cNvSpPr/>
      </xdr:nvSpPr>
      <xdr:spPr>
        <a:xfrm>
          <a:off x="641350" y="585597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0</xdr:rowOff>
    </xdr:from>
    <xdr:to>
      <xdr:col>1</xdr:col>
      <xdr:colOff>281940</xdr:colOff>
      <xdr:row>22</xdr:row>
      <xdr:rowOff>5715</xdr:rowOff>
    </xdr:to>
    <xdr:sp macro="" textlink="">
      <xdr:nvSpPr>
        <xdr:cNvPr id="27985" name="Freeform 203">
          <a:extLst>
            <a:ext uri="{FF2B5EF4-FFF2-40B4-BE49-F238E27FC236}">
              <a16:creationId xmlns:a16="http://schemas.microsoft.com/office/drawing/2014/main" id="{8ADBC74F-BDF6-643A-A41E-CF2722EC9476}"/>
            </a:ext>
          </a:extLst>
        </xdr:cNvPr>
        <xdr:cNvSpPr/>
      </xdr:nvSpPr>
      <xdr:spPr>
        <a:xfrm>
          <a:off x="153543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6" name="Freeform 208">
          <a:extLst>
            <a:ext uri="{FF2B5EF4-FFF2-40B4-BE49-F238E27FC236}">
              <a16:creationId xmlns:a16="http://schemas.microsoft.com/office/drawing/2014/main" id="{E9016F90-1A0B-19F0-FADD-9EAD4723F072}"/>
            </a:ext>
          </a:extLst>
        </xdr:cNvPr>
        <xdr:cNvSpPr/>
      </xdr:nvSpPr>
      <xdr:spPr>
        <a:xfrm>
          <a:off x="2424430" y="58553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87" name="Freeform 209">
          <a:extLst>
            <a:ext uri="{FF2B5EF4-FFF2-40B4-BE49-F238E27FC236}">
              <a16:creationId xmlns:a16="http://schemas.microsoft.com/office/drawing/2014/main" id="{092B4E5A-2635-A189-E847-B021EE4A5724}"/>
            </a:ext>
          </a:extLst>
        </xdr:cNvPr>
        <xdr:cNvSpPr/>
      </xdr:nvSpPr>
      <xdr:spPr>
        <a:xfrm>
          <a:off x="3318510" y="58553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88" name="Freeform 484">
          <a:extLst>
            <a:ext uri="{FF2B5EF4-FFF2-40B4-BE49-F238E27FC236}">
              <a16:creationId xmlns:a16="http://schemas.microsoft.com/office/drawing/2014/main" id="{7BC281AA-818D-E98D-575D-49CB3CB417E1}"/>
            </a:ext>
          </a:extLst>
        </xdr:cNvPr>
        <xdr:cNvSpPr/>
      </xdr:nvSpPr>
      <xdr:spPr>
        <a:xfrm>
          <a:off x="641350" y="6671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210</xdr:row>
      <xdr:rowOff>180975</xdr:rowOff>
    </xdr:from>
    <xdr:to>
      <xdr:col>1</xdr:col>
      <xdr:colOff>281940</xdr:colOff>
      <xdr:row>210</xdr:row>
      <xdr:rowOff>186690</xdr:rowOff>
    </xdr:to>
    <xdr:sp macro="" textlink="">
      <xdr:nvSpPr>
        <xdr:cNvPr id="27989" name="Freeform 485">
          <a:extLst>
            <a:ext uri="{FF2B5EF4-FFF2-40B4-BE49-F238E27FC236}">
              <a16:creationId xmlns:a16="http://schemas.microsoft.com/office/drawing/2014/main" id="{A3A5055F-D9E8-638E-1877-74B1A99838E9}"/>
            </a:ext>
          </a:extLst>
        </xdr:cNvPr>
        <xdr:cNvSpPr/>
      </xdr:nvSpPr>
      <xdr:spPr>
        <a:xfrm>
          <a:off x="1535430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0" name="Freeform 210">
          <a:extLst>
            <a:ext uri="{FF2B5EF4-FFF2-40B4-BE49-F238E27FC236}">
              <a16:creationId xmlns:a16="http://schemas.microsoft.com/office/drawing/2014/main" id="{194EA378-0122-B3B5-9A36-42ACF55F140D}"/>
            </a:ext>
          </a:extLst>
        </xdr:cNvPr>
        <xdr:cNvSpPr/>
      </xdr:nvSpPr>
      <xdr:spPr>
        <a:xfrm>
          <a:off x="4211320" y="585597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0</xdr:rowOff>
    </xdr:from>
    <xdr:to>
      <xdr:col>0</xdr:col>
      <xdr:colOff>5715</xdr:colOff>
      <xdr:row>211</xdr:row>
      <xdr:rowOff>5715</xdr:rowOff>
    </xdr:to>
    <xdr:sp macro="" textlink="">
      <xdr:nvSpPr>
        <xdr:cNvPr id="27991" name="Freeform 496">
          <a:extLst>
            <a:ext uri="{FF2B5EF4-FFF2-40B4-BE49-F238E27FC236}">
              <a16:creationId xmlns:a16="http://schemas.microsoft.com/office/drawing/2014/main" id="{3B0EA4A2-181D-E319-540D-B5EBDBA1331A}"/>
            </a:ext>
          </a:extLst>
        </xdr:cNvPr>
        <xdr:cNvSpPr/>
      </xdr:nvSpPr>
      <xdr:spPr>
        <a:xfrm>
          <a:off x="2424430" y="66649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2" name="Freeform 211">
          <a:extLst>
            <a:ext uri="{FF2B5EF4-FFF2-40B4-BE49-F238E27FC236}">
              <a16:creationId xmlns:a16="http://schemas.microsoft.com/office/drawing/2014/main" id="{A88189BA-9FFE-EF8F-F526-3AA1EB548406}"/>
            </a:ext>
          </a:extLst>
        </xdr:cNvPr>
        <xdr:cNvSpPr/>
      </xdr:nvSpPr>
      <xdr:spPr>
        <a:xfrm>
          <a:off x="510286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3" name="Freeform 497">
          <a:extLst>
            <a:ext uri="{FF2B5EF4-FFF2-40B4-BE49-F238E27FC236}">
              <a16:creationId xmlns:a16="http://schemas.microsoft.com/office/drawing/2014/main" id="{30F2F696-F960-4941-CA86-447EDEDE91EA}"/>
            </a:ext>
          </a:extLst>
        </xdr:cNvPr>
        <xdr:cNvSpPr/>
      </xdr:nvSpPr>
      <xdr:spPr>
        <a:xfrm>
          <a:off x="3318510" y="66649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94" name="Freeform 214">
          <a:extLst>
            <a:ext uri="{FF2B5EF4-FFF2-40B4-BE49-F238E27FC236}">
              <a16:creationId xmlns:a16="http://schemas.microsoft.com/office/drawing/2014/main" id="{9D567BA9-4978-785E-BBC1-FD454C742356}"/>
            </a:ext>
          </a:extLst>
        </xdr:cNvPr>
        <xdr:cNvSpPr/>
      </xdr:nvSpPr>
      <xdr:spPr>
        <a:xfrm>
          <a:off x="5995035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5" name="Freeform 498">
          <a:extLst>
            <a:ext uri="{FF2B5EF4-FFF2-40B4-BE49-F238E27FC236}">
              <a16:creationId xmlns:a16="http://schemas.microsoft.com/office/drawing/2014/main" id="{D35BBE1E-23C7-6542-3B0D-AD369CD31C8C}"/>
            </a:ext>
          </a:extLst>
        </xdr:cNvPr>
        <xdr:cNvSpPr/>
      </xdr:nvSpPr>
      <xdr:spPr>
        <a:xfrm>
          <a:off x="4211955" y="666496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6" name="Freeform 215">
          <a:extLst>
            <a:ext uri="{FF2B5EF4-FFF2-40B4-BE49-F238E27FC236}">
              <a16:creationId xmlns:a16="http://schemas.microsoft.com/office/drawing/2014/main" id="{EF8F28DE-30DA-E801-CCEF-5ED2FE85BF03}"/>
            </a:ext>
          </a:extLst>
        </xdr:cNvPr>
        <xdr:cNvSpPr/>
      </xdr:nvSpPr>
      <xdr:spPr>
        <a:xfrm>
          <a:off x="688975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97" name="Freeform 492">
          <a:extLst>
            <a:ext uri="{FF2B5EF4-FFF2-40B4-BE49-F238E27FC236}">
              <a16:creationId xmlns:a16="http://schemas.microsoft.com/office/drawing/2014/main" id="{64E83636-C119-2222-9207-1E29B53C72B7}"/>
            </a:ext>
          </a:extLst>
        </xdr:cNvPr>
        <xdr:cNvSpPr/>
      </xdr:nvSpPr>
      <xdr:spPr>
        <a:xfrm>
          <a:off x="5102225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9525</xdr:rowOff>
    </xdr:from>
    <xdr:to>
      <xdr:col>0</xdr:col>
      <xdr:colOff>5715</xdr:colOff>
      <xdr:row>211</xdr:row>
      <xdr:rowOff>15240</xdr:rowOff>
    </xdr:to>
    <xdr:sp macro="" textlink="">
      <xdr:nvSpPr>
        <xdr:cNvPr id="27998" name="Freeform 499">
          <a:extLst>
            <a:ext uri="{FF2B5EF4-FFF2-40B4-BE49-F238E27FC236}">
              <a16:creationId xmlns:a16="http://schemas.microsoft.com/office/drawing/2014/main" id="{096C7F38-E709-2886-EF5E-C8A5B8CE48BD}"/>
            </a:ext>
          </a:extLst>
        </xdr:cNvPr>
        <xdr:cNvSpPr/>
      </xdr:nvSpPr>
      <xdr:spPr>
        <a:xfrm>
          <a:off x="5995670" y="6670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9525</xdr:rowOff>
    </xdr:from>
    <xdr:to>
      <xdr:col>1</xdr:col>
      <xdr:colOff>291465</xdr:colOff>
      <xdr:row>211</xdr:row>
      <xdr:rowOff>15240</xdr:rowOff>
    </xdr:to>
    <xdr:sp macro="" textlink="">
      <xdr:nvSpPr>
        <xdr:cNvPr id="27999" name="Freeform 500">
          <a:extLst>
            <a:ext uri="{FF2B5EF4-FFF2-40B4-BE49-F238E27FC236}">
              <a16:creationId xmlns:a16="http://schemas.microsoft.com/office/drawing/2014/main" id="{B31F49D7-0557-F98B-97B9-FCE18E533522}"/>
            </a:ext>
          </a:extLst>
        </xdr:cNvPr>
        <xdr:cNvSpPr/>
      </xdr:nvSpPr>
      <xdr:spPr>
        <a:xfrm>
          <a:off x="6889750" y="6670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0" name="Freeform 342">
          <a:extLst>
            <a:ext uri="{FF2B5EF4-FFF2-40B4-BE49-F238E27FC236}">
              <a16:creationId xmlns:a16="http://schemas.microsoft.com/office/drawing/2014/main" id="{7EC0F266-B31C-1016-5633-853CD46363A5}"/>
            </a:ext>
          </a:extLst>
        </xdr:cNvPr>
        <xdr:cNvSpPr/>
      </xdr:nvSpPr>
      <xdr:spPr>
        <a:xfrm>
          <a:off x="64135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01" name="Freeform 486">
          <a:extLst>
            <a:ext uri="{FF2B5EF4-FFF2-40B4-BE49-F238E27FC236}">
              <a16:creationId xmlns:a16="http://schemas.microsoft.com/office/drawing/2014/main" id="{424D2E1E-ABAE-4244-563A-5D7E5C4DB509}"/>
            </a:ext>
          </a:extLst>
        </xdr:cNvPr>
        <xdr:cNvSpPr/>
      </xdr:nvSpPr>
      <xdr:spPr>
        <a:xfrm>
          <a:off x="641350" y="70434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212</xdr:row>
      <xdr:rowOff>171450</xdr:rowOff>
    </xdr:from>
    <xdr:to>
      <xdr:col>1</xdr:col>
      <xdr:colOff>281940</xdr:colOff>
      <xdr:row>212</xdr:row>
      <xdr:rowOff>177165</xdr:rowOff>
    </xdr:to>
    <xdr:sp macro="" textlink="">
      <xdr:nvSpPr>
        <xdr:cNvPr id="28002" name="Freeform 487">
          <a:extLst>
            <a:ext uri="{FF2B5EF4-FFF2-40B4-BE49-F238E27FC236}">
              <a16:creationId xmlns:a16="http://schemas.microsoft.com/office/drawing/2014/main" id="{0E66937D-9C33-2ADF-A9C1-EA795AC988A7}"/>
            </a:ext>
          </a:extLst>
        </xdr:cNvPr>
        <xdr:cNvSpPr/>
      </xdr:nvSpPr>
      <xdr:spPr>
        <a:xfrm>
          <a:off x="1535430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115</xdr:row>
      <xdr:rowOff>0</xdr:rowOff>
    </xdr:from>
    <xdr:to>
      <xdr:col>1</xdr:col>
      <xdr:colOff>281940</xdr:colOff>
      <xdr:row>115</xdr:row>
      <xdr:rowOff>5715</xdr:rowOff>
    </xdr:to>
    <xdr:sp macro="" textlink="">
      <xdr:nvSpPr>
        <xdr:cNvPr id="28003" name="Freeform 343">
          <a:extLst>
            <a:ext uri="{FF2B5EF4-FFF2-40B4-BE49-F238E27FC236}">
              <a16:creationId xmlns:a16="http://schemas.microsoft.com/office/drawing/2014/main" id="{BB582B46-17F6-F2E5-9F7A-ED2FBE85919E}"/>
            </a:ext>
          </a:extLst>
        </xdr:cNvPr>
        <xdr:cNvSpPr/>
      </xdr:nvSpPr>
      <xdr:spPr>
        <a:xfrm>
          <a:off x="1535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28004" name="Freeform 501">
          <a:extLst>
            <a:ext uri="{FF2B5EF4-FFF2-40B4-BE49-F238E27FC236}">
              <a16:creationId xmlns:a16="http://schemas.microsoft.com/office/drawing/2014/main" id="{5EFE11D5-554F-B8E3-D50A-1178FE92C0AD}"/>
            </a:ext>
          </a:extLst>
        </xdr:cNvPr>
        <xdr:cNvSpPr/>
      </xdr:nvSpPr>
      <xdr:spPr>
        <a:xfrm>
          <a:off x="2424430" y="7036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5" name="Freeform 348">
          <a:extLst>
            <a:ext uri="{FF2B5EF4-FFF2-40B4-BE49-F238E27FC236}">
              <a16:creationId xmlns:a16="http://schemas.microsoft.com/office/drawing/2014/main" id="{654E396C-D690-84CD-E44F-B0E2C706B2FD}"/>
            </a:ext>
          </a:extLst>
        </xdr:cNvPr>
        <xdr:cNvSpPr/>
      </xdr:nvSpPr>
      <xdr:spPr>
        <a:xfrm>
          <a:off x="2424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6" name="Freeform 502">
          <a:extLst>
            <a:ext uri="{FF2B5EF4-FFF2-40B4-BE49-F238E27FC236}">
              <a16:creationId xmlns:a16="http://schemas.microsoft.com/office/drawing/2014/main" id="{F7659128-5895-020C-8E87-DE066EEF03D9}"/>
            </a:ext>
          </a:extLst>
        </xdr:cNvPr>
        <xdr:cNvSpPr/>
      </xdr:nvSpPr>
      <xdr:spPr>
        <a:xfrm>
          <a:off x="3318510" y="7036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7" name="Freeform 349">
          <a:extLst>
            <a:ext uri="{FF2B5EF4-FFF2-40B4-BE49-F238E27FC236}">
              <a16:creationId xmlns:a16="http://schemas.microsoft.com/office/drawing/2014/main" id="{CA9275E7-7677-F4CD-FCBE-13F72CBD4486}"/>
            </a:ext>
          </a:extLst>
        </xdr:cNvPr>
        <xdr:cNvSpPr/>
      </xdr:nvSpPr>
      <xdr:spPr>
        <a:xfrm>
          <a:off x="331851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8" name="Freeform 503">
          <a:extLst>
            <a:ext uri="{FF2B5EF4-FFF2-40B4-BE49-F238E27FC236}">
              <a16:creationId xmlns:a16="http://schemas.microsoft.com/office/drawing/2014/main" id="{D567B707-73F8-3FE3-F4B9-54C5D6252931}"/>
            </a:ext>
          </a:extLst>
        </xdr:cNvPr>
        <xdr:cNvSpPr/>
      </xdr:nvSpPr>
      <xdr:spPr>
        <a:xfrm>
          <a:off x="4211955" y="70364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9" name="Freeform 350">
          <a:extLst>
            <a:ext uri="{FF2B5EF4-FFF2-40B4-BE49-F238E27FC236}">
              <a16:creationId xmlns:a16="http://schemas.microsoft.com/office/drawing/2014/main" id="{D5035E03-B0F6-27E3-3EF9-204D8DF60662}"/>
            </a:ext>
          </a:extLst>
        </xdr:cNvPr>
        <xdr:cNvSpPr/>
      </xdr:nvSpPr>
      <xdr:spPr>
        <a:xfrm>
          <a:off x="4211955" y="721677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10" name="Freeform 493">
          <a:extLst>
            <a:ext uri="{FF2B5EF4-FFF2-40B4-BE49-F238E27FC236}">
              <a16:creationId xmlns:a16="http://schemas.microsoft.com/office/drawing/2014/main" id="{2B9F6B58-2CE0-C57F-82C1-F9741C2E719A}"/>
            </a:ext>
          </a:extLst>
        </xdr:cNvPr>
        <xdr:cNvSpPr/>
      </xdr:nvSpPr>
      <xdr:spPr>
        <a:xfrm>
          <a:off x="5102225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9525</xdr:rowOff>
    </xdr:from>
    <xdr:to>
      <xdr:col>0</xdr:col>
      <xdr:colOff>5715</xdr:colOff>
      <xdr:row>213</xdr:row>
      <xdr:rowOff>15240</xdr:rowOff>
    </xdr:to>
    <xdr:sp macro="" textlink="">
      <xdr:nvSpPr>
        <xdr:cNvPr id="28011" name="Freeform 504">
          <a:extLst>
            <a:ext uri="{FF2B5EF4-FFF2-40B4-BE49-F238E27FC236}">
              <a16:creationId xmlns:a16="http://schemas.microsoft.com/office/drawing/2014/main" id="{CD5CBF50-AC84-C0F0-E697-93278859BA5A}"/>
            </a:ext>
          </a:extLst>
        </xdr:cNvPr>
        <xdr:cNvSpPr/>
      </xdr:nvSpPr>
      <xdr:spPr>
        <a:xfrm>
          <a:off x="5995670" y="70421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12" name="Freeform 351">
          <a:extLst>
            <a:ext uri="{FF2B5EF4-FFF2-40B4-BE49-F238E27FC236}">
              <a16:creationId xmlns:a16="http://schemas.microsoft.com/office/drawing/2014/main" id="{3E9B4E65-F741-19BE-134D-8DE5AEF9C0E5}"/>
            </a:ext>
          </a:extLst>
        </xdr:cNvPr>
        <xdr:cNvSpPr/>
      </xdr:nvSpPr>
      <xdr:spPr>
        <a:xfrm>
          <a:off x="5103495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9525</xdr:rowOff>
    </xdr:from>
    <xdr:to>
      <xdr:col>1</xdr:col>
      <xdr:colOff>291465</xdr:colOff>
      <xdr:row>213</xdr:row>
      <xdr:rowOff>15240</xdr:rowOff>
    </xdr:to>
    <xdr:sp macro="" textlink="">
      <xdr:nvSpPr>
        <xdr:cNvPr id="28013" name="Freeform 505">
          <a:extLst>
            <a:ext uri="{FF2B5EF4-FFF2-40B4-BE49-F238E27FC236}">
              <a16:creationId xmlns:a16="http://schemas.microsoft.com/office/drawing/2014/main" id="{4C9A9BE0-5C46-1FEF-7619-B9042258E9B3}"/>
            </a:ext>
          </a:extLst>
        </xdr:cNvPr>
        <xdr:cNvSpPr/>
      </xdr:nvSpPr>
      <xdr:spPr>
        <a:xfrm>
          <a:off x="6889750" y="70421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14" name="Freeform 204">
          <a:extLst>
            <a:ext uri="{FF2B5EF4-FFF2-40B4-BE49-F238E27FC236}">
              <a16:creationId xmlns:a16="http://schemas.microsoft.com/office/drawing/2014/main" id="{E94006DE-3F50-2C44-8F93-6B71AA201345}"/>
            </a:ext>
          </a:extLst>
        </xdr:cNvPr>
        <xdr:cNvSpPr/>
      </xdr:nvSpPr>
      <xdr:spPr>
        <a:xfrm>
          <a:off x="641350" y="63436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9525</xdr:rowOff>
    </xdr:from>
    <xdr:to>
      <xdr:col>0</xdr:col>
      <xdr:colOff>5715</xdr:colOff>
      <xdr:row>115</xdr:row>
      <xdr:rowOff>15240</xdr:rowOff>
    </xdr:to>
    <xdr:sp macro="" textlink="">
      <xdr:nvSpPr>
        <xdr:cNvPr id="28015" name="Freeform 354">
          <a:extLst>
            <a:ext uri="{FF2B5EF4-FFF2-40B4-BE49-F238E27FC236}">
              <a16:creationId xmlns:a16="http://schemas.microsoft.com/office/drawing/2014/main" id="{699FE06B-DEEF-A4AD-EFEC-6C0BC00AB38E}"/>
            </a:ext>
          </a:extLst>
        </xdr:cNvPr>
        <xdr:cNvSpPr/>
      </xdr:nvSpPr>
      <xdr:spPr>
        <a:xfrm>
          <a:off x="5995670" y="72224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24</xdr:row>
      <xdr:rowOff>104775</xdr:rowOff>
    </xdr:from>
    <xdr:to>
      <xdr:col>1</xdr:col>
      <xdr:colOff>281940</xdr:colOff>
      <xdr:row>24</xdr:row>
      <xdr:rowOff>110490</xdr:rowOff>
    </xdr:to>
    <xdr:sp macro="" textlink="">
      <xdr:nvSpPr>
        <xdr:cNvPr id="28016" name="Freeform 205">
          <a:extLst>
            <a:ext uri="{FF2B5EF4-FFF2-40B4-BE49-F238E27FC236}">
              <a16:creationId xmlns:a16="http://schemas.microsoft.com/office/drawing/2014/main" id="{9FDE6494-4B1C-2EF1-317A-1B4FE2BF5391}"/>
            </a:ext>
          </a:extLst>
        </xdr:cNvPr>
        <xdr:cNvSpPr/>
      </xdr:nvSpPr>
      <xdr:spPr>
        <a:xfrm>
          <a:off x="153543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17" name="Freeform 216">
          <a:extLst>
            <a:ext uri="{FF2B5EF4-FFF2-40B4-BE49-F238E27FC236}">
              <a16:creationId xmlns:a16="http://schemas.microsoft.com/office/drawing/2014/main" id="{767B0858-2CC0-8F3F-68D8-9BFD584A775A}"/>
            </a:ext>
          </a:extLst>
        </xdr:cNvPr>
        <xdr:cNvSpPr/>
      </xdr:nvSpPr>
      <xdr:spPr>
        <a:xfrm>
          <a:off x="242443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9525</xdr:rowOff>
    </xdr:from>
    <xdr:to>
      <xdr:col>1</xdr:col>
      <xdr:colOff>291465</xdr:colOff>
      <xdr:row>115</xdr:row>
      <xdr:rowOff>15240</xdr:rowOff>
    </xdr:to>
    <xdr:sp macro="" textlink="">
      <xdr:nvSpPr>
        <xdr:cNvPr id="28018" name="Freeform 355">
          <a:extLst>
            <a:ext uri="{FF2B5EF4-FFF2-40B4-BE49-F238E27FC236}">
              <a16:creationId xmlns:a16="http://schemas.microsoft.com/office/drawing/2014/main" id="{045B9A5E-8680-4835-8797-47817FFABB67}"/>
            </a:ext>
          </a:extLst>
        </xdr:cNvPr>
        <xdr:cNvSpPr/>
      </xdr:nvSpPr>
      <xdr:spPr>
        <a:xfrm>
          <a:off x="6889750" y="72224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19" name="Freeform 217">
          <a:extLst>
            <a:ext uri="{FF2B5EF4-FFF2-40B4-BE49-F238E27FC236}">
              <a16:creationId xmlns:a16="http://schemas.microsoft.com/office/drawing/2014/main" id="{8D5E964F-6446-A1B0-7645-27BEA216ACFE}"/>
            </a:ext>
          </a:extLst>
        </xdr:cNvPr>
        <xdr:cNvSpPr/>
      </xdr:nvSpPr>
      <xdr:spPr>
        <a:xfrm>
          <a:off x="3318510" y="63366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0" name="Freeform 218">
          <a:extLst>
            <a:ext uri="{FF2B5EF4-FFF2-40B4-BE49-F238E27FC236}">
              <a16:creationId xmlns:a16="http://schemas.microsoft.com/office/drawing/2014/main" id="{D6DE26E3-97FC-8FC5-64A5-DFC976C17A50}"/>
            </a:ext>
          </a:extLst>
        </xdr:cNvPr>
        <xdr:cNvSpPr/>
      </xdr:nvSpPr>
      <xdr:spPr>
        <a:xfrm>
          <a:off x="4211320" y="63366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21" name="Freeform 212">
          <a:extLst>
            <a:ext uri="{FF2B5EF4-FFF2-40B4-BE49-F238E27FC236}">
              <a16:creationId xmlns:a16="http://schemas.microsoft.com/office/drawing/2014/main" id="{B34B1AB9-CC24-DD47-3B13-39CD79874DE6}"/>
            </a:ext>
          </a:extLst>
        </xdr:cNvPr>
        <xdr:cNvSpPr/>
      </xdr:nvSpPr>
      <xdr:spPr>
        <a:xfrm>
          <a:off x="510159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22" name="Freeform 219">
          <a:extLst>
            <a:ext uri="{FF2B5EF4-FFF2-40B4-BE49-F238E27FC236}">
              <a16:creationId xmlns:a16="http://schemas.microsoft.com/office/drawing/2014/main" id="{9B44C576-79A6-8E4D-C4E8-368D493EDF5A}"/>
            </a:ext>
          </a:extLst>
        </xdr:cNvPr>
        <xdr:cNvSpPr/>
      </xdr:nvSpPr>
      <xdr:spPr>
        <a:xfrm>
          <a:off x="5995035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3" name="Freeform 220">
          <a:extLst>
            <a:ext uri="{FF2B5EF4-FFF2-40B4-BE49-F238E27FC236}">
              <a16:creationId xmlns:a16="http://schemas.microsoft.com/office/drawing/2014/main" id="{D9B510BC-2EE6-0BE9-65A3-50AD9E635892}"/>
            </a:ext>
          </a:extLst>
        </xdr:cNvPr>
        <xdr:cNvSpPr/>
      </xdr:nvSpPr>
      <xdr:spPr>
        <a:xfrm>
          <a:off x="688975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24" name="Freeform 344">
          <a:extLst>
            <a:ext uri="{FF2B5EF4-FFF2-40B4-BE49-F238E27FC236}">
              <a16:creationId xmlns:a16="http://schemas.microsoft.com/office/drawing/2014/main" id="{600D469A-8259-C7D6-021D-DD25D31DDA18}"/>
            </a:ext>
          </a:extLst>
        </xdr:cNvPr>
        <xdr:cNvSpPr/>
      </xdr:nvSpPr>
      <xdr:spPr>
        <a:xfrm>
          <a:off x="641350" y="7771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25" name="Freeform 506">
          <a:extLst>
            <a:ext uri="{FF2B5EF4-FFF2-40B4-BE49-F238E27FC236}">
              <a16:creationId xmlns:a16="http://schemas.microsoft.com/office/drawing/2014/main" id="{B225D1FA-9D09-733F-A7B9-891A35444086}"/>
            </a:ext>
          </a:extLst>
        </xdr:cNvPr>
        <xdr:cNvSpPr/>
      </xdr:nvSpPr>
      <xdr:spPr>
        <a:xfrm>
          <a:off x="64135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117</xdr:row>
      <xdr:rowOff>171450</xdr:rowOff>
    </xdr:from>
    <xdr:to>
      <xdr:col>1</xdr:col>
      <xdr:colOff>281940</xdr:colOff>
      <xdr:row>117</xdr:row>
      <xdr:rowOff>177165</xdr:rowOff>
    </xdr:to>
    <xdr:sp macro="" textlink="">
      <xdr:nvSpPr>
        <xdr:cNvPr id="28026" name="Freeform 345">
          <a:extLst>
            <a:ext uri="{FF2B5EF4-FFF2-40B4-BE49-F238E27FC236}">
              <a16:creationId xmlns:a16="http://schemas.microsoft.com/office/drawing/2014/main" id="{277C08E1-E15C-77F3-0A2E-B028557ED9AD}"/>
            </a:ext>
          </a:extLst>
        </xdr:cNvPr>
        <xdr:cNvSpPr/>
      </xdr:nvSpPr>
      <xdr:spPr>
        <a:xfrm>
          <a:off x="1535430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0</xdr:rowOff>
    </xdr:from>
    <xdr:to>
      <xdr:col>0</xdr:col>
      <xdr:colOff>5715</xdr:colOff>
      <xdr:row>118</xdr:row>
      <xdr:rowOff>5715</xdr:rowOff>
    </xdr:to>
    <xdr:sp macro="" textlink="">
      <xdr:nvSpPr>
        <xdr:cNvPr id="28027" name="Freeform 356">
          <a:extLst>
            <a:ext uri="{FF2B5EF4-FFF2-40B4-BE49-F238E27FC236}">
              <a16:creationId xmlns:a16="http://schemas.microsoft.com/office/drawing/2014/main" id="{5E0586AE-337C-3CF5-A43B-DDE9429F454B}"/>
            </a:ext>
          </a:extLst>
        </xdr:cNvPr>
        <xdr:cNvSpPr/>
      </xdr:nvSpPr>
      <xdr:spPr>
        <a:xfrm>
          <a:off x="2424430" y="7764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215</xdr:row>
      <xdr:rowOff>0</xdr:rowOff>
    </xdr:from>
    <xdr:to>
      <xdr:col>1</xdr:col>
      <xdr:colOff>281940</xdr:colOff>
      <xdr:row>215</xdr:row>
      <xdr:rowOff>5715</xdr:rowOff>
    </xdr:to>
    <xdr:sp macro="" textlink="">
      <xdr:nvSpPr>
        <xdr:cNvPr id="28028" name="Freeform 507">
          <a:extLst>
            <a:ext uri="{FF2B5EF4-FFF2-40B4-BE49-F238E27FC236}">
              <a16:creationId xmlns:a16="http://schemas.microsoft.com/office/drawing/2014/main" id="{BB791E92-DE74-78CB-352C-32F645F4E4D7}"/>
            </a:ext>
          </a:extLst>
        </xdr:cNvPr>
        <xdr:cNvSpPr/>
      </xdr:nvSpPr>
      <xdr:spPr>
        <a:xfrm>
          <a:off x="1535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29" name="Freeform 357">
          <a:extLst>
            <a:ext uri="{FF2B5EF4-FFF2-40B4-BE49-F238E27FC236}">
              <a16:creationId xmlns:a16="http://schemas.microsoft.com/office/drawing/2014/main" id="{C709BF81-35C4-89E5-939F-1BEB445517A2}"/>
            </a:ext>
          </a:extLst>
        </xdr:cNvPr>
        <xdr:cNvSpPr/>
      </xdr:nvSpPr>
      <xdr:spPr>
        <a:xfrm>
          <a:off x="3318510" y="7764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30" name="Freeform 512">
          <a:extLst>
            <a:ext uri="{FF2B5EF4-FFF2-40B4-BE49-F238E27FC236}">
              <a16:creationId xmlns:a16="http://schemas.microsoft.com/office/drawing/2014/main" id="{B29FB998-43C2-AEE1-C0E8-EF91C85483FB}"/>
            </a:ext>
          </a:extLst>
        </xdr:cNvPr>
        <xdr:cNvSpPr/>
      </xdr:nvSpPr>
      <xdr:spPr>
        <a:xfrm>
          <a:off x="2424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31" name="Freeform 358">
          <a:extLst>
            <a:ext uri="{FF2B5EF4-FFF2-40B4-BE49-F238E27FC236}">
              <a16:creationId xmlns:a16="http://schemas.microsoft.com/office/drawing/2014/main" id="{F646FBFB-BBA7-75E5-EA17-7900D90187C3}"/>
            </a:ext>
          </a:extLst>
        </xdr:cNvPr>
        <xdr:cNvSpPr/>
      </xdr:nvSpPr>
      <xdr:spPr>
        <a:xfrm>
          <a:off x="4211955" y="7764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2" name="Freeform 513">
          <a:extLst>
            <a:ext uri="{FF2B5EF4-FFF2-40B4-BE49-F238E27FC236}">
              <a16:creationId xmlns:a16="http://schemas.microsoft.com/office/drawing/2014/main" id="{E271C44E-54BE-A3AE-80FC-B8FB12B94CE7}"/>
            </a:ext>
          </a:extLst>
        </xdr:cNvPr>
        <xdr:cNvSpPr/>
      </xdr:nvSpPr>
      <xdr:spPr>
        <a:xfrm>
          <a:off x="331851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33" name="Freeform 352">
          <a:extLst>
            <a:ext uri="{FF2B5EF4-FFF2-40B4-BE49-F238E27FC236}">
              <a16:creationId xmlns:a16="http://schemas.microsoft.com/office/drawing/2014/main" id="{CD790A25-B6AA-D0E6-A2D6-7416D31F1FE5}"/>
            </a:ext>
          </a:extLst>
        </xdr:cNvPr>
        <xdr:cNvSpPr/>
      </xdr:nvSpPr>
      <xdr:spPr>
        <a:xfrm>
          <a:off x="5102225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4" name="Freeform 518">
          <a:extLst>
            <a:ext uri="{FF2B5EF4-FFF2-40B4-BE49-F238E27FC236}">
              <a16:creationId xmlns:a16="http://schemas.microsoft.com/office/drawing/2014/main" id="{B33E09FC-F80A-6CAF-FC99-5C2F11095231}"/>
            </a:ext>
          </a:extLst>
        </xdr:cNvPr>
        <xdr:cNvSpPr/>
      </xdr:nvSpPr>
      <xdr:spPr>
        <a:xfrm>
          <a:off x="4211955" y="740219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9525</xdr:rowOff>
    </xdr:from>
    <xdr:to>
      <xdr:col>0</xdr:col>
      <xdr:colOff>5715</xdr:colOff>
      <xdr:row>118</xdr:row>
      <xdr:rowOff>15240</xdr:rowOff>
    </xdr:to>
    <xdr:sp macro="" textlink="">
      <xdr:nvSpPr>
        <xdr:cNvPr id="28035" name="Freeform 359">
          <a:extLst>
            <a:ext uri="{FF2B5EF4-FFF2-40B4-BE49-F238E27FC236}">
              <a16:creationId xmlns:a16="http://schemas.microsoft.com/office/drawing/2014/main" id="{9804D97A-70FF-2913-1259-735B4042D625}"/>
            </a:ext>
          </a:extLst>
        </xdr:cNvPr>
        <xdr:cNvSpPr/>
      </xdr:nvSpPr>
      <xdr:spPr>
        <a:xfrm>
          <a:off x="5995670" y="77704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6" name="Freeform 519">
          <a:extLst>
            <a:ext uri="{FF2B5EF4-FFF2-40B4-BE49-F238E27FC236}">
              <a16:creationId xmlns:a16="http://schemas.microsoft.com/office/drawing/2014/main" id="{7E6D3DB8-52A8-9D5C-D511-DBE09AC6AE43}"/>
            </a:ext>
          </a:extLst>
        </xdr:cNvPr>
        <xdr:cNvSpPr/>
      </xdr:nvSpPr>
      <xdr:spPr>
        <a:xfrm>
          <a:off x="5103495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9525</xdr:rowOff>
    </xdr:from>
    <xdr:to>
      <xdr:col>1</xdr:col>
      <xdr:colOff>291465</xdr:colOff>
      <xdr:row>118</xdr:row>
      <xdr:rowOff>15240</xdr:rowOff>
    </xdr:to>
    <xdr:sp macro="" textlink="">
      <xdr:nvSpPr>
        <xdr:cNvPr id="28037" name="Freeform 360">
          <a:extLst>
            <a:ext uri="{FF2B5EF4-FFF2-40B4-BE49-F238E27FC236}">
              <a16:creationId xmlns:a16="http://schemas.microsoft.com/office/drawing/2014/main" id="{C31C426D-F010-88D2-FD29-919C4F028E08}"/>
            </a:ext>
          </a:extLst>
        </xdr:cNvPr>
        <xdr:cNvSpPr/>
      </xdr:nvSpPr>
      <xdr:spPr>
        <a:xfrm>
          <a:off x="6889750" y="77704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38" name="Freeform 206">
          <a:extLst>
            <a:ext uri="{FF2B5EF4-FFF2-40B4-BE49-F238E27FC236}">
              <a16:creationId xmlns:a16="http://schemas.microsoft.com/office/drawing/2014/main" id="{98C43D1B-F2ED-3135-0772-22A2CE0853AD}"/>
            </a:ext>
          </a:extLst>
        </xdr:cNvPr>
        <xdr:cNvSpPr/>
      </xdr:nvSpPr>
      <xdr:spPr>
        <a:xfrm>
          <a:off x="641350" y="683133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9525</xdr:rowOff>
    </xdr:from>
    <xdr:to>
      <xdr:col>0</xdr:col>
      <xdr:colOff>5715</xdr:colOff>
      <xdr:row>215</xdr:row>
      <xdr:rowOff>15240</xdr:rowOff>
    </xdr:to>
    <xdr:sp macro="" textlink="">
      <xdr:nvSpPr>
        <xdr:cNvPr id="28039" name="Freeform 522">
          <a:extLst>
            <a:ext uri="{FF2B5EF4-FFF2-40B4-BE49-F238E27FC236}">
              <a16:creationId xmlns:a16="http://schemas.microsoft.com/office/drawing/2014/main" id="{BAB1FC3D-FD89-BF9A-7EAE-724F30175D7B}"/>
            </a:ext>
          </a:extLst>
        </xdr:cNvPr>
        <xdr:cNvSpPr/>
      </xdr:nvSpPr>
      <xdr:spPr>
        <a:xfrm>
          <a:off x="5995670" y="74072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19050</xdr:rowOff>
    </xdr:from>
    <xdr:to>
      <xdr:col>1</xdr:col>
      <xdr:colOff>281940</xdr:colOff>
      <xdr:row>27</xdr:row>
      <xdr:rowOff>24765</xdr:rowOff>
    </xdr:to>
    <xdr:sp macro="" textlink="">
      <xdr:nvSpPr>
        <xdr:cNvPr id="28040" name="Freeform 207">
          <a:extLst>
            <a:ext uri="{FF2B5EF4-FFF2-40B4-BE49-F238E27FC236}">
              <a16:creationId xmlns:a16="http://schemas.microsoft.com/office/drawing/2014/main" id="{AA840BB4-3664-D32D-4654-979F28DF8EA2}"/>
            </a:ext>
          </a:extLst>
        </xdr:cNvPr>
        <xdr:cNvSpPr/>
      </xdr:nvSpPr>
      <xdr:spPr>
        <a:xfrm>
          <a:off x="153543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1" name="Freeform 221">
          <a:extLst>
            <a:ext uri="{FF2B5EF4-FFF2-40B4-BE49-F238E27FC236}">
              <a16:creationId xmlns:a16="http://schemas.microsoft.com/office/drawing/2014/main" id="{3A83ED7B-D051-A5DF-D137-C66ECAABF7E8}"/>
            </a:ext>
          </a:extLst>
        </xdr:cNvPr>
        <xdr:cNvSpPr/>
      </xdr:nvSpPr>
      <xdr:spPr>
        <a:xfrm>
          <a:off x="2424430" y="68249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9525</xdr:rowOff>
    </xdr:from>
    <xdr:to>
      <xdr:col>1</xdr:col>
      <xdr:colOff>291465</xdr:colOff>
      <xdr:row>215</xdr:row>
      <xdr:rowOff>15240</xdr:rowOff>
    </xdr:to>
    <xdr:sp macro="" textlink="">
      <xdr:nvSpPr>
        <xdr:cNvPr id="28042" name="Freeform 523">
          <a:extLst>
            <a:ext uri="{FF2B5EF4-FFF2-40B4-BE49-F238E27FC236}">
              <a16:creationId xmlns:a16="http://schemas.microsoft.com/office/drawing/2014/main" id="{886F4466-BDBE-851F-A665-8E9850F2CCA3}"/>
            </a:ext>
          </a:extLst>
        </xdr:cNvPr>
        <xdr:cNvSpPr/>
      </xdr:nvSpPr>
      <xdr:spPr>
        <a:xfrm>
          <a:off x="6889750" y="74072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3" name="Freeform 222">
          <a:extLst>
            <a:ext uri="{FF2B5EF4-FFF2-40B4-BE49-F238E27FC236}">
              <a16:creationId xmlns:a16="http://schemas.microsoft.com/office/drawing/2014/main" id="{0B327051-2CC5-2B57-37AF-332D20D07C37}"/>
            </a:ext>
          </a:extLst>
        </xdr:cNvPr>
        <xdr:cNvSpPr/>
      </xdr:nvSpPr>
      <xdr:spPr>
        <a:xfrm>
          <a:off x="3318510" y="68249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4" name="Freeform 223">
          <a:extLst>
            <a:ext uri="{FF2B5EF4-FFF2-40B4-BE49-F238E27FC236}">
              <a16:creationId xmlns:a16="http://schemas.microsoft.com/office/drawing/2014/main" id="{DD028348-AFDB-A7B3-17DE-A1332169B97C}"/>
            </a:ext>
          </a:extLst>
        </xdr:cNvPr>
        <xdr:cNvSpPr/>
      </xdr:nvSpPr>
      <xdr:spPr>
        <a:xfrm>
          <a:off x="4211320" y="68237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45" name="Freeform 213">
          <a:extLst>
            <a:ext uri="{FF2B5EF4-FFF2-40B4-BE49-F238E27FC236}">
              <a16:creationId xmlns:a16="http://schemas.microsoft.com/office/drawing/2014/main" id="{0E8D05DB-10E2-7930-01B5-B3704CB1AF40}"/>
            </a:ext>
          </a:extLst>
        </xdr:cNvPr>
        <xdr:cNvSpPr/>
      </xdr:nvSpPr>
      <xdr:spPr>
        <a:xfrm>
          <a:off x="510159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6" name="Freeform 224">
          <a:extLst>
            <a:ext uri="{FF2B5EF4-FFF2-40B4-BE49-F238E27FC236}">
              <a16:creationId xmlns:a16="http://schemas.microsoft.com/office/drawing/2014/main" id="{CA7A8DB2-5E12-AED9-76BE-8F26C89E4B82}"/>
            </a:ext>
          </a:extLst>
        </xdr:cNvPr>
        <xdr:cNvSpPr/>
      </xdr:nvSpPr>
      <xdr:spPr>
        <a:xfrm>
          <a:off x="5995035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7" name="Freeform 225">
          <a:extLst>
            <a:ext uri="{FF2B5EF4-FFF2-40B4-BE49-F238E27FC236}">
              <a16:creationId xmlns:a16="http://schemas.microsoft.com/office/drawing/2014/main" id="{1B85BB78-869E-49AE-970D-977E31EA97D0}"/>
            </a:ext>
          </a:extLst>
        </xdr:cNvPr>
        <xdr:cNvSpPr/>
      </xdr:nvSpPr>
      <xdr:spPr>
        <a:xfrm>
          <a:off x="6889750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48" name="Freeform 508">
          <a:extLst>
            <a:ext uri="{FF2B5EF4-FFF2-40B4-BE49-F238E27FC236}">
              <a16:creationId xmlns:a16="http://schemas.microsoft.com/office/drawing/2014/main" id="{6B902EB7-B53A-D1D0-8EF1-05F291C958E9}"/>
            </a:ext>
          </a:extLst>
        </xdr:cNvPr>
        <xdr:cNvSpPr/>
      </xdr:nvSpPr>
      <xdr:spPr>
        <a:xfrm>
          <a:off x="64135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216</xdr:row>
      <xdr:rowOff>0</xdr:rowOff>
    </xdr:from>
    <xdr:to>
      <xdr:col>1</xdr:col>
      <xdr:colOff>281940</xdr:colOff>
      <xdr:row>216</xdr:row>
      <xdr:rowOff>5715</xdr:rowOff>
    </xdr:to>
    <xdr:sp macro="" textlink="">
      <xdr:nvSpPr>
        <xdr:cNvPr id="28049" name="Freeform 509">
          <a:extLst>
            <a:ext uri="{FF2B5EF4-FFF2-40B4-BE49-F238E27FC236}">
              <a16:creationId xmlns:a16="http://schemas.microsoft.com/office/drawing/2014/main" id="{4A0D5068-5F53-8812-DCF3-F186C36B8E7D}"/>
            </a:ext>
          </a:extLst>
        </xdr:cNvPr>
        <xdr:cNvSpPr/>
      </xdr:nvSpPr>
      <xdr:spPr>
        <a:xfrm>
          <a:off x="1535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0" name="Freeform 514">
          <a:extLst>
            <a:ext uri="{FF2B5EF4-FFF2-40B4-BE49-F238E27FC236}">
              <a16:creationId xmlns:a16="http://schemas.microsoft.com/office/drawing/2014/main" id="{6357C169-5DEC-E4C8-28FB-5E05FE4952CC}"/>
            </a:ext>
          </a:extLst>
        </xdr:cNvPr>
        <xdr:cNvSpPr/>
      </xdr:nvSpPr>
      <xdr:spPr>
        <a:xfrm>
          <a:off x="2424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1" name="Freeform 515">
          <a:extLst>
            <a:ext uri="{FF2B5EF4-FFF2-40B4-BE49-F238E27FC236}">
              <a16:creationId xmlns:a16="http://schemas.microsoft.com/office/drawing/2014/main" id="{ADD9FB19-68EC-0233-DF52-D40B316385FC}"/>
            </a:ext>
          </a:extLst>
        </xdr:cNvPr>
        <xdr:cNvSpPr/>
      </xdr:nvSpPr>
      <xdr:spPr>
        <a:xfrm>
          <a:off x="331851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2" name="Freeform 528">
          <a:extLst>
            <a:ext uri="{FF2B5EF4-FFF2-40B4-BE49-F238E27FC236}">
              <a16:creationId xmlns:a16="http://schemas.microsoft.com/office/drawing/2014/main" id="{18BB785B-0C5E-6093-4980-D0DC397BA95C}"/>
            </a:ext>
          </a:extLst>
        </xdr:cNvPr>
        <xdr:cNvSpPr/>
      </xdr:nvSpPr>
      <xdr:spPr>
        <a:xfrm>
          <a:off x="4211955" y="75844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3" name="Freeform 520">
          <a:extLst>
            <a:ext uri="{FF2B5EF4-FFF2-40B4-BE49-F238E27FC236}">
              <a16:creationId xmlns:a16="http://schemas.microsoft.com/office/drawing/2014/main" id="{2B976597-DFF9-182B-B95B-04FE3427519B}"/>
            </a:ext>
          </a:extLst>
        </xdr:cNvPr>
        <xdr:cNvSpPr/>
      </xdr:nvSpPr>
      <xdr:spPr>
        <a:xfrm>
          <a:off x="5102225" y="75857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4" name="Freeform 524">
          <a:extLst>
            <a:ext uri="{FF2B5EF4-FFF2-40B4-BE49-F238E27FC236}">
              <a16:creationId xmlns:a16="http://schemas.microsoft.com/office/drawing/2014/main" id="{374AB53C-92AC-3098-79C6-FF4CD6E47162}"/>
            </a:ext>
          </a:extLst>
        </xdr:cNvPr>
        <xdr:cNvSpPr/>
      </xdr:nvSpPr>
      <xdr:spPr>
        <a:xfrm>
          <a:off x="5995670" y="75958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5" name="Freeform 525">
          <a:extLst>
            <a:ext uri="{FF2B5EF4-FFF2-40B4-BE49-F238E27FC236}">
              <a16:creationId xmlns:a16="http://schemas.microsoft.com/office/drawing/2014/main" id="{BDEF8B77-8DE7-E778-F6D7-549648EF91ED}"/>
            </a:ext>
          </a:extLst>
        </xdr:cNvPr>
        <xdr:cNvSpPr/>
      </xdr:nvSpPr>
      <xdr:spPr>
        <a:xfrm>
          <a:off x="6889750" y="75958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56" name="Freeform 346">
          <a:extLst>
            <a:ext uri="{FF2B5EF4-FFF2-40B4-BE49-F238E27FC236}">
              <a16:creationId xmlns:a16="http://schemas.microsoft.com/office/drawing/2014/main" id="{DFB2186A-3D71-51F2-D347-AF0D190114AB}"/>
            </a:ext>
          </a:extLst>
        </xdr:cNvPr>
        <xdr:cNvSpPr/>
      </xdr:nvSpPr>
      <xdr:spPr>
        <a:xfrm>
          <a:off x="641350" y="8326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57" name="Freeform 510">
          <a:extLst>
            <a:ext uri="{FF2B5EF4-FFF2-40B4-BE49-F238E27FC236}">
              <a16:creationId xmlns:a16="http://schemas.microsoft.com/office/drawing/2014/main" id="{1280378C-FE8E-35C5-A85E-C37BCB747AC0}"/>
            </a:ext>
          </a:extLst>
        </xdr:cNvPr>
        <xdr:cNvSpPr/>
      </xdr:nvSpPr>
      <xdr:spPr>
        <a:xfrm>
          <a:off x="64135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120</xdr:row>
      <xdr:rowOff>152400</xdr:rowOff>
    </xdr:from>
    <xdr:to>
      <xdr:col>1</xdr:col>
      <xdr:colOff>281940</xdr:colOff>
      <xdr:row>120</xdr:row>
      <xdr:rowOff>158115</xdr:rowOff>
    </xdr:to>
    <xdr:sp macro="" textlink="">
      <xdr:nvSpPr>
        <xdr:cNvPr id="28058" name="Freeform 347">
          <a:extLst>
            <a:ext uri="{FF2B5EF4-FFF2-40B4-BE49-F238E27FC236}">
              <a16:creationId xmlns:a16="http://schemas.microsoft.com/office/drawing/2014/main" id="{99B975CF-2B29-85F5-B6F1-679C0B336BEB}"/>
            </a:ext>
          </a:extLst>
        </xdr:cNvPr>
        <xdr:cNvSpPr/>
      </xdr:nvSpPr>
      <xdr:spPr>
        <a:xfrm>
          <a:off x="1535430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217</xdr:row>
      <xdr:rowOff>0</xdr:rowOff>
    </xdr:from>
    <xdr:to>
      <xdr:col>1</xdr:col>
      <xdr:colOff>281940</xdr:colOff>
      <xdr:row>217</xdr:row>
      <xdr:rowOff>5715</xdr:rowOff>
    </xdr:to>
    <xdr:sp macro="" textlink="">
      <xdr:nvSpPr>
        <xdr:cNvPr id="28059" name="Freeform 511">
          <a:extLst>
            <a:ext uri="{FF2B5EF4-FFF2-40B4-BE49-F238E27FC236}">
              <a16:creationId xmlns:a16="http://schemas.microsoft.com/office/drawing/2014/main" id="{0716F716-D95B-2886-FF24-E5E807F9EEE7}"/>
            </a:ext>
          </a:extLst>
        </xdr:cNvPr>
        <xdr:cNvSpPr/>
      </xdr:nvSpPr>
      <xdr:spPr>
        <a:xfrm>
          <a:off x="1535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0</xdr:rowOff>
    </xdr:from>
    <xdr:to>
      <xdr:col>0</xdr:col>
      <xdr:colOff>5715</xdr:colOff>
      <xdr:row>120</xdr:row>
      <xdr:rowOff>5715</xdr:rowOff>
    </xdr:to>
    <xdr:sp macro="" textlink="">
      <xdr:nvSpPr>
        <xdr:cNvPr id="28060" name="Freeform 361">
          <a:extLst>
            <a:ext uri="{FF2B5EF4-FFF2-40B4-BE49-F238E27FC236}">
              <a16:creationId xmlns:a16="http://schemas.microsoft.com/office/drawing/2014/main" id="{43624A20-D513-CC07-B549-09DFDDE3F83E}"/>
            </a:ext>
          </a:extLst>
        </xdr:cNvPr>
        <xdr:cNvSpPr/>
      </xdr:nvSpPr>
      <xdr:spPr>
        <a:xfrm>
          <a:off x="2424430" y="8319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1" name="Freeform 516">
          <a:extLst>
            <a:ext uri="{FF2B5EF4-FFF2-40B4-BE49-F238E27FC236}">
              <a16:creationId xmlns:a16="http://schemas.microsoft.com/office/drawing/2014/main" id="{2D8A2CA7-A173-2045-7B83-C195DA8CDA1A}"/>
            </a:ext>
          </a:extLst>
        </xdr:cNvPr>
        <xdr:cNvSpPr/>
      </xdr:nvSpPr>
      <xdr:spPr>
        <a:xfrm>
          <a:off x="2424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2" name="Freeform 517">
          <a:extLst>
            <a:ext uri="{FF2B5EF4-FFF2-40B4-BE49-F238E27FC236}">
              <a16:creationId xmlns:a16="http://schemas.microsoft.com/office/drawing/2014/main" id="{8DF25253-6065-15BB-D7E7-38C8A1B48BA7}"/>
            </a:ext>
          </a:extLst>
        </xdr:cNvPr>
        <xdr:cNvSpPr/>
      </xdr:nvSpPr>
      <xdr:spPr>
        <a:xfrm>
          <a:off x="331851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3" name="Freeform 362">
          <a:extLst>
            <a:ext uri="{FF2B5EF4-FFF2-40B4-BE49-F238E27FC236}">
              <a16:creationId xmlns:a16="http://schemas.microsoft.com/office/drawing/2014/main" id="{FE9EB429-808E-76AF-515F-91224883CA55}"/>
            </a:ext>
          </a:extLst>
        </xdr:cNvPr>
        <xdr:cNvSpPr/>
      </xdr:nvSpPr>
      <xdr:spPr>
        <a:xfrm>
          <a:off x="3318510" y="8319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4" name="Freeform 529">
          <a:extLst>
            <a:ext uri="{FF2B5EF4-FFF2-40B4-BE49-F238E27FC236}">
              <a16:creationId xmlns:a16="http://schemas.microsoft.com/office/drawing/2014/main" id="{6429B3F8-8712-4D55-37A3-E521D4AF57D2}"/>
            </a:ext>
          </a:extLst>
        </xdr:cNvPr>
        <xdr:cNvSpPr/>
      </xdr:nvSpPr>
      <xdr:spPr>
        <a:xfrm>
          <a:off x="4211955" y="77730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5" name="Freeform 363">
          <a:extLst>
            <a:ext uri="{FF2B5EF4-FFF2-40B4-BE49-F238E27FC236}">
              <a16:creationId xmlns:a16="http://schemas.microsoft.com/office/drawing/2014/main" id="{FC5C0912-D125-F31F-BD63-662EC6C43654}"/>
            </a:ext>
          </a:extLst>
        </xdr:cNvPr>
        <xdr:cNvSpPr/>
      </xdr:nvSpPr>
      <xdr:spPr>
        <a:xfrm>
          <a:off x="4211955" y="8319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6" name="Freeform 521">
          <a:extLst>
            <a:ext uri="{FF2B5EF4-FFF2-40B4-BE49-F238E27FC236}">
              <a16:creationId xmlns:a16="http://schemas.microsoft.com/office/drawing/2014/main" id="{E3D8044C-1F99-28C4-7239-CDA3034FAF9A}"/>
            </a:ext>
          </a:extLst>
        </xdr:cNvPr>
        <xdr:cNvSpPr/>
      </xdr:nvSpPr>
      <xdr:spPr>
        <a:xfrm>
          <a:off x="5102225" y="77743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67" name="Freeform 353">
          <a:extLst>
            <a:ext uri="{FF2B5EF4-FFF2-40B4-BE49-F238E27FC236}">
              <a16:creationId xmlns:a16="http://schemas.microsoft.com/office/drawing/2014/main" id="{75C7E15D-D912-CBDB-DD78-CE2D2ADF99D3}"/>
            </a:ext>
          </a:extLst>
        </xdr:cNvPr>
        <xdr:cNvSpPr/>
      </xdr:nvSpPr>
      <xdr:spPr>
        <a:xfrm>
          <a:off x="5102225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8" name="Freeform 526">
          <a:extLst>
            <a:ext uri="{FF2B5EF4-FFF2-40B4-BE49-F238E27FC236}">
              <a16:creationId xmlns:a16="http://schemas.microsoft.com/office/drawing/2014/main" id="{AB95F54E-AFBE-F8F0-3C42-1FC7B1E54622}"/>
            </a:ext>
          </a:extLst>
        </xdr:cNvPr>
        <xdr:cNvSpPr/>
      </xdr:nvSpPr>
      <xdr:spPr>
        <a:xfrm>
          <a:off x="5995670" y="7785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9525</xdr:rowOff>
    </xdr:from>
    <xdr:to>
      <xdr:col>0</xdr:col>
      <xdr:colOff>5715</xdr:colOff>
      <xdr:row>120</xdr:row>
      <xdr:rowOff>15240</xdr:rowOff>
    </xdr:to>
    <xdr:sp macro="" textlink="">
      <xdr:nvSpPr>
        <xdr:cNvPr id="28069" name="Freeform 364">
          <a:extLst>
            <a:ext uri="{FF2B5EF4-FFF2-40B4-BE49-F238E27FC236}">
              <a16:creationId xmlns:a16="http://schemas.microsoft.com/office/drawing/2014/main" id="{22325C81-94E3-EC8B-B456-F6932670FC95}"/>
            </a:ext>
          </a:extLst>
        </xdr:cNvPr>
        <xdr:cNvSpPr/>
      </xdr:nvSpPr>
      <xdr:spPr>
        <a:xfrm>
          <a:off x="5995670" y="8324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70" name="Freeform 527">
          <a:extLst>
            <a:ext uri="{FF2B5EF4-FFF2-40B4-BE49-F238E27FC236}">
              <a16:creationId xmlns:a16="http://schemas.microsoft.com/office/drawing/2014/main" id="{DFE3AABC-C6B0-FA88-87AA-641D14547AF4}"/>
            </a:ext>
          </a:extLst>
        </xdr:cNvPr>
        <xdr:cNvSpPr/>
      </xdr:nvSpPr>
      <xdr:spPr>
        <a:xfrm>
          <a:off x="6889750" y="7785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9525</xdr:rowOff>
    </xdr:from>
    <xdr:to>
      <xdr:col>1</xdr:col>
      <xdr:colOff>291465</xdr:colOff>
      <xdr:row>120</xdr:row>
      <xdr:rowOff>15240</xdr:rowOff>
    </xdr:to>
    <xdr:sp macro="" textlink="">
      <xdr:nvSpPr>
        <xdr:cNvPr id="28071" name="Freeform 365">
          <a:extLst>
            <a:ext uri="{FF2B5EF4-FFF2-40B4-BE49-F238E27FC236}">
              <a16:creationId xmlns:a16="http://schemas.microsoft.com/office/drawing/2014/main" id="{24F2B9F8-3F26-BED0-3EEA-16C9CE76D3FF}"/>
            </a:ext>
          </a:extLst>
        </xdr:cNvPr>
        <xdr:cNvSpPr/>
      </xdr:nvSpPr>
      <xdr:spPr>
        <a:xfrm>
          <a:off x="6889750" y="8324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2" name="Freeform 226">
          <a:extLst>
            <a:ext uri="{FF2B5EF4-FFF2-40B4-BE49-F238E27FC236}">
              <a16:creationId xmlns:a16="http://schemas.microsoft.com/office/drawing/2014/main" id="{3CB5608F-E198-869A-D14E-CE2F29DD7FF4}"/>
            </a:ext>
          </a:extLst>
        </xdr:cNvPr>
        <xdr:cNvSpPr/>
      </xdr:nvSpPr>
      <xdr:spPr>
        <a:xfrm>
          <a:off x="641350" y="7306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0</xdr:rowOff>
    </xdr:from>
    <xdr:to>
      <xdr:col>1</xdr:col>
      <xdr:colOff>281940</xdr:colOff>
      <xdr:row>27</xdr:row>
      <xdr:rowOff>5715</xdr:rowOff>
    </xdr:to>
    <xdr:sp macro="" textlink="">
      <xdr:nvSpPr>
        <xdr:cNvPr id="28073" name="Freeform 227">
          <a:extLst>
            <a:ext uri="{FF2B5EF4-FFF2-40B4-BE49-F238E27FC236}">
              <a16:creationId xmlns:a16="http://schemas.microsoft.com/office/drawing/2014/main" id="{841BCB61-C538-D14D-0BA1-FCAF0C0CF697}"/>
            </a:ext>
          </a:extLst>
        </xdr:cNvPr>
        <xdr:cNvSpPr/>
      </xdr:nvSpPr>
      <xdr:spPr>
        <a:xfrm>
          <a:off x="153543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4" name="Freeform 230">
          <a:extLst>
            <a:ext uri="{FF2B5EF4-FFF2-40B4-BE49-F238E27FC236}">
              <a16:creationId xmlns:a16="http://schemas.microsoft.com/office/drawing/2014/main" id="{C5823C47-75B0-DF79-6F47-6C99FDA8FD7C}"/>
            </a:ext>
          </a:extLst>
        </xdr:cNvPr>
        <xdr:cNvSpPr/>
      </xdr:nvSpPr>
      <xdr:spPr>
        <a:xfrm>
          <a:off x="2424430" y="730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5" name="Freeform 231">
          <a:extLst>
            <a:ext uri="{FF2B5EF4-FFF2-40B4-BE49-F238E27FC236}">
              <a16:creationId xmlns:a16="http://schemas.microsoft.com/office/drawing/2014/main" id="{5DD99E60-6771-413F-FB5D-054D9DB383F5}"/>
            </a:ext>
          </a:extLst>
        </xdr:cNvPr>
        <xdr:cNvSpPr/>
      </xdr:nvSpPr>
      <xdr:spPr>
        <a:xfrm>
          <a:off x="3318510" y="7305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6" name="Freeform 232">
          <a:extLst>
            <a:ext uri="{FF2B5EF4-FFF2-40B4-BE49-F238E27FC236}">
              <a16:creationId xmlns:a16="http://schemas.microsoft.com/office/drawing/2014/main" id="{885BB94C-57D5-C7B5-63BF-A01C8D068AB1}"/>
            </a:ext>
          </a:extLst>
        </xdr:cNvPr>
        <xdr:cNvSpPr/>
      </xdr:nvSpPr>
      <xdr:spPr>
        <a:xfrm>
          <a:off x="4211320" y="73063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7" name="Freeform 233">
          <a:extLst>
            <a:ext uri="{FF2B5EF4-FFF2-40B4-BE49-F238E27FC236}">
              <a16:creationId xmlns:a16="http://schemas.microsoft.com/office/drawing/2014/main" id="{EC7B3C11-0B6B-7E55-04A9-6F41ACD0076C}"/>
            </a:ext>
          </a:extLst>
        </xdr:cNvPr>
        <xdr:cNvSpPr/>
      </xdr:nvSpPr>
      <xdr:spPr>
        <a:xfrm>
          <a:off x="510286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8" name="Freeform 235">
          <a:extLst>
            <a:ext uri="{FF2B5EF4-FFF2-40B4-BE49-F238E27FC236}">
              <a16:creationId xmlns:a16="http://schemas.microsoft.com/office/drawing/2014/main" id="{1E296331-CAF9-48AF-B022-B8114EB71F26}"/>
            </a:ext>
          </a:extLst>
        </xdr:cNvPr>
        <xdr:cNvSpPr/>
      </xdr:nvSpPr>
      <xdr:spPr>
        <a:xfrm>
          <a:off x="5995035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79" name="Freeform 530">
          <a:extLst>
            <a:ext uri="{FF2B5EF4-FFF2-40B4-BE49-F238E27FC236}">
              <a16:creationId xmlns:a16="http://schemas.microsoft.com/office/drawing/2014/main" id="{8A7588D2-FE3D-D5A8-7CBE-C8D661783621}"/>
            </a:ext>
          </a:extLst>
        </xdr:cNvPr>
        <xdr:cNvSpPr/>
      </xdr:nvSpPr>
      <xdr:spPr>
        <a:xfrm>
          <a:off x="64135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80" name="Freeform 236">
          <a:extLst>
            <a:ext uri="{FF2B5EF4-FFF2-40B4-BE49-F238E27FC236}">
              <a16:creationId xmlns:a16="http://schemas.microsoft.com/office/drawing/2014/main" id="{5A2F87A7-DE14-8FF2-2BA0-2F5DBDB81EFA}"/>
            </a:ext>
          </a:extLst>
        </xdr:cNvPr>
        <xdr:cNvSpPr/>
      </xdr:nvSpPr>
      <xdr:spPr>
        <a:xfrm>
          <a:off x="688975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218</xdr:row>
      <xdr:rowOff>0</xdr:rowOff>
    </xdr:from>
    <xdr:to>
      <xdr:col>1</xdr:col>
      <xdr:colOff>281940</xdr:colOff>
      <xdr:row>218</xdr:row>
      <xdr:rowOff>5715</xdr:rowOff>
    </xdr:to>
    <xdr:sp macro="" textlink="">
      <xdr:nvSpPr>
        <xdr:cNvPr id="28081" name="Freeform 531">
          <a:extLst>
            <a:ext uri="{FF2B5EF4-FFF2-40B4-BE49-F238E27FC236}">
              <a16:creationId xmlns:a16="http://schemas.microsoft.com/office/drawing/2014/main" id="{CD852EC1-1ECB-2DDA-7280-1BEDD3AFE652}"/>
            </a:ext>
          </a:extLst>
        </xdr:cNvPr>
        <xdr:cNvSpPr/>
      </xdr:nvSpPr>
      <xdr:spPr>
        <a:xfrm>
          <a:off x="1535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82" name="Freeform 536">
          <a:extLst>
            <a:ext uri="{FF2B5EF4-FFF2-40B4-BE49-F238E27FC236}">
              <a16:creationId xmlns:a16="http://schemas.microsoft.com/office/drawing/2014/main" id="{53256540-D4D3-9233-EA4E-47678D69ADF7}"/>
            </a:ext>
          </a:extLst>
        </xdr:cNvPr>
        <xdr:cNvSpPr/>
      </xdr:nvSpPr>
      <xdr:spPr>
        <a:xfrm>
          <a:off x="2424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3" name="Freeform 537">
          <a:extLst>
            <a:ext uri="{FF2B5EF4-FFF2-40B4-BE49-F238E27FC236}">
              <a16:creationId xmlns:a16="http://schemas.microsoft.com/office/drawing/2014/main" id="{A7C52C74-8268-D0A3-9F52-07B4828B652C}"/>
            </a:ext>
          </a:extLst>
        </xdr:cNvPr>
        <xdr:cNvSpPr/>
      </xdr:nvSpPr>
      <xdr:spPr>
        <a:xfrm>
          <a:off x="331851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4" name="Freeform 542">
          <a:extLst>
            <a:ext uri="{FF2B5EF4-FFF2-40B4-BE49-F238E27FC236}">
              <a16:creationId xmlns:a16="http://schemas.microsoft.com/office/drawing/2014/main" id="{35ECAFA0-BB6A-1985-7CE8-D12D743CFA27}"/>
            </a:ext>
          </a:extLst>
        </xdr:cNvPr>
        <xdr:cNvSpPr/>
      </xdr:nvSpPr>
      <xdr:spPr>
        <a:xfrm>
          <a:off x="4211955" y="7955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5" name="Freeform 543">
          <a:extLst>
            <a:ext uri="{FF2B5EF4-FFF2-40B4-BE49-F238E27FC236}">
              <a16:creationId xmlns:a16="http://schemas.microsoft.com/office/drawing/2014/main" id="{8CA59917-41CF-8517-E43C-4401425E2FE9}"/>
            </a:ext>
          </a:extLst>
        </xdr:cNvPr>
        <xdr:cNvSpPr/>
      </xdr:nvSpPr>
      <xdr:spPr>
        <a:xfrm>
          <a:off x="5103495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9525</xdr:rowOff>
    </xdr:from>
    <xdr:to>
      <xdr:col>0</xdr:col>
      <xdr:colOff>5715</xdr:colOff>
      <xdr:row>218</xdr:row>
      <xdr:rowOff>15240</xdr:rowOff>
    </xdr:to>
    <xdr:sp macro="" textlink="">
      <xdr:nvSpPr>
        <xdr:cNvPr id="28086" name="Freeform 546">
          <a:extLst>
            <a:ext uri="{FF2B5EF4-FFF2-40B4-BE49-F238E27FC236}">
              <a16:creationId xmlns:a16="http://schemas.microsoft.com/office/drawing/2014/main" id="{D60AF239-0420-BBB0-A231-3203C7064D6D}"/>
            </a:ext>
          </a:extLst>
        </xdr:cNvPr>
        <xdr:cNvSpPr/>
      </xdr:nvSpPr>
      <xdr:spPr>
        <a:xfrm>
          <a:off x="5995670" y="79622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9525</xdr:rowOff>
    </xdr:from>
    <xdr:to>
      <xdr:col>1</xdr:col>
      <xdr:colOff>291465</xdr:colOff>
      <xdr:row>218</xdr:row>
      <xdr:rowOff>15240</xdr:rowOff>
    </xdr:to>
    <xdr:sp macro="" textlink="">
      <xdr:nvSpPr>
        <xdr:cNvPr id="28087" name="Freeform 547">
          <a:extLst>
            <a:ext uri="{FF2B5EF4-FFF2-40B4-BE49-F238E27FC236}">
              <a16:creationId xmlns:a16="http://schemas.microsoft.com/office/drawing/2014/main" id="{448C52EC-6C53-728E-058A-E4F7CDAE2609}"/>
            </a:ext>
          </a:extLst>
        </xdr:cNvPr>
        <xdr:cNvSpPr/>
      </xdr:nvSpPr>
      <xdr:spPr>
        <a:xfrm>
          <a:off x="6889750" y="79622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88" name="Freeform 366">
          <a:extLst>
            <a:ext uri="{FF2B5EF4-FFF2-40B4-BE49-F238E27FC236}">
              <a16:creationId xmlns:a16="http://schemas.microsoft.com/office/drawing/2014/main" id="{6DA39302-3049-C100-6178-088C548D85E4}"/>
            </a:ext>
          </a:extLst>
        </xdr:cNvPr>
        <xdr:cNvSpPr/>
      </xdr:nvSpPr>
      <xdr:spPr>
        <a:xfrm>
          <a:off x="64135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122</xdr:row>
      <xdr:rowOff>0</xdr:rowOff>
    </xdr:from>
    <xdr:to>
      <xdr:col>1</xdr:col>
      <xdr:colOff>281940</xdr:colOff>
      <xdr:row>122</xdr:row>
      <xdr:rowOff>5715</xdr:rowOff>
    </xdr:to>
    <xdr:sp macro="" textlink="">
      <xdr:nvSpPr>
        <xdr:cNvPr id="28089" name="Freeform 367">
          <a:extLst>
            <a:ext uri="{FF2B5EF4-FFF2-40B4-BE49-F238E27FC236}">
              <a16:creationId xmlns:a16="http://schemas.microsoft.com/office/drawing/2014/main" id="{53EDA9D0-559D-BA51-6170-19A0DD2FBB12}"/>
            </a:ext>
          </a:extLst>
        </xdr:cNvPr>
        <xdr:cNvSpPr/>
      </xdr:nvSpPr>
      <xdr:spPr>
        <a:xfrm>
          <a:off x="1535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90" name="Freeform 368">
          <a:extLst>
            <a:ext uri="{FF2B5EF4-FFF2-40B4-BE49-F238E27FC236}">
              <a16:creationId xmlns:a16="http://schemas.microsoft.com/office/drawing/2014/main" id="{AE18C9CD-4A8E-3BDC-30E0-3DDF4374EBEE}"/>
            </a:ext>
          </a:extLst>
        </xdr:cNvPr>
        <xdr:cNvSpPr/>
      </xdr:nvSpPr>
      <xdr:spPr>
        <a:xfrm>
          <a:off x="2424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1" name="Freeform 369">
          <a:extLst>
            <a:ext uri="{FF2B5EF4-FFF2-40B4-BE49-F238E27FC236}">
              <a16:creationId xmlns:a16="http://schemas.microsoft.com/office/drawing/2014/main" id="{6EC3A544-1E61-4728-BB31-F931B08A5756}"/>
            </a:ext>
          </a:extLst>
        </xdr:cNvPr>
        <xdr:cNvSpPr/>
      </xdr:nvSpPr>
      <xdr:spPr>
        <a:xfrm>
          <a:off x="331851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2" name="Freeform 370">
          <a:extLst>
            <a:ext uri="{FF2B5EF4-FFF2-40B4-BE49-F238E27FC236}">
              <a16:creationId xmlns:a16="http://schemas.microsoft.com/office/drawing/2014/main" id="{E715FD8F-0D1D-E6B1-E0BA-C1644B878244}"/>
            </a:ext>
          </a:extLst>
        </xdr:cNvPr>
        <xdr:cNvSpPr/>
      </xdr:nvSpPr>
      <xdr:spPr>
        <a:xfrm>
          <a:off x="4211955" y="88671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3" name="Freeform 371">
          <a:extLst>
            <a:ext uri="{FF2B5EF4-FFF2-40B4-BE49-F238E27FC236}">
              <a16:creationId xmlns:a16="http://schemas.microsoft.com/office/drawing/2014/main" id="{562AB5B1-25C5-21BA-16FD-F881DA5B3B2B}"/>
            </a:ext>
          </a:extLst>
        </xdr:cNvPr>
        <xdr:cNvSpPr/>
      </xdr:nvSpPr>
      <xdr:spPr>
        <a:xfrm>
          <a:off x="5103495" y="88665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9525</xdr:rowOff>
    </xdr:from>
    <xdr:to>
      <xdr:col>0</xdr:col>
      <xdr:colOff>5715</xdr:colOff>
      <xdr:row>122</xdr:row>
      <xdr:rowOff>15240</xdr:rowOff>
    </xdr:to>
    <xdr:sp macro="" textlink="">
      <xdr:nvSpPr>
        <xdr:cNvPr id="28094" name="Freeform 372">
          <a:extLst>
            <a:ext uri="{FF2B5EF4-FFF2-40B4-BE49-F238E27FC236}">
              <a16:creationId xmlns:a16="http://schemas.microsoft.com/office/drawing/2014/main" id="{AE05B0D2-ADC2-747B-4CEF-05AAC6E5259C}"/>
            </a:ext>
          </a:extLst>
        </xdr:cNvPr>
        <xdr:cNvSpPr/>
      </xdr:nvSpPr>
      <xdr:spPr>
        <a:xfrm>
          <a:off x="5995670" y="88722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5" name="Freeform 532">
          <a:extLst>
            <a:ext uri="{FF2B5EF4-FFF2-40B4-BE49-F238E27FC236}">
              <a16:creationId xmlns:a16="http://schemas.microsoft.com/office/drawing/2014/main" id="{11BBBF5E-325A-7B16-F50A-377D4FD52060}"/>
            </a:ext>
          </a:extLst>
        </xdr:cNvPr>
        <xdr:cNvSpPr/>
      </xdr:nvSpPr>
      <xdr:spPr>
        <a:xfrm>
          <a:off x="64135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9525</xdr:rowOff>
    </xdr:from>
    <xdr:to>
      <xdr:col>1</xdr:col>
      <xdr:colOff>291465</xdr:colOff>
      <xdr:row>122</xdr:row>
      <xdr:rowOff>15240</xdr:rowOff>
    </xdr:to>
    <xdr:sp macro="" textlink="">
      <xdr:nvSpPr>
        <xdr:cNvPr id="28096" name="Freeform 373">
          <a:extLst>
            <a:ext uri="{FF2B5EF4-FFF2-40B4-BE49-F238E27FC236}">
              <a16:creationId xmlns:a16="http://schemas.microsoft.com/office/drawing/2014/main" id="{78223796-241E-4E0C-1098-266A4A871223}"/>
            </a:ext>
          </a:extLst>
        </xdr:cNvPr>
        <xdr:cNvSpPr/>
      </xdr:nvSpPr>
      <xdr:spPr>
        <a:xfrm>
          <a:off x="6889750" y="88722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219</xdr:row>
      <xdr:rowOff>0</xdr:rowOff>
    </xdr:from>
    <xdr:to>
      <xdr:col>1</xdr:col>
      <xdr:colOff>281940</xdr:colOff>
      <xdr:row>219</xdr:row>
      <xdr:rowOff>5715</xdr:rowOff>
    </xdr:to>
    <xdr:sp macro="" textlink="">
      <xdr:nvSpPr>
        <xdr:cNvPr id="28097" name="Freeform 533">
          <a:extLst>
            <a:ext uri="{FF2B5EF4-FFF2-40B4-BE49-F238E27FC236}">
              <a16:creationId xmlns:a16="http://schemas.microsoft.com/office/drawing/2014/main" id="{0AFAB60C-40A6-CA83-291D-68AC7317B72B}"/>
            </a:ext>
          </a:extLst>
        </xdr:cNvPr>
        <xdr:cNvSpPr/>
      </xdr:nvSpPr>
      <xdr:spPr>
        <a:xfrm>
          <a:off x="1535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8" name="Freeform 538">
          <a:extLst>
            <a:ext uri="{FF2B5EF4-FFF2-40B4-BE49-F238E27FC236}">
              <a16:creationId xmlns:a16="http://schemas.microsoft.com/office/drawing/2014/main" id="{3184ACB2-1065-F15D-53CE-48CAF7C4F803}"/>
            </a:ext>
          </a:extLst>
        </xdr:cNvPr>
        <xdr:cNvSpPr/>
      </xdr:nvSpPr>
      <xdr:spPr>
        <a:xfrm>
          <a:off x="2424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099" name="Freeform 539">
          <a:extLst>
            <a:ext uri="{FF2B5EF4-FFF2-40B4-BE49-F238E27FC236}">
              <a16:creationId xmlns:a16="http://schemas.microsoft.com/office/drawing/2014/main" id="{511EF025-41AE-1236-2BC8-22A062A2B2CC}"/>
            </a:ext>
          </a:extLst>
        </xdr:cNvPr>
        <xdr:cNvSpPr/>
      </xdr:nvSpPr>
      <xdr:spPr>
        <a:xfrm>
          <a:off x="331851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0" name="Freeform 375">
          <a:extLst>
            <a:ext uri="{FF2B5EF4-FFF2-40B4-BE49-F238E27FC236}">
              <a16:creationId xmlns:a16="http://schemas.microsoft.com/office/drawing/2014/main" id="{B71F2F19-C184-0C21-866D-3E767C39C061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101" name="Freeform 552">
          <a:extLst>
            <a:ext uri="{FF2B5EF4-FFF2-40B4-BE49-F238E27FC236}">
              <a16:creationId xmlns:a16="http://schemas.microsoft.com/office/drawing/2014/main" id="{B7B8F06D-8AC9-D55F-7A97-44FDBBBF1BE2}"/>
            </a:ext>
          </a:extLst>
        </xdr:cNvPr>
        <xdr:cNvSpPr/>
      </xdr:nvSpPr>
      <xdr:spPr>
        <a:xfrm>
          <a:off x="4211955" y="81375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2" name="Freeform 374">
          <a:extLst>
            <a:ext uri="{FF2B5EF4-FFF2-40B4-BE49-F238E27FC236}">
              <a16:creationId xmlns:a16="http://schemas.microsoft.com/office/drawing/2014/main" id="{110776A3-A6FE-8EA6-02D4-544C1432837F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103" name="Freeform 544">
          <a:extLst>
            <a:ext uri="{FF2B5EF4-FFF2-40B4-BE49-F238E27FC236}">
              <a16:creationId xmlns:a16="http://schemas.microsoft.com/office/drawing/2014/main" id="{34E25C3A-66C5-5771-8275-62710E53DCC3}"/>
            </a:ext>
          </a:extLst>
        </xdr:cNvPr>
        <xdr:cNvSpPr/>
      </xdr:nvSpPr>
      <xdr:spPr>
        <a:xfrm>
          <a:off x="5102225" y="81394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9525</xdr:rowOff>
    </xdr:from>
    <xdr:to>
      <xdr:col>0</xdr:col>
      <xdr:colOff>5715</xdr:colOff>
      <xdr:row>219</xdr:row>
      <xdr:rowOff>15240</xdr:rowOff>
    </xdr:to>
    <xdr:sp macro="" textlink="">
      <xdr:nvSpPr>
        <xdr:cNvPr id="28104" name="Freeform 548">
          <a:extLst>
            <a:ext uri="{FF2B5EF4-FFF2-40B4-BE49-F238E27FC236}">
              <a16:creationId xmlns:a16="http://schemas.microsoft.com/office/drawing/2014/main" id="{B3409290-23DA-09BC-E106-3A242E81D195}"/>
            </a:ext>
          </a:extLst>
        </xdr:cNvPr>
        <xdr:cNvSpPr/>
      </xdr:nvSpPr>
      <xdr:spPr>
        <a:xfrm>
          <a:off x="5995670" y="8150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167</xdr:row>
      <xdr:rowOff>180975</xdr:rowOff>
    </xdr:from>
    <xdr:to>
      <xdr:col>5</xdr:col>
      <xdr:colOff>291465</xdr:colOff>
      <xdr:row>167</xdr:row>
      <xdr:rowOff>186690</xdr:rowOff>
    </xdr:to>
    <xdr:sp macro="" textlink="">
      <xdr:nvSpPr>
        <xdr:cNvPr id="28105" name="Freeform 376">
          <a:extLst>
            <a:ext uri="{FF2B5EF4-FFF2-40B4-BE49-F238E27FC236}">
              <a16:creationId xmlns:a16="http://schemas.microsoft.com/office/drawing/2014/main" id="{322938AF-81C2-258D-7FE5-D82C30D51A44}"/>
            </a:ext>
          </a:extLst>
        </xdr:cNvPr>
        <xdr:cNvSpPr/>
      </xdr:nvSpPr>
      <xdr:spPr>
        <a:xfrm>
          <a:off x="3330575" y="950087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9525</xdr:rowOff>
    </xdr:from>
    <xdr:to>
      <xdr:col>1</xdr:col>
      <xdr:colOff>291465</xdr:colOff>
      <xdr:row>219</xdr:row>
      <xdr:rowOff>15240</xdr:rowOff>
    </xdr:to>
    <xdr:sp macro="" textlink="">
      <xdr:nvSpPr>
        <xdr:cNvPr id="28106" name="Freeform 549">
          <a:extLst>
            <a:ext uri="{FF2B5EF4-FFF2-40B4-BE49-F238E27FC236}">
              <a16:creationId xmlns:a16="http://schemas.microsoft.com/office/drawing/2014/main" id="{26B41966-7F1B-5541-323B-C972C5030801}"/>
            </a:ext>
          </a:extLst>
        </xdr:cNvPr>
        <xdr:cNvSpPr/>
      </xdr:nvSpPr>
      <xdr:spPr>
        <a:xfrm>
          <a:off x="6889750" y="8150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167</xdr:row>
      <xdr:rowOff>180975</xdr:rowOff>
    </xdr:from>
    <xdr:to>
      <xdr:col>6</xdr:col>
      <xdr:colOff>577215</xdr:colOff>
      <xdr:row>167</xdr:row>
      <xdr:rowOff>186690</xdr:rowOff>
    </xdr:to>
    <xdr:sp macro="" textlink="">
      <xdr:nvSpPr>
        <xdr:cNvPr id="28107" name="Freeform 377">
          <a:extLst>
            <a:ext uri="{FF2B5EF4-FFF2-40B4-BE49-F238E27FC236}">
              <a16:creationId xmlns:a16="http://schemas.microsoft.com/office/drawing/2014/main" id="{7E07682C-FCA7-7ACE-3AB0-1FBC43A3FB48}"/>
            </a:ext>
          </a:extLst>
        </xdr:cNvPr>
        <xdr:cNvSpPr/>
      </xdr:nvSpPr>
      <xdr:spPr>
        <a:xfrm>
          <a:off x="4225290" y="950087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13" name="Freeform 228">
          <a:extLst>
            <a:ext uri="{FF2B5EF4-FFF2-40B4-BE49-F238E27FC236}">
              <a16:creationId xmlns:a16="http://schemas.microsoft.com/office/drawing/2014/main" id="{651AF275-4801-1AD2-C540-74DE1C9A97C2}"/>
            </a:ext>
          </a:extLst>
        </xdr:cNvPr>
        <xdr:cNvSpPr/>
      </xdr:nvSpPr>
      <xdr:spPr>
        <a:xfrm>
          <a:off x="641350" y="77933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29</xdr:row>
      <xdr:rowOff>104775</xdr:rowOff>
    </xdr:from>
    <xdr:to>
      <xdr:col>1</xdr:col>
      <xdr:colOff>281940</xdr:colOff>
      <xdr:row>29</xdr:row>
      <xdr:rowOff>110490</xdr:rowOff>
    </xdr:to>
    <xdr:sp macro="" textlink="">
      <xdr:nvSpPr>
        <xdr:cNvPr id="28115" name="Freeform 229">
          <a:extLst>
            <a:ext uri="{FF2B5EF4-FFF2-40B4-BE49-F238E27FC236}">
              <a16:creationId xmlns:a16="http://schemas.microsoft.com/office/drawing/2014/main" id="{A190E7D1-587C-F051-1B43-23CDA045C0AC}"/>
            </a:ext>
          </a:extLst>
        </xdr:cNvPr>
        <xdr:cNvSpPr/>
      </xdr:nvSpPr>
      <xdr:spPr>
        <a:xfrm>
          <a:off x="1535430" y="77933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16" name="Freeform 237">
          <a:extLst>
            <a:ext uri="{FF2B5EF4-FFF2-40B4-BE49-F238E27FC236}">
              <a16:creationId xmlns:a16="http://schemas.microsoft.com/office/drawing/2014/main" id="{6E316922-A91D-015E-9376-E9C5AE401F49}"/>
            </a:ext>
          </a:extLst>
        </xdr:cNvPr>
        <xdr:cNvSpPr/>
      </xdr:nvSpPr>
      <xdr:spPr>
        <a:xfrm>
          <a:off x="2424430" y="77895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7" name="Freeform 238">
          <a:extLst>
            <a:ext uri="{FF2B5EF4-FFF2-40B4-BE49-F238E27FC236}">
              <a16:creationId xmlns:a16="http://schemas.microsoft.com/office/drawing/2014/main" id="{12BC40A8-0E09-7323-7DCD-A4CC8D448B33}"/>
            </a:ext>
          </a:extLst>
        </xdr:cNvPr>
        <xdr:cNvSpPr/>
      </xdr:nvSpPr>
      <xdr:spPr>
        <a:xfrm>
          <a:off x="3318510" y="77895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18" name="Freeform 534">
          <a:extLst>
            <a:ext uri="{FF2B5EF4-FFF2-40B4-BE49-F238E27FC236}">
              <a16:creationId xmlns:a16="http://schemas.microsoft.com/office/drawing/2014/main" id="{7F73F706-B1FB-CA8B-0550-6A6835DCD2CA}"/>
            </a:ext>
          </a:extLst>
        </xdr:cNvPr>
        <xdr:cNvSpPr/>
      </xdr:nvSpPr>
      <xdr:spPr>
        <a:xfrm>
          <a:off x="64135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9" name="Freeform 239">
          <a:extLst>
            <a:ext uri="{FF2B5EF4-FFF2-40B4-BE49-F238E27FC236}">
              <a16:creationId xmlns:a16="http://schemas.microsoft.com/office/drawing/2014/main" id="{B263FE13-6E65-4224-3EDA-DF50C9EAF3D3}"/>
            </a:ext>
          </a:extLst>
        </xdr:cNvPr>
        <xdr:cNvSpPr/>
      </xdr:nvSpPr>
      <xdr:spPr>
        <a:xfrm>
          <a:off x="4211320" y="77876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220</xdr:row>
      <xdr:rowOff>0</xdr:rowOff>
    </xdr:from>
    <xdr:to>
      <xdr:col>1</xdr:col>
      <xdr:colOff>281940</xdr:colOff>
      <xdr:row>220</xdr:row>
      <xdr:rowOff>5715</xdr:rowOff>
    </xdr:to>
    <xdr:sp macro="" textlink="">
      <xdr:nvSpPr>
        <xdr:cNvPr id="28120" name="Freeform 535">
          <a:extLst>
            <a:ext uri="{FF2B5EF4-FFF2-40B4-BE49-F238E27FC236}">
              <a16:creationId xmlns:a16="http://schemas.microsoft.com/office/drawing/2014/main" id="{EFF56B35-A1A4-F63E-4DD1-F6421A45582B}"/>
            </a:ext>
          </a:extLst>
        </xdr:cNvPr>
        <xdr:cNvSpPr/>
      </xdr:nvSpPr>
      <xdr:spPr>
        <a:xfrm>
          <a:off x="1535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1" name="Freeform 540">
          <a:extLst>
            <a:ext uri="{FF2B5EF4-FFF2-40B4-BE49-F238E27FC236}">
              <a16:creationId xmlns:a16="http://schemas.microsoft.com/office/drawing/2014/main" id="{C93F385F-68C6-24B0-0FD2-27EE070499E1}"/>
            </a:ext>
          </a:extLst>
        </xdr:cNvPr>
        <xdr:cNvSpPr/>
      </xdr:nvSpPr>
      <xdr:spPr>
        <a:xfrm>
          <a:off x="2424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22" name="Freeform 234">
          <a:extLst>
            <a:ext uri="{FF2B5EF4-FFF2-40B4-BE49-F238E27FC236}">
              <a16:creationId xmlns:a16="http://schemas.microsoft.com/office/drawing/2014/main" id="{F89F40ED-BF0D-3EB7-B707-8DAD90D513FE}"/>
            </a:ext>
          </a:extLst>
        </xdr:cNvPr>
        <xdr:cNvSpPr/>
      </xdr:nvSpPr>
      <xdr:spPr>
        <a:xfrm>
          <a:off x="5101590" y="7794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3" name="Freeform 541">
          <a:extLst>
            <a:ext uri="{FF2B5EF4-FFF2-40B4-BE49-F238E27FC236}">
              <a16:creationId xmlns:a16="http://schemas.microsoft.com/office/drawing/2014/main" id="{F57EAE8F-36BE-7ED9-85C6-7FFF2528476A}"/>
            </a:ext>
          </a:extLst>
        </xdr:cNvPr>
        <xdr:cNvSpPr/>
      </xdr:nvSpPr>
      <xdr:spPr>
        <a:xfrm>
          <a:off x="331851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24" name="Freeform 240">
          <a:extLst>
            <a:ext uri="{FF2B5EF4-FFF2-40B4-BE49-F238E27FC236}">
              <a16:creationId xmlns:a16="http://schemas.microsoft.com/office/drawing/2014/main" id="{64CC2DD0-6CEF-CAF8-7A6E-E9121E3873D9}"/>
            </a:ext>
          </a:extLst>
        </xdr:cNvPr>
        <xdr:cNvSpPr/>
      </xdr:nvSpPr>
      <xdr:spPr>
        <a:xfrm>
          <a:off x="5995035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5" name="Freeform 553">
          <a:extLst>
            <a:ext uri="{FF2B5EF4-FFF2-40B4-BE49-F238E27FC236}">
              <a16:creationId xmlns:a16="http://schemas.microsoft.com/office/drawing/2014/main" id="{4E6590EE-0A7D-DBEA-4E86-058B3557744D}"/>
            </a:ext>
          </a:extLst>
        </xdr:cNvPr>
        <xdr:cNvSpPr/>
      </xdr:nvSpPr>
      <xdr:spPr>
        <a:xfrm>
          <a:off x="4211955" y="83280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26" name="Freeform 241">
          <a:extLst>
            <a:ext uri="{FF2B5EF4-FFF2-40B4-BE49-F238E27FC236}">
              <a16:creationId xmlns:a16="http://schemas.microsoft.com/office/drawing/2014/main" id="{C3C54CFC-60C6-0B43-AB45-B92D80226F65}"/>
            </a:ext>
          </a:extLst>
        </xdr:cNvPr>
        <xdr:cNvSpPr/>
      </xdr:nvSpPr>
      <xdr:spPr>
        <a:xfrm>
          <a:off x="6889750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7" name="Freeform 545">
          <a:extLst>
            <a:ext uri="{FF2B5EF4-FFF2-40B4-BE49-F238E27FC236}">
              <a16:creationId xmlns:a16="http://schemas.microsoft.com/office/drawing/2014/main" id="{67C5FD33-1F3E-C119-17C7-75D61C7A7BC4}"/>
            </a:ext>
          </a:extLst>
        </xdr:cNvPr>
        <xdr:cNvSpPr/>
      </xdr:nvSpPr>
      <xdr:spPr>
        <a:xfrm>
          <a:off x="5102225" y="83292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9525</xdr:rowOff>
    </xdr:from>
    <xdr:to>
      <xdr:col>0</xdr:col>
      <xdr:colOff>5715</xdr:colOff>
      <xdr:row>220</xdr:row>
      <xdr:rowOff>15240</xdr:rowOff>
    </xdr:to>
    <xdr:sp macro="" textlink="">
      <xdr:nvSpPr>
        <xdr:cNvPr id="28128" name="Freeform 550">
          <a:extLst>
            <a:ext uri="{FF2B5EF4-FFF2-40B4-BE49-F238E27FC236}">
              <a16:creationId xmlns:a16="http://schemas.microsoft.com/office/drawing/2014/main" id="{C9A0A922-1AC7-CD0C-E130-E7CD634D9BA7}"/>
            </a:ext>
          </a:extLst>
        </xdr:cNvPr>
        <xdr:cNvSpPr/>
      </xdr:nvSpPr>
      <xdr:spPr>
        <a:xfrm>
          <a:off x="5995670" y="83413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9525</xdr:rowOff>
    </xdr:from>
    <xdr:to>
      <xdr:col>1</xdr:col>
      <xdr:colOff>291465</xdr:colOff>
      <xdr:row>220</xdr:row>
      <xdr:rowOff>15240</xdr:rowOff>
    </xdr:to>
    <xdr:sp macro="" textlink="">
      <xdr:nvSpPr>
        <xdr:cNvPr id="28129" name="Freeform 551">
          <a:extLst>
            <a:ext uri="{FF2B5EF4-FFF2-40B4-BE49-F238E27FC236}">
              <a16:creationId xmlns:a16="http://schemas.microsoft.com/office/drawing/2014/main" id="{A44321B3-A1A2-3D35-242F-CCA65A77036A}"/>
            </a:ext>
          </a:extLst>
        </xdr:cNvPr>
        <xdr:cNvSpPr/>
      </xdr:nvSpPr>
      <xdr:spPr>
        <a:xfrm>
          <a:off x="6889750" y="83413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0" name="Freeform 243">
          <a:extLst>
            <a:ext uri="{FF2B5EF4-FFF2-40B4-BE49-F238E27FC236}">
              <a16:creationId xmlns:a16="http://schemas.microsoft.com/office/drawing/2014/main" id="{101464FD-C5EE-BF58-5A64-BB9231A86517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1" name="Freeform 242">
          <a:extLst>
            <a:ext uri="{FF2B5EF4-FFF2-40B4-BE49-F238E27FC236}">
              <a16:creationId xmlns:a16="http://schemas.microsoft.com/office/drawing/2014/main" id="{683B0ACF-7E7B-E872-A028-8D72BEC84C16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64</xdr:row>
      <xdr:rowOff>171450</xdr:rowOff>
    </xdr:from>
    <xdr:to>
      <xdr:col>5</xdr:col>
      <xdr:colOff>291465</xdr:colOff>
      <xdr:row>64</xdr:row>
      <xdr:rowOff>177165</xdr:rowOff>
    </xdr:to>
    <xdr:sp macro="" textlink="">
      <xdr:nvSpPr>
        <xdr:cNvPr id="28134" name="Freeform 244">
          <a:extLst>
            <a:ext uri="{FF2B5EF4-FFF2-40B4-BE49-F238E27FC236}">
              <a16:creationId xmlns:a16="http://schemas.microsoft.com/office/drawing/2014/main" id="{D8F19F01-C34E-8030-DE0B-D2894D4FD06A}"/>
            </a:ext>
          </a:extLst>
        </xdr:cNvPr>
        <xdr:cNvSpPr/>
      </xdr:nvSpPr>
      <xdr:spPr>
        <a:xfrm>
          <a:off x="3330575" y="8195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68</xdr:row>
      <xdr:rowOff>171450</xdr:rowOff>
    </xdr:from>
    <xdr:to>
      <xdr:col>6</xdr:col>
      <xdr:colOff>577215</xdr:colOff>
      <xdr:row>68</xdr:row>
      <xdr:rowOff>177165</xdr:rowOff>
    </xdr:to>
    <xdr:sp macro="" textlink="">
      <xdr:nvSpPr>
        <xdr:cNvPr id="28136" name="Freeform 245">
          <a:extLst>
            <a:ext uri="{FF2B5EF4-FFF2-40B4-BE49-F238E27FC236}">
              <a16:creationId xmlns:a16="http://schemas.microsoft.com/office/drawing/2014/main" id="{D4244A6C-4E4B-D800-763F-EC9950CB0EF7}"/>
            </a:ext>
          </a:extLst>
        </xdr:cNvPr>
        <xdr:cNvSpPr/>
      </xdr:nvSpPr>
      <xdr:spPr>
        <a:xfrm>
          <a:off x="4225290" y="819531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4" name="Freeform 251">
          <a:extLst>
            <a:ext uri="{FF2B5EF4-FFF2-40B4-BE49-F238E27FC236}">
              <a16:creationId xmlns:a16="http://schemas.microsoft.com/office/drawing/2014/main" id="{0402E831-24BD-BD30-F0B8-55D51EDEC0BB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6" name="Freeform 250">
          <a:extLst>
            <a:ext uri="{FF2B5EF4-FFF2-40B4-BE49-F238E27FC236}">
              <a16:creationId xmlns:a16="http://schemas.microsoft.com/office/drawing/2014/main" id="{05440742-096F-20EF-6227-DC2ABC08B00C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8" name="Freeform 563">
          <a:extLst>
            <a:ext uri="{FF2B5EF4-FFF2-40B4-BE49-F238E27FC236}">
              <a16:creationId xmlns:a16="http://schemas.microsoft.com/office/drawing/2014/main" id="{1A77703F-7E2E-796E-636E-2D5630B6A8FD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9" name="Freeform 562">
          <a:extLst>
            <a:ext uri="{FF2B5EF4-FFF2-40B4-BE49-F238E27FC236}">
              <a16:creationId xmlns:a16="http://schemas.microsoft.com/office/drawing/2014/main" id="{39101D7B-195D-47C5-11A4-0DED85E80AF6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4420" name="AutoShape 324">
          <a:extLst>
            <a:ext uri="{FF2B5EF4-FFF2-40B4-BE49-F238E27FC236}">
              <a16:creationId xmlns:a16="http://schemas.microsoft.com/office/drawing/2014/main" id="{97EF2B48-5C5A-4F99-B5B8-19FEE942E36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4421" name="AutoShape 325">
          <a:extLst>
            <a:ext uri="{FF2B5EF4-FFF2-40B4-BE49-F238E27FC236}">
              <a16:creationId xmlns:a16="http://schemas.microsoft.com/office/drawing/2014/main" id="{97FA2B20-8A27-4EF4-B567-10AA715B8D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4423" name="AutoShape 327">
          <a:extLst>
            <a:ext uri="{FF2B5EF4-FFF2-40B4-BE49-F238E27FC236}">
              <a16:creationId xmlns:a16="http://schemas.microsoft.com/office/drawing/2014/main" id="{8A020F6C-21F6-4B0D-9F5F-A5AB2BE179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228600</xdr:colOff>
      <xdr:row>0</xdr:row>
      <xdr:rowOff>219075</xdr:rowOff>
    </xdr:to>
    <xdr:sp macro="" textlink="">
      <xdr:nvSpPr>
        <xdr:cNvPr id="4424" name="AutoShape 328">
          <a:extLst>
            <a:ext uri="{FF2B5EF4-FFF2-40B4-BE49-F238E27FC236}">
              <a16:creationId xmlns:a16="http://schemas.microsoft.com/office/drawing/2014/main" id="{6218CA2D-ED3E-4EC2-9A39-32728236D06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190500</xdr:colOff>
      <xdr:row>0</xdr:row>
      <xdr:rowOff>219075</xdr:rowOff>
    </xdr:to>
    <xdr:sp macro="" textlink="">
      <xdr:nvSpPr>
        <xdr:cNvPr id="4425" name="AutoShape 329">
          <a:extLst>
            <a:ext uri="{FF2B5EF4-FFF2-40B4-BE49-F238E27FC236}">
              <a16:creationId xmlns:a16="http://schemas.microsoft.com/office/drawing/2014/main" id="{C8A13AB1-DA78-46F7-A709-FC4D4279429D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123825</xdr:colOff>
      <xdr:row>0</xdr:row>
      <xdr:rowOff>180975</xdr:rowOff>
    </xdr:to>
    <xdr:sp macro="" textlink="">
      <xdr:nvSpPr>
        <xdr:cNvPr id="4426" name="AutoShape 330">
          <a:extLst>
            <a:ext uri="{FF2B5EF4-FFF2-40B4-BE49-F238E27FC236}">
              <a16:creationId xmlns:a16="http://schemas.microsoft.com/office/drawing/2014/main" id="{A8704C4E-0E4D-451B-AED4-0570017B23E7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219075</xdr:rowOff>
    </xdr:to>
    <xdr:sp macro="" textlink="">
      <xdr:nvSpPr>
        <xdr:cNvPr id="4427" name="AutoShape 331">
          <a:extLst>
            <a:ext uri="{FF2B5EF4-FFF2-40B4-BE49-F238E27FC236}">
              <a16:creationId xmlns:a16="http://schemas.microsoft.com/office/drawing/2014/main" id="{2E38BC05-1FDB-4D6A-9321-A620053D6D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114300</xdr:colOff>
      <xdr:row>0</xdr:row>
      <xdr:rowOff>142875</xdr:rowOff>
    </xdr:to>
    <xdr:sp macro="" textlink="">
      <xdr:nvSpPr>
        <xdr:cNvPr id="4428" name="AutoShape 332">
          <a:extLst>
            <a:ext uri="{FF2B5EF4-FFF2-40B4-BE49-F238E27FC236}">
              <a16:creationId xmlns:a16="http://schemas.microsoft.com/office/drawing/2014/main" id="{0843430D-B80C-43AB-9B93-DBD4A41122F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219075</xdr:rowOff>
    </xdr:to>
    <xdr:sp macro="" textlink="">
      <xdr:nvSpPr>
        <xdr:cNvPr id="4429" name="AutoShape 333">
          <a:extLst>
            <a:ext uri="{FF2B5EF4-FFF2-40B4-BE49-F238E27FC236}">
              <a16:creationId xmlns:a16="http://schemas.microsoft.com/office/drawing/2014/main" id="{62FF2E86-D75A-49C5-8BA3-A7EBD4B3A432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161925</xdr:colOff>
      <xdr:row>0</xdr:row>
      <xdr:rowOff>161925</xdr:rowOff>
    </xdr:to>
    <xdr:sp macro="" textlink="">
      <xdr:nvSpPr>
        <xdr:cNvPr id="4430" name="AutoShape 334">
          <a:extLst>
            <a:ext uri="{FF2B5EF4-FFF2-40B4-BE49-F238E27FC236}">
              <a16:creationId xmlns:a16="http://schemas.microsoft.com/office/drawing/2014/main" id="{CE31F739-7273-4C9B-82F9-A2D1B98910F7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200025</xdr:colOff>
      <xdr:row>0</xdr:row>
      <xdr:rowOff>219075</xdr:rowOff>
    </xdr:to>
    <xdr:sp macro="" textlink="">
      <xdr:nvSpPr>
        <xdr:cNvPr id="4431" name="AutoShape 335">
          <a:extLst>
            <a:ext uri="{FF2B5EF4-FFF2-40B4-BE49-F238E27FC236}">
              <a16:creationId xmlns:a16="http://schemas.microsoft.com/office/drawing/2014/main" id="{59DEE7C6-B660-4767-B3D4-1C976C7D3AF2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142875</xdr:colOff>
      <xdr:row>0</xdr:row>
      <xdr:rowOff>180975</xdr:rowOff>
    </xdr:to>
    <xdr:sp macro="" textlink="">
      <xdr:nvSpPr>
        <xdr:cNvPr id="4432" name="AutoShape 336">
          <a:extLst>
            <a:ext uri="{FF2B5EF4-FFF2-40B4-BE49-F238E27FC236}">
              <a16:creationId xmlns:a16="http://schemas.microsoft.com/office/drawing/2014/main" id="{624E8350-C222-4277-BD96-400B3F5128F5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123825</xdr:colOff>
      <xdr:row>0</xdr:row>
      <xdr:rowOff>142875</xdr:rowOff>
    </xdr:to>
    <xdr:sp macro="" textlink="">
      <xdr:nvSpPr>
        <xdr:cNvPr id="4433" name="AutoShape 337">
          <a:extLst>
            <a:ext uri="{FF2B5EF4-FFF2-40B4-BE49-F238E27FC236}">
              <a16:creationId xmlns:a16="http://schemas.microsoft.com/office/drawing/2014/main" id="{B1CE9275-66B3-4FD1-8F45-5BF1FBFCA817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276225</xdr:colOff>
      <xdr:row>3</xdr:row>
      <xdr:rowOff>180975</xdr:rowOff>
    </xdr:to>
    <xdr:sp macro="" textlink="">
      <xdr:nvSpPr>
        <xdr:cNvPr id="4434" name="AutoShape 338">
          <a:extLst>
            <a:ext uri="{FF2B5EF4-FFF2-40B4-BE49-F238E27FC236}">
              <a16:creationId xmlns:a16="http://schemas.microsoft.com/office/drawing/2014/main" id="{3DB7181B-1B0F-4CBC-82A3-63B37308F6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4437" name="AutoShape 341">
          <a:extLst>
            <a:ext uri="{FF2B5EF4-FFF2-40B4-BE49-F238E27FC236}">
              <a16:creationId xmlns:a16="http://schemas.microsoft.com/office/drawing/2014/main" id="{C301880D-6208-4894-9725-A57D2E6B59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4438" name="AutoShape 342">
          <a:extLst>
            <a:ext uri="{FF2B5EF4-FFF2-40B4-BE49-F238E27FC236}">
              <a16:creationId xmlns:a16="http://schemas.microsoft.com/office/drawing/2014/main" id="{C0282316-80EB-419E-A8EB-6A05E07E52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4439" name="AutoShape 343">
          <a:extLst>
            <a:ext uri="{FF2B5EF4-FFF2-40B4-BE49-F238E27FC236}">
              <a16:creationId xmlns:a16="http://schemas.microsoft.com/office/drawing/2014/main" id="{9274625D-804D-4F40-A4F0-95D47B91AA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4440" name="AutoShape 344">
          <a:extLst>
            <a:ext uri="{FF2B5EF4-FFF2-40B4-BE49-F238E27FC236}">
              <a16:creationId xmlns:a16="http://schemas.microsoft.com/office/drawing/2014/main" id="{28CEDE56-9D31-44D3-95B8-36C7F7649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276225</xdr:colOff>
      <xdr:row>9</xdr:row>
      <xdr:rowOff>180975</xdr:rowOff>
    </xdr:to>
    <xdr:sp macro="" textlink="">
      <xdr:nvSpPr>
        <xdr:cNvPr id="4441" name="AutoShape 345">
          <a:extLst>
            <a:ext uri="{FF2B5EF4-FFF2-40B4-BE49-F238E27FC236}">
              <a16:creationId xmlns:a16="http://schemas.microsoft.com/office/drawing/2014/main" id="{82F29985-CF96-4089-903C-A8854B3549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4442" name="AutoShape 346">
          <a:extLst>
            <a:ext uri="{FF2B5EF4-FFF2-40B4-BE49-F238E27FC236}">
              <a16:creationId xmlns:a16="http://schemas.microsoft.com/office/drawing/2014/main" id="{4BE062D6-00BA-4830-A3AD-332E53BA6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4443" name="AutoShape 347">
          <a:extLst>
            <a:ext uri="{FF2B5EF4-FFF2-40B4-BE49-F238E27FC236}">
              <a16:creationId xmlns:a16="http://schemas.microsoft.com/office/drawing/2014/main" id="{9E6C7DED-8E7E-49E5-BFE5-2C047BFA22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4444" name="AutoShape 348">
          <a:extLst>
            <a:ext uri="{FF2B5EF4-FFF2-40B4-BE49-F238E27FC236}">
              <a16:creationId xmlns:a16="http://schemas.microsoft.com/office/drawing/2014/main" id="{A9178758-302E-486F-B31F-0C42ACA91F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4445" name="AutoShape 349">
          <a:extLst>
            <a:ext uri="{FF2B5EF4-FFF2-40B4-BE49-F238E27FC236}">
              <a16:creationId xmlns:a16="http://schemas.microsoft.com/office/drawing/2014/main" id="{D84ED9C4-10B8-4761-AA6F-3BF60D8C34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446" name="AutoShape 350">
          <a:extLst>
            <a:ext uri="{FF2B5EF4-FFF2-40B4-BE49-F238E27FC236}">
              <a16:creationId xmlns:a16="http://schemas.microsoft.com/office/drawing/2014/main" id="{6D669469-5605-4101-91F8-035FD8FAC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447" name="AutoShape 351">
          <a:extLst>
            <a:ext uri="{FF2B5EF4-FFF2-40B4-BE49-F238E27FC236}">
              <a16:creationId xmlns:a16="http://schemas.microsoft.com/office/drawing/2014/main" id="{5847C370-FCD0-4804-B295-81A98A273A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276225</xdr:colOff>
      <xdr:row>15</xdr:row>
      <xdr:rowOff>180975</xdr:rowOff>
    </xdr:to>
    <xdr:sp macro="" textlink="">
      <xdr:nvSpPr>
        <xdr:cNvPr id="4448" name="AutoShape 352">
          <a:extLst>
            <a:ext uri="{FF2B5EF4-FFF2-40B4-BE49-F238E27FC236}">
              <a16:creationId xmlns:a16="http://schemas.microsoft.com/office/drawing/2014/main" id="{BCFE6E9F-586C-4521-AF9E-64307629D8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449" name="AutoShape 353">
          <a:extLst>
            <a:ext uri="{FF2B5EF4-FFF2-40B4-BE49-F238E27FC236}">
              <a16:creationId xmlns:a16="http://schemas.microsoft.com/office/drawing/2014/main" id="{3164C647-25B1-4449-9E8F-D5450B062F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450" name="AutoShape 354">
          <a:extLst>
            <a:ext uri="{FF2B5EF4-FFF2-40B4-BE49-F238E27FC236}">
              <a16:creationId xmlns:a16="http://schemas.microsoft.com/office/drawing/2014/main" id="{C503BFE0-2810-495D-9F64-2451FA00AC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51" name="AutoShape 355">
          <a:extLst>
            <a:ext uri="{FF2B5EF4-FFF2-40B4-BE49-F238E27FC236}">
              <a16:creationId xmlns:a16="http://schemas.microsoft.com/office/drawing/2014/main" id="{4BBCC023-12BB-4919-88FA-5AE3FB8896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452" name="AutoShape 356">
          <a:extLst>
            <a:ext uri="{FF2B5EF4-FFF2-40B4-BE49-F238E27FC236}">
              <a16:creationId xmlns:a16="http://schemas.microsoft.com/office/drawing/2014/main" id="{2FC55B30-FD4B-4DC9-A8A6-B9F87836E3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453" name="AutoShape 357">
          <a:extLst>
            <a:ext uri="{FF2B5EF4-FFF2-40B4-BE49-F238E27FC236}">
              <a16:creationId xmlns:a16="http://schemas.microsoft.com/office/drawing/2014/main" id="{966CDE35-FA8C-4200-B5BE-7C3C2C01D8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454" name="AutoShape 358">
          <a:extLst>
            <a:ext uri="{FF2B5EF4-FFF2-40B4-BE49-F238E27FC236}">
              <a16:creationId xmlns:a16="http://schemas.microsoft.com/office/drawing/2014/main" id="{ED71FC51-620D-469C-BE49-FDAD8D98A6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276225</xdr:colOff>
      <xdr:row>21</xdr:row>
      <xdr:rowOff>180975</xdr:rowOff>
    </xdr:to>
    <xdr:sp macro="" textlink="">
      <xdr:nvSpPr>
        <xdr:cNvPr id="4455" name="AutoShape 359">
          <a:extLst>
            <a:ext uri="{FF2B5EF4-FFF2-40B4-BE49-F238E27FC236}">
              <a16:creationId xmlns:a16="http://schemas.microsoft.com/office/drawing/2014/main" id="{66D96D56-5B95-4285-8A10-83429B257EE9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456" name="AutoShape 360">
          <a:extLst>
            <a:ext uri="{FF2B5EF4-FFF2-40B4-BE49-F238E27FC236}">
              <a16:creationId xmlns:a16="http://schemas.microsoft.com/office/drawing/2014/main" id="{307D29D5-6F74-4A1B-88CF-D6D5298069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4457" name="AutoShape 361">
          <a:extLst>
            <a:ext uri="{FF2B5EF4-FFF2-40B4-BE49-F238E27FC236}">
              <a16:creationId xmlns:a16="http://schemas.microsoft.com/office/drawing/2014/main" id="{BC244FF4-217B-4805-8A8E-213575411F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4458" name="AutoShape 362">
          <a:extLst>
            <a:ext uri="{FF2B5EF4-FFF2-40B4-BE49-F238E27FC236}">
              <a16:creationId xmlns:a16="http://schemas.microsoft.com/office/drawing/2014/main" id="{62C783BF-F1C0-49AB-9628-D417AF1B61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4459" name="AutoShape 363">
          <a:extLst>
            <a:ext uri="{FF2B5EF4-FFF2-40B4-BE49-F238E27FC236}">
              <a16:creationId xmlns:a16="http://schemas.microsoft.com/office/drawing/2014/main" id="{9FF981DC-304D-4A58-814F-A6816658E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4460" name="AutoShape 364">
          <a:extLst>
            <a:ext uri="{FF2B5EF4-FFF2-40B4-BE49-F238E27FC236}">
              <a16:creationId xmlns:a16="http://schemas.microsoft.com/office/drawing/2014/main" id="{82DB04AA-153C-4975-8275-F0A5BEB6E7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4461" name="AutoShape 365">
          <a:extLst>
            <a:ext uri="{FF2B5EF4-FFF2-40B4-BE49-F238E27FC236}">
              <a16:creationId xmlns:a16="http://schemas.microsoft.com/office/drawing/2014/main" id="{CA4CF2D8-4AEC-4887-BC58-89CA7FEC5E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276225</xdr:colOff>
      <xdr:row>27</xdr:row>
      <xdr:rowOff>180975</xdr:rowOff>
    </xdr:to>
    <xdr:sp macro="" textlink="">
      <xdr:nvSpPr>
        <xdr:cNvPr id="4462" name="AutoShape 366">
          <a:extLst>
            <a:ext uri="{FF2B5EF4-FFF2-40B4-BE49-F238E27FC236}">
              <a16:creationId xmlns:a16="http://schemas.microsoft.com/office/drawing/2014/main" id="{47DB934B-1069-40A6-9FF9-2B2F0EC446D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4463" name="AutoShape 367">
          <a:extLst>
            <a:ext uri="{FF2B5EF4-FFF2-40B4-BE49-F238E27FC236}">
              <a16:creationId xmlns:a16="http://schemas.microsoft.com/office/drawing/2014/main" id="{6C8CEFD3-BD55-4FC8-81AE-8B05799D76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4464" name="AutoShape 368">
          <a:extLst>
            <a:ext uri="{FF2B5EF4-FFF2-40B4-BE49-F238E27FC236}">
              <a16:creationId xmlns:a16="http://schemas.microsoft.com/office/drawing/2014/main" id="{9F6A78AA-23C4-4CDE-8912-D641F825B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4465" name="AutoShape 369">
          <a:extLst>
            <a:ext uri="{FF2B5EF4-FFF2-40B4-BE49-F238E27FC236}">
              <a16:creationId xmlns:a16="http://schemas.microsoft.com/office/drawing/2014/main" id="{A26C9791-50BB-4098-858F-579ED04CCC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4466" name="AutoShape 370">
          <a:extLst>
            <a:ext uri="{FF2B5EF4-FFF2-40B4-BE49-F238E27FC236}">
              <a16:creationId xmlns:a16="http://schemas.microsoft.com/office/drawing/2014/main" id="{7776FF3F-E613-41CC-AA58-38AB6C9CF2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4467" name="AutoShape 371">
          <a:extLst>
            <a:ext uri="{FF2B5EF4-FFF2-40B4-BE49-F238E27FC236}">
              <a16:creationId xmlns:a16="http://schemas.microsoft.com/office/drawing/2014/main" id="{B70F6105-C9BF-4188-8C11-B31766C6DE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468" name="AutoShape 372">
          <a:extLst>
            <a:ext uri="{FF2B5EF4-FFF2-40B4-BE49-F238E27FC236}">
              <a16:creationId xmlns:a16="http://schemas.microsoft.com/office/drawing/2014/main" id="{A795836F-9EBE-47B2-B6E9-5E71D445FC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276225</xdr:colOff>
      <xdr:row>33</xdr:row>
      <xdr:rowOff>180975</xdr:rowOff>
    </xdr:to>
    <xdr:sp macro="" textlink="">
      <xdr:nvSpPr>
        <xdr:cNvPr id="4469" name="AutoShape 373">
          <a:extLst>
            <a:ext uri="{FF2B5EF4-FFF2-40B4-BE49-F238E27FC236}">
              <a16:creationId xmlns:a16="http://schemas.microsoft.com/office/drawing/2014/main" id="{C5164B07-3D57-497A-9B1C-321FF906148A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470" name="AutoShape 374">
          <a:extLst>
            <a:ext uri="{FF2B5EF4-FFF2-40B4-BE49-F238E27FC236}">
              <a16:creationId xmlns:a16="http://schemas.microsoft.com/office/drawing/2014/main" id="{1EF3DA67-C4EC-4494-9986-E9F8C7388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471" name="AutoShape 375">
          <a:extLst>
            <a:ext uri="{FF2B5EF4-FFF2-40B4-BE49-F238E27FC236}">
              <a16:creationId xmlns:a16="http://schemas.microsoft.com/office/drawing/2014/main" id="{A2B3BB6B-2EF2-426A-9326-20A113D12A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472" name="AutoShape 376">
          <a:extLst>
            <a:ext uri="{FF2B5EF4-FFF2-40B4-BE49-F238E27FC236}">
              <a16:creationId xmlns:a16="http://schemas.microsoft.com/office/drawing/2014/main" id="{49D1819C-D8DB-4F66-8CC9-B77B998525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73" name="AutoShape 377">
          <a:extLst>
            <a:ext uri="{FF2B5EF4-FFF2-40B4-BE49-F238E27FC236}">
              <a16:creationId xmlns:a16="http://schemas.microsoft.com/office/drawing/2014/main" id="{0F552560-1F85-4F0D-B62A-72D11814AD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474" name="AutoShape 378">
          <a:extLst>
            <a:ext uri="{FF2B5EF4-FFF2-40B4-BE49-F238E27FC236}">
              <a16:creationId xmlns:a16="http://schemas.microsoft.com/office/drawing/2014/main" id="{8B04812B-F4BD-4FAE-9E12-D46A292C73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475" name="AutoShape 379">
          <a:extLst>
            <a:ext uri="{FF2B5EF4-FFF2-40B4-BE49-F238E27FC236}">
              <a16:creationId xmlns:a16="http://schemas.microsoft.com/office/drawing/2014/main" id="{7A24CB26-253B-4D5F-87BA-ECCAD94836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276225</xdr:colOff>
      <xdr:row>39</xdr:row>
      <xdr:rowOff>180975</xdr:rowOff>
    </xdr:to>
    <xdr:sp macro="" textlink="">
      <xdr:nvSpPr>
        <xdr:cNvPr id="4476" name="AutoShape 380">
          <a:extLst>
            <a:ext uri="{FF2B5EF4-FFF2-40B4-BE49-F238E27FC236}">
              <a16:creationId xmlns:a16="http://schemas.microsoft.com/office/drawing/2014/main" id="{A9379227-307E-438C-9BBF-9EE7799BCD3C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477" name="AutoShape 381">
          <a:extLst>
            <a:ext uri="{FF2B5EF4-FFF2-40B4-BE49-F238E27FC236}">
              <a16:creationId xmlns:a16="http://schemas.microsoft.com/office/drawing/2014/main" id="{484A0177-27C5-4602-93B8-B071CC385B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78" name="AutoShape 382">
          <a:extLst>
            <a:ext uri="{FF2B5EF4-FFF2-40B4-BE49-F238E27FC236}">
              <a16:creationId xmlns:a16="http://schemas.microsoft.com/office/drawing/2014/main" id="{500A128D-B986-4431-8FC0-B2EBBA9DF8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79" name="AutoShape 383">
          <a:extLst>
            <a:ext uri="{FF2B5EF4-FFF2-40B4-BE49-F238E27FC236}">
              <a16:creationId xmlns:a16="http://schemas.microsoft.com/office/drawing/2014/main" id="{556528DC-2193-47EE-991C-9BEF71DFAD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480" name="AutoShape 384">
          <a:extLst>
            <a:ext uri="{FF2B5EF4-FFF2-40B4-BE49-F238E27FC236}">
              <a16:creationId xmlns:a16="http://schemas.microsoft.com/office/drawing/2014/main" id="{2C9F59D7-9E58-460A-96D9-4A3A26E98A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481" name="AutoShape 385">
          <a:extLst>
            <a:ext uri="{FF2B5EF4-FFF2-40B4-BE49-F238E27FC236}">
              <a16:creationId xmlns:a16="http://schemas.microsoft.com/office/drawing/2014/main" id="{C9A522B3-D693-4C36-AFED-37E2329953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482" name="AutoShape 386">
          <a:extLst>
            <a:ext uri="{FF2B5EF4-FFF2-40B4-BE49-F238E27FC236}">
              <a16:creationId xmlns:a16="http://schemas.microsoft.com/office/drawing/2014/main" id="{78799A2A-9800-4D63-8C8C-BB83FE60F7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276225</xdr:colOff>
      <xdr:row>45</xdr:row>
      <xdr:rowOff>180975</xdr:rowOff>
    </xdr:to>
    <xdr:sp macro="" textlink="">
      <xdr:nvSpPr>
        <xdr:cNvPr id="4483" name="AutoShape 387">
          <a:extLst>
            <a:ext uri="{FF2B5EF4-FFF2-40B4-BE49-F238E27FC236}">
              <a16:creationId xmlns:a16="http://schemas.microsoft.com/office/drawing/2014/main" id="{8D3F3D09-A4CB-48DC-A8F0-11F4C0E313F9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484" name="AutoShape 388">
          <a:extLst>
            <a:ext uri="{FF2B5EF4-FFF2-40B4-BE49-F238E27FC236}">
              <a16:creationId xmlns:a16="http://schemas.microsoft.com/office/drawing/2014/main" id="{9A9010BE-D4CF-44CC-9C36-C8770A56FC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4485" name="AutoShape 389">
          <a:extLst>
            <a:ext uri="{FF2B5EF4-FFF2-40B4-BE49-F238E27FC236}">
              <a16:creationId xmlns:a16="http://schemas.microsoft.com/office/drawing/2014/main" id="{F6D73560-1193-4380-BB9B-9D4791D2BA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4486" name="AutoShape 390">
          <a:extLst>
            <a:ext uri="{FF2B5EF4-FFF2-40B4-BE49-F238E27FC236}">
              <a16:creationId xmlns:a16="http://schemas.microsoft.com/office/drawing/2014/main" id="{6FE0F8EC-6F18-42DE-8B06-0E54BDC0A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4487" name="AutoShape 391">
          <a:extLst>
            <a:ext uri="{FF2B5EF4-FFF2-40B4-BE49-F238E27FC236}">
              <a16:creationId xmlns:a16="http://schemas.microsoft.com/office/drawing/2014/main" id="{6BD56B82-4571-4217-BBD3-30813BB26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4488" name="AutoShape 392">
          <a:extLst>
            <a:ext uri="{FF2B5EF4-FFF2-40B4-BE49-F238E27FC236}">
              <a16:creationId xmlns:a16="http://schemas.microsoft.com/office/drawing/2014/main" id="{D239E98F-8865-4D83-830A-C50A68FC2E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4489" name="AutoShape 393">
          <a:extLst>
            <a:ext uri="{FF2B5EF4-FFF2-40B4-BE49-F238E27FC236}">
              <a16:creationId xmlns:a16="http://schemas.microsoft.com/office/drawing/2014/main" id="{C5C2AEA4-BA05-434A-BF69-CB3DDADE7F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276225</xdr:colOff>
      <xdr:row>51</xdr:row>
      <xdr:rowOff>180975</xdr:rowOff>
    </xdr:to>
    <xdr:sp macro="" textlink="">
      <xdr:nvSpPr>
        <xdr:cNvPr id="4490" name="AutoShape 394">
          <a:extLst>
            <a:ext uri="{FF2B5EF4-FFF2-40B4-BE49-F238E27FC236}">
              <a16:creationId xmlns:a16="http://schemas.microsoft.com/office/drawing/2014/main" id="{56948598-E507-4F5D-94ED-5A1D53F94D96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4491" name="AutoShape 395">
          <a:extLst>
            <a:ext uri="{FF2B5EF4-FFF2-40B4-BE49-F238E27FC236}">
              <a16:creationId xmlns:a16="http://schemas.microsoft.com/office/drawing/2014/main" id="{6326D66A-A443-4D42-933D-6CDDCF7ACE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4492" name="AutoShape 396">
          <a:extLst>
            <a:ext uri="{FF2B5EF4-FFF2-40B4-BE49-F238E27FC236}">
              <a16:creationId xmlns:a16="http://schemas.microsoft.com/office/drawing/2014/main" id="{8575D0D4-B911-4123-A5C6-D8A3FB9DC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4493" name="AutoShape 397">
          <a:extLst>
            <a:ext uri="{FF2B5EF4-FFF2-40B4-BE49-F238E27FC236}">
              <a16:creationId xmlns:a16="http://schemas.microsoft.com/office/drawing/2014/main" id="{8668B524-9F9D-480B-A468-E15EF96A15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4494" name="AutoShape 398">
          <a:extLst>
            <a:ext uri="{FF2B5EF4-FFF2-40B4-BE49-F238E27FC236}">
              <a16:creationId xmlns:a16="http://schemas.microsoft.com/office/drawing/2014/main" id="{B9771329-7A83-48E0-9C8F-715AA54FAE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4495" name="AutoShape 399">
          <a:extLst>
            <a:ext uri="{FF2B5EF4-FFF2-40B4-BE49-F238E27FC236}">
              <a16:creationId xmlns:a16="http://schemas.microsoft.com/office/drawing/2014/main" id="{E01ABD5B-02AA-457B-9390-BB0CE15A0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4496" name="AutoShape 400">
          <a:extLst>
            <a:ext uri="{FF2B5EF4-FFF2-40B4-BE49-F238E27FC236}">
              <a16:creationId xmlns:a16="http://schemas.microsoft.com/office/drawing/2014/main" id="{EABAB958-6234-4C21-8782-FFA181166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276225</xdr:colOff>
      <xdr:row>57</xdr:row>
      <xdr:rowOff>180975</xdr:rowOff>
    </xdr:to>
    <xdr:sp macro="" textlink="">
      <xdr:nvSpPr>
        <xdr:cNvPr id="4497" name="AutoShape 401">
          <a:extLst>
            <a:ext uri="{FF2B5EF4-FFF2-40B4-BE49-F238E27FC236}">
              <a16:creationId xmlns:a16="http://schemas.microsoft.com/office/drawing/2014/main" id="{7DC1785A-5DC3-40FD-95F2-060AA1142F2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4498" name="AutoShape 402">
          <a:extLst>
            <a:ext uri="{FF2B5EF4-FFF2-40B4-BE49-F238E27FC236}">
              <a16:creationId xmlns:a16="http://schemas.microsoft.com/office/drawing/2014/main" id="{69F2EE4E-F082-4338-BF40-A5FD4F6EE8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4499" name="AutoShape 403">
          <a:extLst>
            <a:ext uri="{FF2B5EF4-FFF2-40B4-BE49-F238E27FC236}">
              <a16:creationId xmlns:a16="http://schemas.microsoft.com/office/drawing/2014/main" id="{0F92C0FC-0380-43E2-998E-20F38B0EA9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4500" name="AutoShape 404">
          <a:extLst>
            <a:ext uri="{FF2B5EF4-FFF2-40B4-BE49-F238E27FC236}">
              <a16:creationId xmlns:a16="http://schemas.microsoft.com/office/drawing/2014/main" id="{07BEEE59-C829-40EB-9CD4-A890F3BCED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4501" name="AutoShape 405">
          <a:extLst>
            <a:ext uri="{FF2B5EF4-FFF2-40B4-BE49-F238E27FC236}">
              <a16:creationId xmlns:a16="http://schemas.microsoft.com/office/drawing/2014/main" id="{8309F135-29DF-489D-9694-AAB9544CA6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4502" name="AutoShape 406">
          <a:extLst>
            <a:ext uri="{FF2B5EF4-FFF2-40B4-BE49-F238E27FC236}">
              <a16:creationId xmlns:a16="http://schemas.microsoft.com/office/drawing/2014/main" id="{2E973DB6-396C-4203-8AA2-D43A5FEE3F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4503" name="AutoShape 407">
          <a:extLst>
            <a:ext uri="{FF2B5EF4-FFF2-40B4-BE49-F238E27FC236}">
              <a16:creationId xmlns:a16="http://schemas.microsoft.com/office/drawing/2014/main" id="{144B06B1-79BD-436F-A23F-AEAE487E07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276225</xdr:colOff>
      <xdr:row>68</xdr:row>
      <xdr:rowOff>180975</xdr:rowOff>
    </xdr:to>
    <xdr:sp macro="" textlink="">
      <xdr:nvSpPr>
        <xdr:cNvPr id="4504" name="AutoShape 408">
          <a:extLst>
            <a:ext uri="{FF2B5EF4-FFF2-40B4-BE49-F238E27FC236}">
              <a16:creationId xmlns:a16="http://schemas.microsoft.com/office/drawing/2014/main" id="{5F2D8EBC-B1A7-4180-9850-40B1BBF3EFCE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4505" name="AutoShape 409">
          <a:extLst>
            <a:ext uri="{FF2B5EF4-FFF2-40B4-BE49-F238E27FC236}">
              <a16:creationId xmlns:a16="http://schemas.microsoft.com/office/drawing/2014/main" id="{A7BE68DC-C7C9-4F79-BC22-B580E9D0DF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4506" name="AutoShape 410">
          <a:extLst>
            <a:ext uri="{FF2B5EF4-FFF2-40B4-BE49-F238E27FC236}">
              <a16:creationId xmlns:a16="http://schemas.microsoft.com/office/drawing/2014/main" id="{2F4555F3-A371-4E40-8A22-3EF206EA22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4507" name="AutoShape 411">
          <a:extLst>
            <a:ext uri="{FF2B5EF4-FFF2-40B4-BE49-F238E27FC236}">
              <a16:creationId xmlns:a16="http://schemas.microsoft.com/office/drawing/2014/main" id="{4A4B724A-D12A-4690-8CDB-9806B28531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4508" name="AutoShape 412">
          <a:extLst>
            <a:ext uri="{FF2B5EF4-FFF2-40B4-BE49-F238E27FC236}">
              <a16:creationId xmlns:a16="http://schemas.microsoft.com/office/drawing/2014/main" id="{ACF513F3-A167-42CD-8478-E374B91CD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4509" name="AutoShape 413">
          <a:extLst>
            <a:ext uri="{FF2B5EF4-FFF2-40B4-BE49-F238E27FC236}">
              <a16:creationId xmlns:a16="http://schemas.microsoft.com/office/drawing/2014/main" id="{BCD9988D-7F06-4B02-A4AC-4C8389EC4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4510" name="AutoShape 414">
          <a:extLst>
            <a:ext uri="{FF2B5EF4-FFF2-40B4-BE49-F238E27FC236}">
              <a16:creationId xmlns:a16="http://schemas.microsoft.com/office/drawing/2014/main" id="{D71EE65F-C602-4F4F-AF78-214C044243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4511" name="AutoShape 415">
          <a:extLst>
            <a:ext uri="{FF2B5EF4-FFF2-40B4-BE49-F238E27FC236}">
              <a16:creationId xmlns:a16="http://schemas.microsoft.com/office/drawing/2014/main" id="{C49C415E-6461-4946-9C79-04840E62B16D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4512" name="AutoShape 416">
          <a:extLst>
            <a:ext uri="{FF2B5EF4-FFF2-40B4-BE49-F238E27FC236}">
              <a16:creationId xmlns:a16="http://schemas.microsoft.com/office/drawing/2014/main" id="{A09681D8-46D8-40BC-983E-72AFED511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4513" name="AutoShape 417">
          <a:extLst>
            <a:ext uri="{FF2B5EF4-FFF2-40B4-BE49-F238E27FC236}">
              <a16:creationId xmlns:a16="http://schemas.microsoft.com/office/drawing/2014/main" id="{2D5F48E8-A418-4C4A-B58F-FC41BC1353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4514" name="AutoShape 418">
          <a:extLst>
            <a:ext uri="{FF2B5EF4-FFF2-40B4-BE49-F238E27FC236}">
              <a16:creationId xmlns:a16="http://schemas.microsoft.com/office/drawing/2014/main" id="{849C8125-28B6-4006-8D44-968532769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4515" name="AutoShape 419">
          <a:extLst>
            <a:ext uri="{FF2B5EF4-FFF2-40B4-BE49-F238E27FC236}">
              <a16:creationId xmlns:a16="http://schemas.microsoft.com/office/drawing/2014/main" id="{8658BF70-86AD-4CAD-B8B4-0A254254B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4516" name="AutoShape 420">
          <a:extLst>
            <a:ext uri="{FF2B5EF4-FFF2-40B4-BE49-F238E27FC236}">
              <a16:creationId xmlns:a16="http://schemas.microsoft.com/office/drawing/2014/main" id="{9E330379-3C45-4819-82DD-73863873AF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4517" name="AutoShape 421">
          <a:extLst>
            <a:ext uri="{FF2B5EF4-FFF2-40B4-BE49-F238E27FC236}">
              <a16:creationId xmlns:a16="http://schemas.microsoft.com/office/drawing/2014/main" id="{B9B3D538-3E6B-4D66-B34C-1DD6454591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276225</xdr:colOff>
      <xdr:row>95</xdr:row>
      <xdr:rowOff>180975</xdr:rowOff>
    </xdr:to>
    <xdr:sp macro="" textlink="">
      <xdr:nvSpPr>
        <xdr:cNvPr id="4518" name="AutoShape 422">
          <a:extLst>
            <a:ext uri="{FF2B5EF4-FFF2-40B4-BE49-F238E27FC236}">
              <a16:creationId xmlns:a16="http://schemas.microsoft.com/office/drawing/2014/main" id="{2A093BE1-5770-4D8D-A7DB-5FFAF6FC8AD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4519" name="AutoShape 423">
          <a:extLst>
            <a:ext uri="{FF2B5EF4-FFF2-40B4-BE49-F238E27FC236}">
              <a16:creationId xmlns:a16="http://schemas.microsoft.com/office/drawing/2014/main" id="{CD250344-7D53-4D0F-A69B-46DC12C560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4520" name="AutoShape 424">
          <a:extLst>
            <a:ext uri="{FF2B5EF4-FFF2-40B4-BE49-F238E27FC236}">
              <a16:creationId xmlns:a16="http://schemas.microsoft.com/office/drawing/2014/main" id="{8E9C9962-963F-491A-8D99-CF22B42D21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4521" name="AutoShape 425">
          <a:extLst>
            <a:ext uri="{FF2B5EF4-FFF2-40B4-BE49-F238E27FC236}">
              <a16:creationId xmlns:a16="http://schemas.microsoft.com/office/drawing/2014/main" id="{C641E65B-96CA-4D2C-BF60-BBE2D5F606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4522" name="AutoShape 426">
          <a:extLst>
            <a:ext uri="{FF2B5EF4-FFF2-40B4-BE49-F238E27FC236}">
              <a16:creationId xmlns:a16="http://schemas.microsoft.com/office/drawing/2014/main" id="{86B6F27E-B97D-4000-87F3-67CF56B43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4523" name="AutoShape 427">
          <a:extLst>
            <a:ext uri="{FF2B5EF4-FFF2-40B4-BE49-F238E27FC236}">
              <a16:creationId xmlns:a16="http://schemas.microsoft.com/office/drawing/2014/main" id="{A11DCCED-D282-43D9-BAE3-239CA63B11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4524" name="AutoShape 428">
          <a:extLst>
            <a:ext uri="{FF2B5EF4-FFF2-40B4-BE49-F238E27FC236}">
              <a16:creationId xmlns:a16="http://schemas.microsoft.com/office/drawing/2014/main" id="{69A3B72E-CF11-4CA3-AF96-702385AFB6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276225</xdr:colOff>
      <xdr:row>101</xdr:row>
      <xdr:rowOff>180975</xdr:rowOff>
    </xdr:to>
    <xdr:sp macro="" textlink="">
      <xdr:nvSpPr>
        <xdr:cNvPr id="4525" name="AutoShape 429">
          <a:extLst>
            <a:ext uri="{FF2B5EF4-FFF2-40B4-BE49-F238E27FC236}">
              <a16:creationId xmlns:a16="http://schemas.microsoft.com/office/drawing/2014/main" id="{A7E8EFE9-149F-47BD-9752-BA597B59DD95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4526" name="AutoShape 430">
          <a:extLst>
            <a:ext uri="{FF2B5EF4-FFF2-40B4-BE49-F238E27FC236}">
              <a16:creationId xmlns:a16="http://schemas.microsoft.com/office/drawing/2014/main" id="{16E39213-1F8E-440C-ACD2-243FC48D4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4527" name="AutoShape 431">
          <a:extLst>
            <a:ext uri="{FF2B5EF4-FFF2-40B4-BE49-F238E27FC236}">
              <a16:creationId xmlns:a16="http://schemas.microsoft.com/office/drawing/2014/main" id="{41D41D60-365B-4AE5-ADD8-F4B618E39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4528" name="AutoShape 432">
          <a:extLst>
            <a:ext uri="{FF2B5EF4-FFF2-40B4-BE49-F238E27FC236}">
              <a16:creationId xmlns:a16="http://schemas.microsoft.com/office/drawing/2014/main" id="{8A2FB3A3-68C9-4855-BE72-D07F72468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4529" name="AutoShape 433">
          <a:extLst>
            <a:ext uri="{FF2B5EF4-FFF2-40B4-BE49-F238E27FC236}">
              <a16:creationId xmlns:a16="http://schemas.microsoft.com/office/drawing/2014/main" id="{FBE8837E-C85E-4FD4-8053-1EB8DA171F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4530" name="AutoShape 434">
          <a:extLst>
            <a:ext uri="{FF2B5EF4-FFF2-40B4-BE49-F238E27FC236}">
              <a16:creationId xmlns:a16="http://schemas.microsoft.com/office/drawing/2014/main" id="{A6FC6ABE-EAA5-4E27-BB38-076784E2F8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4531" name="AutoShape 435">
          <a:extLst>
            <a:ext uri="{FF2B5EF4-FFF2-40B4-BE49-F238E27FC236}">
              <a16:creationId xmlns:a16="http://schemas.microsoft.com/office/drawing/2014/main" id="{76490285-0C05-4F73-8297-1700EF0A7F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276225</xdr:colOff>
      <xdr:row>107</xdr:row>
      <xdr:rowOff>180975</xdr:rowOff>
    </xdr:to>
    <xdr:sp macro="" textlink="">
      <xdr:nvSpPr>
        <xdr:cNvPr id="4532" name="AutoShape 436">
          <a:extLst>
            <a:ext uri="{FF2B5EF4-FFF2-40B4-BE49-F238E27FC236}">
              <a16:creationId xmlns:a16="http://schemas.microsoft.com/office/drawing/2014/main" id="{199544E5-61DC-4E51-B267-15558C37047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4533" name="AutoShape 437">
          <a:extLst>
            <a:ext uri="{FF2B5EF4-FFF2-40B4-BE49-F238E27FC236}">
              <a16:creationId xmlns:a16="http://schemas.microsoft.com/office/drawing/2014/main" id="{3787D627-7B56-489C-88C6-9DC3272B2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4534" name="AutoShape 438">
          <a:extLst>
            <a:ext uri="{FF2B5EF4-FFF2-40B4-BE49-F238E27FC236}">
              <a16:creationId xmlns:a16="http://schemas.microsoft.com/office/drawing/2014/main" id="{A1C20BD3-F124-4FCE-BCB7-87DDC3E54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4535" name="AutoShape 439">
          <a:extLst>
            <a:ext uri="{FF2B5EF4-FFF2-40B4-BE49-F238E27FC236}">
              <a16:creationId xmlns:a16="http://schemas.microsoft.com/office/drawing/2014/main" id="{2D7C4031-8A10-42C6-844E-22ABE6C33A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4536" name="AutoShape 440">
          <a:extLst>
            <a:ext uri="{FF2B5EF4-FFF2-40B4-BE49-F238E27FC236}">
              <a16:creationId xmlns:a16="http://schemas.microsoft.com/office/drawing/2014/main" id="{CBA16E5B-5931-4BF2-AF8F-C5A12ED063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4537" name="AutoShape 441">
          <a:extLst>
            <a:ext uri="{FF2B5EF4-FFF2-40B4-BE49-F238E27FC236}">
              <a16:creationId xmlns:a16="http://schemas.microsoft.com/office/drawing/2014/main" id="{E2C4864C-723F-4A8C-A040-750C897C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4538" name="AutoShape 442">
          <a:extLst>
            <a:ext uri="{FF2B5EF4-FFF2-40B4-BE49-F238E27FC236}">
              <a16:creationId xmlns:a16="http://schemas.microsoft.com/office/drawing/2014/main" id="{916CD1CA-6EB3-4C1A-9A9D-F7F3788760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276225</xdr:colOff>
      <xdr:row>113</xdr:row>
      <xdr:rowOff>180975</xdr:rowOff>
    </xdr:to>
    <xdr:sp macro="" textlink="">
      <xdr:nvSpPr>
        <xdr:cNvPr id="4539" name="AutoShape 443">
          <a:extLst>
            <a:ext uri="{FF2B5EF4-FFF2-40B4-BE49-F238E27FC236}">
              <a16:creationId xmlns:a16="http://schemas.microsoft.com/office/drawing/2014/main" id="{7F84842F-0266-4610-8F28-A4E1FCDA21BA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4540" name="AutoShape 444">
          <a:extLst>
            <a:ext uri="{FF2B5EF4-FFF2-40B4-BE49-F238E27FC236}">
              <a16:creationId xmlns:a16="http://schemas.microsoft.com/office/drawing/2014/main" id="{2B2BA3B8-A807-4E85-B5C4-5F77C3BB57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4541" name="AutoShape 445">
          <a:extLst>
            <a:ext uri="{FF2B5EF4-FFF2-40B4-BE49-F238E27FC236}">
              <a16:creationId xmlns:a16="http://schemas.microsoft.com/office/drawing/2014/main" id="{461947FF-2E1E-4260-9D04-EFB50F92EB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4542" name="AutoShape 446">
          <a:extLst>
            <a:ext uri="{FF2B5EF4-FFF2-40B4-BE49-F238E27FC236}">
              <a16:creationId xmlns:a16="http://schemas.microsoft.com/office/drawing/2014/main" id="{7B9BC0C3-291C-49A9-AB50-3F8E03ADCD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4543" name="AutoShape 447">
          <a:extLst>
            <a:ext uri="{FF2B5EF4-FFF2-40B4-BE49-F238E27FC236}">
              <a16:creationId xmlns:a16="http://schemas.microsoft.com/office/drawing/2014/main" id="{93B3C949-C889-4429-A381-B601202D85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4544" name="AutoShape 448">
          <a:extLst>
            <a:ext uri="{FF2B5EF4-FFF2-40B4-BE49-F238E27FC236}">
              <a16:creationId xmlns:a16="http://schemas.microsoft.com/office/drawing/2014/main" id="{1646EB6B-98C0-491E-8DF1-8D9D05AD96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4545" name="AutoShape 449">
          <a:extLst>
            <a:ext uri="{FF2B5EF4-FFF2-40B4-BE49-F238E27FC236}">
              <a16:creationId xmlns:a16="http://schemas.microsoft.com/office/drawing/2014/main" id="{F0F691A9-8A61-470F-870F-1178CB6D2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276225</xdr:colOff>
      <xdr:row>119</xdr:row>
      <xdr:rowOff>180975</xdr:rowOff>
    </xdr:to>
    <xdr:sp macro="" textlink="">
      <xdr:nvSpPr>
        <xdr:cNvPr id="4546" name="AutoShape 450">
          <a:extLst>
            <a:ext uri="{FF2B5EF4-FFF2-40B4-BE49-F238E27FC236}">
              <a16:creationId xmlns:a16="http://schemas.microsoft.com/office/drawing/2014/main" id="{F9E063C4-278B-409B-A8CA-2B842E86EEE3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4547" name="AutoShape 451">
          <a:extLst>
            <a:ext uri="{FF2B5EF4-FFF2-40B4-BE49-F238E27FC236}">
              <a16:creationId xmlns:a16="http://schemas.microsoft.com/office/drawing/2014/main" id="{6991579B-E4B7-4577-A16B-422A507C7F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4548" name="AutoShape 452">
          <a:extLst>
            <a:ext uri="{FF2B5EF4-FFF2-40B4-BE49-F238E27FC236}">
              <a16:creationId xmlns:a16="http://schemas.microsoft.com/office/drawing/2014/main" id="{33F29416-DBAC-4B2E-BDB3-E9CA98323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4549" name="AutoShape 453">
          <a:extLst>
            <a:ext uri="{FF2B5EF4-FFF2-40B4-BE49-F238E27FC236}">
              <a16:creationId xmlns:a16="http://schemas.microsoft.com/office/drawing/2014/main" id="{63593CF0-DB7F-42ED-AFAD-A2227370AC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4550" name="AutoShape 454">
          <a:extLst>
            <a:ext uri="{FF2B5EF4-FFF2-40B4-BE49-F238E27FC236}">
              <a16:creationId xmlns:a16="http://schemas.microsoft.com/office/drawing/2014/main" id="{C1D93D4F-7861-41D5-8829-FF52E2689E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4551" name="AutoShape 455">
          <a:extLst>
            <a:ext uri="{FF2B5EF4-FFF2-40B4-BE49-F238E27FC236}">
              <a16:creationId xmlns:a16="http://schemas.microsoft.com/office/drawing/2014/main" id="{4DE8342A-E6C2-4D07-B2BA-C7EF92D8E0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4552" name="AutoShape 456">
          <a:extLst>
            <a:ext uri="{FF2B5EF4-FFF2-40B4-BE49-F238E27FC236}">
              <a16:creationId xmlns:a16="http://schemas.microsoft.com/office/drawing/2014/main" id="{0E4C7834-3207-454F-AA94-9C1AB639CC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276225</xdr:colOff>
      <xdr:row>125</xdr:row>
      <xdr:rowOff>180975</xdr:rowOff>
    </xdr:to>
    <xdr:sp macro="" textlink="">
      <xdr:nvSpPr>
        <xdr:cNvPr id="4553" name="AutoShape 457">
          <a:extLst>
            <a:ext uri="{FF2B5EF4-FFF2-40B4-BE49-F238E27FC236}">
              <a16:creationId xmlns:a16="http://schemas.microsoft.com/office/drawing/2014/main" id="{7685F121-5847-4828-9D47-C024CF0582AD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4554" name="AutoShape 458">
          <a:extLst>
            <a:ext uri="{FF2B5EF4-FFF2-40B4-BE49-F238E27FC236}">
              <a16:creationId xmlns:a16="http://schemas.microsoft.com/office/drawing/2014/main" id="{EC4A590F-C63B-46D1-B940-FBB1FE17AA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4555" name="AutoShape 459">
          <a:extLst>
            <a:ext uri="{FF2B5EF4-FFF2-40B4-BE49-F238E27FC236}">
              <a16:creationId xmlns:a16="http://schemas.microsoft.com/office/drawing/2014/main" id="{E2CE397D-2648-4474-9EF1-BD63A186AA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4556" name="AutoShape 460">
          <a:extLst>
            <a:ext uri="{FF2B5EF4-FFF2-40B4-BE49-F238E27FC236}">
              <a16:creationId xmlns:a16="http://schemas.microsoft.com/office/drawing/2014/main" id="{CC17D6F0-A043-4C26-B899-2090CD977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4557" name="AutoShape 461">
          <a:extLst>
            <a:ext uri="{FF2B5EF4-FFF2-40B4-BE49-F238E27FC236}">
              <a16:creationId xmlns:a16="http://schemas.microsoft.com/office/drawing/2014/main" id="{030E7C18-816B-410C-9A99-BDB86B2CD5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4558" name="AutoShape 462">
          <a:extLst>
            <a:ext uri="{FF2B5EF4-FFF2-40B4-BE49-F238E27FC236}">
              <a16:creationId xmlns:a16="http://schemas.microsoft.com/office/drawing/2014/main" id="{FBD9E9C5-1365-4F73-9E68-F7C3DFD7D5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4559" name="AutoShape 463">
          <a:extLst>
            <a:ext uri="{FF2B5EF4-FFF2-40B4-BE49-F238E27FC236}">
              <a16:creationId xmlns:a16="http://schemas.microsoft.com/office/drawing/2014/main" id="{8BEF2787-4DDE-4897-9B08-7347F6DA67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276225</xdr:colOff>
      <xdr:row>131</xdr:row>
      <xdr:rowOff>180975</xdr:rowOff>
    </xdr:to>
    <xdr:sp macro="" textlink="">
      <xdr:nvSpPr>
        <xdr:cNvPr id="4560" name="AutoShape 464">
          <a:extLst>
            <a:ext uri="{FF2B5EF4-FFF2-40B4-BE49-F238E27FC236}">
              <a16:creationId xmlns:a16="http://schemas.microsoft.com/office/drawing/2014/main" id="{A72DE837-445B-4B18-8154-4320E390E615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4561" name="AutoShape 465">
          <a:extLst>
            <a:ext uri="{FF2B5EF4-FFF2-40B4-BE49-F238E27FC236}">
              <a16:creationId xmlns:a16="http://schemas.microsoft.com/office/drawing/2014/main" id="{AE50CFE1-5831-450F-829C-CD17D83045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4562" name="AutoShape 466">
          <a:extLst>
            <a:ext uri="{FF2B5EF4-FFF2-40B4-BE49-F238E27FC236}">
              <a16:creationId xmlns:a16="http://schemas.microsoft.com/office/drawing/2014/main" id="{F227D572-9E48-4588-9C3A-3348B98300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4563" name="AutoShape 467">
          <a:extLst>
            <a:ext uri="{FF2B5EF4-FFF2-40B4-BE49-F238E27FC236}">
              <a16:creationId xmlns:a16="http://schemas.microsoft.com/office/drawing/2014/main" id="{F4112101-F504-4CD3-AE63-2F66601A9E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4564" name="AutoShape 468">
          <a:extLst>
            <a:ext uri="{FF2B5EF4-FFF2-40B4-BE49-F238E27FC236}">
              <a16:creationId xmlns:a16="http://schemas.microsoft.com/office/drawing/2014/main" id="{09A9AB3B-E956-4FB9-AE44-9ACAAE2C3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4565" name="AutoShape 469">
          <a:extLst>
            <a:ext uri="{FF2B5EF4-FFF2-40B4-BE49-F238E27FC236}">
              <a16:creationId xmlns:a16="http://schemas.microsoft.com/office/drawing/2014/main" id="{30610201-1C7F-4370-94FC-803DC058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4566" name="AutoShape 470">
          <a:extLst>
            <a:ext uri="{FF2B5EF4-FFF2-40B4-BE49-F238E27FC236}">
              <a16:creationId xmlns:a16="http://schemas.microsoft.com/office/drawing/2014/main" id="{A5D576C4-E8F4-436D-9C14-D822B2E037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276225</xdr:colOff>
      <xdr:row>137</xdr:row>
      <xdr:rowOff>180975</xdr:rowOff>
    </xdr:to>
    <xdr:sp macro="" textlink="">
      <xdr:nvSpPr>
        <xdr:cNvPr id="4567" name="AutoShape 471">
          <a:extLst>
            <a:ext uri="{FF2B5EF4-FFF2-40B4-BE49-F238E27FC236}">
              <a16:creationId xmlns:a16="http://schemas.microsoft.com/office/drawing/2014/main" id="{CB6CC5EE-CB44-4242-B891-636BDD9CF8D5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4568" name="AutoShape 472">
          <a:extLst>
            <a:ext uri="{FF2B5EF4-FFF2-40B4-BE49-F238E27FC236}">
              <a16:creationId xmlns:a16="http://schemas.microsoft.com/office/drawing/2014/main" id="{EB4288B1-2706-4387-835F-A093DDC40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4569" name="AutoShape 473">
          <a:extLst>
            <a:ext uri="{FF2B5EF4-FFF2-40B4-BE49-F238E27FC236}">
              <a16:creationId xmlns:a16="http://schemas.microsoft.com/office/drawing/2014/main" id="{B26EA74E-895A-4CDB-9382-06B167F82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4570" name="AutoShape 474">
          <a:extLst>
            <a:ext uri="{FF2B5EF4-FFF2-40B4-BE49-F238E27FC236}">
              <a16:creationId xmlns:a16="http://schemas.microsoft.com/office/drawing/2014/main" id="{DE0BEE2D-E1F0-499A-AF58-1752F3262F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4571" name="AutoShape 475">
          <a:extLst>
            <a:ext uri="{FF2B5EF4-FFF2-40B4-BE49-F238E27FC236}">
              <a16:creationId xmlns:a16="http://schemas.microsoft.com/office/drawing/2014/main" id="{E3D5CC83-768D-4B48-ABCF-3029C90A9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4572" name="AutoShape 476">
          <a:extLst>
            <a:ext uri="{FF2B5EF4-FFF2-40B4-BE49-F238E27FC236}">
              <a16:creationId xmlns:a16="http://schemas.microsoft.com/office/drawing/2014/main" id="{FBE425C2-16DB-4C72-BCF0-9D5B2AAB96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E9AD0D9-51DB-44D5-AE78-B8981E63B2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6542FA3-6461-44A4-A298-4E5ED6B99AB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1346F10-864C-4A9E-AB43-093ADF4C4A5A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C978D483-00F3-413D-88D6-D8701AE4060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0489C200-0F21-48A9-9A1C-FA7DE36A3B95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5A304FB6-0F1B-4B71-B457-D2915615072D}"/>
            </a:ext>
          </a:extLst>
        </xdr:cNvPr>
        <xdr:cNvSpPr>
          <a:spLocks noChangeAspect="1" noChangeArrowheads="1"/>
        </xdr:cNvSpPr>
      </xdr:nvSpPr>
      <xdr:spPr bwMode="auto">
        <a:xfrm>
          <a:off x="7315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E834A783-6F1D-4C7B-A569-E8460D62A5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486EBFEF-B65D-4631-89C0-EECF4817D7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CCFAF55-9014-4B45-9A50-E39C4DB12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5CB994E2-5B72-4472-87B0-50934324AE9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8717D6CE-8277-4A2E-B66F-C2E21EA9D2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E9A4E4FF-689F-4364-814D-C5288C0F3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CD5D7753-2A23-4012-A923-11409C577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9D220136-398C-4601-B4C6-2BDCC911C5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1F1F5640-CCF4-463B-B40C-CA52832295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FB1811D1-4C67-4F72-B9B6-702066C1483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C5E354A-F410-4307-8C9E-633902D9C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2297A8E6-F9C9-4EAA-9E23-DCAB7B465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6599B091-310F-487F-9659-96B15C5396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9E725FCF-10CF-4A98-8C0E-96719050B7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69D6E59D-4347-4944-B235-6D1921D8BD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949FFC0D-FE34-4667-9E00-2C9CCC5427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9BE418FF-96E2-4044-8089-6E4B273872FA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C7E3CDDC-39B4-4BC0-8707-1AE76F99B9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476870AF-DAAF-4864-AB30-600B9AB1C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94B5BE89-AC8E-45DD-A599-D1189923ED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8FB1619E-AB64-45D2-A7D1-4BFFB3BCDC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09260C5-E895-44D2-B037-AF67ED0F0A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010ED04B-DDB2-4F6A-8391-4C4BDED0CB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E2638A57-C2F5-403B-AE44-F72D7853AB6B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E8347B3E-70F9-4523-B5C5-2A08A965E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8FB52A8-81E6-4CD3-AD38-EFA06919C3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4E781C44-9747-4178-8C2B-76B4114507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11261C48-BFB4-46AF-9F8F-704CFA0AFD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D3F229C0-8B47-42BA-986F-0AB7EB930E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B3388D2F-4108-4965-979C-0DAE0F9A5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0759AD8A-135A-4832-9828-1048FE5E5224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C3364923-8DD5-4386-B3C8-AA6D262935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9C81D097-8BD8-4B51-918A-BE5F1373A4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687FEE3D-6BAD-4355-866C-45F490013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5F1FDA21-23AC-4D28-963C-F37C7DCD09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919DC4F5-73E5-4B21-AAF3-48E6F27DA8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19A6D8E8-68E6-467E-B4D4-DBF23151D0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A755058B-AF0C-4D88-96E4-F5ACE1CE4BD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6F156012-1807-4B3B-BC1E-B3990FBE16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5EDA1CCB-BFC6-495D-A6FD-AC28BA091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529D4202-AE90-4F42-8735-84D2575C6E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9902EFFD-0F86-462E-A402-9BA16274C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D5F4DCE6-F2C4-4083-B179-BADD26D265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FFCFCD0C-E223-4A5E-ABD9-19CE601D69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C4CEA528-7EC2-407E-BD71-8554797E387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9BEF7BCC-2FBD-48BE-B563-C2E554DBCD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5D520725-641C-4FC8-988E-B467E78C65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74DF0CFB-2471-426C-9FA1-06E31CE806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76DF9674-E497-47DF-90D6-B06CDBDD5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85" name="AutoShape 65">
          <a:extLst>
            <a:ext uri="{FF2B5EF4-FFF2-40B4-BE49-F238E27FC236}">
              <a16:creationId xmlns:a16="http://schemas.microsoft.com/office/drawing/2014/main" id="{B9070372-45BD-4EB0-A14A-6281BABFE7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186" name="AutoShape 66">
          <a:extLst>
            <a:ext uri="{FF2B5EF4-FFF2-40B4-BE49-F238E27FC236}">
              <a16:creationId xmlns:a16="http://schemas.microsoft.com/office/drawing/2014/main" id="{221BD725-C95E-4E4B-AB1F-E2D94A40D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187" name="AutoShape 67">
          <a:extLst>
            <a:ext uri="{FF2B5EF4-FFF2-40B4-BE49-F238E27FC236}">
              <a16:creationId xmlns:a16="http://schemas.microsoft.com/office/drawing/2014/main" id="{3F262F90-12DC-47FF-905D-FC95489943C9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188" name="AutoShape 68">
          <a:extLst>
            <a:ext uri="{FF2B5EF4-FFF2-40B4-BE49-F238E27FC236}">
              <a16:creationId xmlns:a16="http://schemas.microsoft.com/office/drawing/2014/main" id="{206A5610-FAD3-44BA-93EA-42B3E29882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189" name="AutoShape 69">
          <a:extLst>
            <a:ext uri="{FF2B5EF4-FFF2-40B4-BE49-F238E27FC236}">
              <a16:creationId xmlns:a16="http://schemas.microsoft.com/office/drawing/2014/main" id="{44928E99-66E1-4710-AFDD-5E04F6705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190" name="AutoShape 70">
          <a:extLst>
            <a:ext uri="{FF2B5EF4-FFF2-40B4-BE49-F238E27FC236}">
              <a16:creationId xmlns:a16="http://schemas.microsoft.com/office/drawing/2014/main" id="{39BA3F1E-C4C2-44AA-94CE-816DFD0B63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191" name="AutoShape 71">
          <a:extLst>
            <a:ext uri="{FF2B5EF4-FFF2-40B4-BE49-F238E27FC236}">
              <a16:creationId xmlns:a16="http://schemas.microsoft.com/office/drawing/2014/main" id="{D5C54BD2-9D0F-4794-8A92-4A42A4066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192" name="AutoShape 72">
          <a:extLst>
            <a:ext uri="{FF2B5EF4-FFF2-40B4-BE49-F238E27FC236}">
              <a16:creationId xmlns:a16="http://schemas.microsoft.com/office/drawing/2014/main" id="{D501780D-6C06-4898-8D76-A1E06892EA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193" name="AutoShape 73">
          <a:extLst>
            <a:ext uri="{FF2B5EF4-FFF2-40B4-BE49-F238E27FC236}">
              <a16:creationId xmlns:a16="http://schemas.microsoft.com/office/drawing/2014/main" id="{BEF9067D-53C8-4EC8-B8D2-3E6499DE10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5194" name="AutoShape 74">
          <a:extLst>
            <a:ext uri="{FF2B5EF4-FFF2-40B4-BE49-F238E27FC236}">
              <a16:creationId xmlns:a16="http://schemas.microsoft.com/office/drawing/2014/main" id="{5C18FA9D-AEC9-48B5-94E8-D2D2F8EA5526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5195" name="AutoShape 75">
          <a:extLst>
            <a:ext uri="{FF2B5EF4-FFF2-40B4-BE49-F238E27FC236}">
              <a16:creationId xmlns:a16="http://schemas.microsoft.com/office/drawing/2014/main" id="{2AA462DB-C994-415D-8163-32A6286A59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5196" name="AutoShape 76">
          <a:extLst>
            <a:ext uri="{FF2B5EF4-FFF2-40B4-BE49-F238E27FC236}">
              <a16:creationId xmlns:a16="http://schemas.microsoft.com/office/drawing/2014/main" id="{0CECBA83-58C3-4C08-8CAA-7D07B8C388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5197" name="AutoShape 77">
          <a:extLst>
            <a:ext uri="{FF2B5EF4-FFF2-40B4-BE49-F238E27FC236}">
              <a16:creationId xmlns:a16="http://schemas.microsoft.com/office/drawing/2014/main" id="{1222796D-4693-4C5B-A46E-11EA2F4AA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5198" name="AutoShape 78">
          <a:extLst>
            <a:ext uri="{FF2B5EF4-FFF2-40B4-BE49-F238E27FC236}">
              <a16:creationId xmlns:a16="http://schemas.microsoft.com/office/drawing/2014/main" id="{AA0EC8F5-6122-4FC4-934E-24B4847646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5199" name="AutoShape 79">
          <a:extLst>
            <a:ext uri="{FF2B5EF4-FFF2-40B4-BE49-F238E27FC236}">
              <a16:creationId xmlns:a16="http://schemas.microsoft.com/office/drawing/2014/main" id="{54710CAB-42A5-44BA-B519-A3DE5B04BA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5200" name="AutoShape 80">
          <a:extLst>
            <a:ext uri="{FF2B5EF4-FFF2-40B4-BE49-F238E27FC236}">
              <a16:creationId xmlns:a16="http://schemas.microsoft.com/office/drawing/2014/main" id="{1B546A14-2F75-43B4-A15B-F21138A10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5201" name="AutoShape 81">
          <a:extLst>
            <a:ext uri="{FF2B5EF4-FFF2-40B4-BE49-F238E27FC236}">
              <a16:creationId xmlns:a16="http://schemas.microsoft.com/office/drawing/2014/main" id="{FA49A3C5-23F3-4A4A-972C-C58D959383D6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5202" name="AutoShape 82">
          <a:extLst>
            <a:ext uri="{FF2B5EF4-FFF2-40B4-BE49-F238E27FC236}">
              <a16:creationId xmlns:a16="http://schemas.microsoft.com/office/drawing/2014/main" id="{6C95C0A8-5CFA-4B8E-A589-D388A0DC78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5203" name="AutoShape 83">
          <a:extLst>
            <a:ext uri="{FF2B5EF4-FFF2-40B4-BE49-F238E27FC236}">
              <a16:creationId xmlns:a16="http://schemas.microsoft.com/office/drawing/2014/main" id="{EF510D11-510E-490B-91C3-B0E20A7A84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5204" name="AutoShape 84">
          <a:extLst>
            <a:ext uri="{FF2B5EF4-FFF2-40B4-BE49-F238E27FC236}">
              <a16:creationId xmlns:a16="http://schemas.microsoft.com/office/drawing/2014/main" id="{9D31DDE9-549B-489C-BCB2-008EDD3A42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5205" name="AutoShape 85">
          <a:extLst>
            <a:ext uri="{FF2B5EF4-FFF2-40B4-BE49-F238E27FC236}">
              <a16:creationId xmlns:a16="http://schemas.microsoft.com/office/drawing/2014/main" id="{1E6D38CD-E9C0-4DEC-A134-A484DA68FA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5206" name="AutoShape 86">
          <a:extLst>
            <a:ext uri="{FF2B5EF4-FFF2-40B4-BE49-F238E27FC236}">
              <a16:creationId xmlns:a16="http://schemas.microsoft.com/office/drawing/2014/main" id="{8DDD027E-A60D-455B-B150-A5B009FBCB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5207" name="AutoShape 87">
          <a:extLst>
            <a:ext uri="{FF2B5EF4-FFF2-40B4-BE49-F238E27FC236}">
              <a16:creationId xmlns:a16="http://schemas.microsoft.com/office/drawing/2014/main" id="{86468564-1779-48F7-8AE0-F1D8C148E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5208" name="AutoShape 88">
          <a:extLst>
            <a:ext uri="{FF2B5EF4-FFF2-40B4-BE49-F238E27FC236}">
              <a16:creationId xmlns:a16="http://schemas.microsoft.com/office/drawing/2014/main" id="{45C9B011-F1C0-4C95-BEE9-0D4E0F701731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5209" name="AutoShape 89">
          <a:extLst>
            <a:ext uri="{FF2B5EF4-FFF2-40B4-BE49-F238E27FC236}">
              <a16:creationId xmlns:a16="http://schemas.microsoft.com/office/drawing/2014/main" id="{8189B781-5534-4E48-90E6-E59E0EB852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5210" name="AutoShape 90">
          <a:extLst>
            <a:ext uri="{FF2B5EF4-FFF2-40B4-BE49-F238E27FC236}">
              <a16:creationId xmlns:a16="http://schemas.microsoft.com/office/drawing/2014/main" id="{506FFC6E-B236-4BD9-B072-93E1F48B79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5211" name="AutoShape 91">
          <a:extLst>
            <a:ext uri="{FF2B5EF4-FFF2-40B4-BE49-F238E27FC236}">
              <a16:creationId xmlns:a16="http://schemas.microsoft.com/office/drawing/2014/main" id="{871F22F5-73F4-4C33-BAF6-353C1EB25A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5212" name="AutoShape 92">
          <a:extLst>
            <a:ext uri="{FF2B5EF4-FFF2-40B4-BE49-F238E27FC236}">
              <a16:creationId xmlns:a16="http://schemas.microsoft.com/office/drawing/2014/main" id="{9479D3E3-8ECC-4A36-ABFD-CB7B0CB083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5213" name="AutoShape 93">
          <a:extLst>
            <a:ext uri="{FF2B5EF4-FFF2-40B4-BE49-F238E27FC236}">
              <a16:creationId xmlns:a16="http://schemas.microsoft.com/office/drawing/2014/main" id="{4EE353B0-286F-413B-9784-5A9ABE608D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5214" name="AutoShape 94">
          <a:extLst>
            <a:ext uri="{FF2B5EF4-FFF2-40B4-BE49-F238E27FC236}">
              <a16:creationId xmlns:a16="http://schemas.microsoft.com/office/drawing/2014/main" id="{BD8CD4EC-BC6F-43E5-AC05-55BC0DDB4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5215" name="AutoShape 95">
          <a:extLst>
            <a:ext uri="{FF2B5EF4-FFF2-40B4-BE49-F238E27FC236}">
              <a16:creationId xmlns:a16="http://schemas.microsoft.com/office/drawing/2014/main" id="{59627B53-ABB0-499A-B2A8-7A48A41F19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5216" name="AutoShape 96">
          <a:extLst>
            <a:ext uri="{FF2B5EF4-FFF2-40B4-BE49-F238E27FC236}">
              <a16:creationId xmlns:a16="http://schemas.microsoft.com/office/drawing/2014/main" id="{1576B3AE-99CA-49FB-B9FB-B0B3002548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5217" name="AutoShape 97">
          <a:extLst>
            <a:ext uri="{FF2B5EF4-FFF2-40B4-BE49-F238E27FC236}">
              <a16:creationId xmlns:a16="http://schemas.microsoft.com/office/drawing/2014/main" id="{25F829FF-8C1F-4501-9C3F-4AC301F97C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5218" name="AutoShape 98">
          <a:extLst>
            <a:ext uri="{FF2B5EF4-FFF2-40B4-BE49-F238E27FC236}">
              <a16:creationId xmlns:a16="http://schemas.microsoft.com/office/drawing/2014/main" id="{0F029E7E-D5CE-4104-AD4B-4D851A4210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5219" name="AutoShape 99">
          <a:extLst>
            <a:ext uri="{FF2B5EF4-FFF2-40B4-BE49-F238E27FC236}">
              <a16:creationId xmlns:a16="http://schemas.microsoft.com/office/drawing/2014/main" id="{9B60E571-17C1-45E0-A4FD-277D6B1C00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5220" name="AutoShape 100">
          <a:extLst>
            <a:ext uri="{FF2B5EF4-FFF2-40B4-BE49-F238E27FC236}">
              <a16:creationId xmlns:a16="http://schemas.microsoft.com/office/drawing/2014/main" id="{4FA66BDC-794D-4F13-B06D-1EBF66259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5221" name="AutoShape 101">
          <a:extLst>
            <a:ext uri="{FF2B5EF4-FFF2-40B4-BE49-F238E27FC236}">
              <a16:creationId xmlns:a16="http://schemas.microsoft.com/office/drawing/2014/main" id="{123933AA-7376-48EF-8E27-84B1FFF14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5222" name="AutoShape 102">
          <a:extLst>
            <a:ext uri="{FF2B5EF4-FFF2-40B4-BE49-F238E27FC236}">
              <a16:creationId xmlns:a16="http://schemas.microsoft.com/office/drawing/2014/main" id="{54980C48-A1A9-4B07-9E68-7D5592C6F816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5223" name="AutoShape 103">
          <a:extLst>
            <a:ext uri="{FF2B5EF4-FFF2-40B4-BE49-F238E27FC236}">
              <a16:creationId xmlns:a16="http://schemas.microsoft.com/office/drawing/2014/main" id="{43958EA8-3376-4CD3-A3AC-78995A4B3C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5224" name="AutoShape 104">
          <a:extLst>
            <a:ext uri="{FF2B5EF4-FFF2-40B4-BE49-F238E27FC236}">
              <a16:creationId xmlns:a16="http://schemas.microsoft.com/office/drawing/2014/main" id="{A1CE8266-1BB6-4DFD-8ADE-9AAB60AE6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5225" name="AutoShape 105">
          <a:extLst>
            <a:ext uri="{FF2B5EF4-FFF2-40B4-BE49-F238E27FC236}">
              <a16:creationId xmlns:a16="http://schemas.microsoft.com/office/drawing/2014/main" id="{0AB0B8CE-BD9A-4B9D-AAA0-92A3EFD9D3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5226" name="AutoShape 106">
          <a:extLst>
            <a:ext uri="{FF2B5EF4-FFF2-40B4-BE49-F238E27FC236}">
              <a16:creationId xmlns:a16="http://schemas.microsoft.com/office/drawing/2014/main" id="{1A5B44E4-3044-4F32-B3FF-8429F53F1D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5227" name="AutoShape 107">
          <a:extLst>
            <a:ext uri="{FF2B5EF4-FFF2-40B4-BE49-F238E27FC236}">
              <a16:creationId xmlns:a16="http://schemas.microsoft.com/office/drawing/2014/main" id="{D3B9B544-0EC5-448A-B288-5B96D0D8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5228" name="AutoShape 108">
          <a:extLst>
            <a:ext uri="{FF2B5EF4-FFF2-40B4-BE49-F238E27FC236}">
              <a16:creationId xmlns:a16="http://schemas.microsoft.com/office/drawing/2014/main" id="{CD68F0FE-06F2-4C19-9E97-2E0285457C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5229" name="AutoShape 109">
          <a:extLst>
            <a:ext uri="{FF2B5EF4-FFF2-40B4-BE49-F238E27FC236}">
              <a16:creationId xmlns:a16="http://schemas.microsoft.com/office/drawing/2014/main" id="{54019A48-F83B-42BE-9E6A-6794D5F5C8C6}"/>
            </a:ext>
          </a:extLst>
        </xdr:cNvPr>
        <xdr:cNvSpPr>
          <a:spLocks noChangeAspect="1" noChangeArrowheads="1"/>
        </xdr:cNvSpPr>
      </xdr:nvSpPr>
      <xdr:spPr bwMode="auto">
        <a:xfrm>
          <a:off x="0" y="213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5230" name="AutoShape 110">
          <a:extLst>
            <a:ext uri="{FF2B5EF4-FFF2-40B4-BE49-F238E27FC236}">
              <a16:creationId xmlns:a16="http://schemas.microsoft.com/office/drawing/2014/main" id="{0E42D522-CCDF-48BD-B28D-2688D2E5D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5231" name="AutoShape 111">
          <a:extLst>
            <a:ext uri="{FF2B5EF4-FFF2-40B4-BE49-F238E27FC236}">
              <a16:creationId xmlns:a16="http://schemas.microsoft.com/office/drawing/2014/main" id="{79CEAC03-C9C8-49C0-8C1F-3274294CFC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5232" name="AutoShape 112">
          <a:extLst>
            <a:ext uri="{FF2B5EF4-FFF2-40B4-BE49-F238E27FC236}">
              <a16:creationId xmlns:a16="http://schemas.microsoft.com/office/drawing/2014/main" id="{AB22231E-9533-44D8-AE56-3A523759AF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5233" name="AutoShape 113">
          <a:extLst>
            <a:ext uri="{FF2B5EF4-FFF2-40B4-BE49-F238E27FC236}">
              <a16:creationId xmlns:a16="http://schemas.microsoft.com/office/drawing/2014/main" id="{5623C069-3084-4AD5-8456-664E48708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5234" name="AutoShape 114">
          <a:extLst>
            <a:ext uri="{FF2B5EF4-FFF2-40B4-BE49-F238E27FC236}">
              <a16:creationId xmlns:a16="http://schemas.microsoft.com/office/drawing/2014/main" id="{F79581E4-6438-4B23-81E9-E6B46B4E18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5235" name="AutoShape 115">
          <a:extLst>
            <a:ext uri="{FF2B5EF4-FFF2-40B4-BE49-F238E27FC236}">
              <a16:creationId xmlns:a16="http://schemas.microsoft.com/office/drawing/2014/main" id="{FF944488-8046-4B18-BE56-F9506F4F48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5236" name="AutoShape 116">
          <a:extLst>
            <a:ext uri="{FF2B5EF4-FFF2-40B4-BE49-F238E27FC236}">
              <a16:creationId xmlns:a16="http://schemas.microsoft.com/office/drawing/2014/main" id="{DE7329C0-7075-4FF3-9C99-3D0C8B38AAB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5237" name="AutoShape 117">
          <a:extLst>
            <a:ext uri="{FF2B5EF4-FFF2-40B4-BE49-F238E27FC236}">
              <a16:creationId xmlns:a16="http://schemas.microsoft.com/office/drawing/2014/main" id="{4167FB4A-A5AE-4AAF-A555-43971EF3EF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5238" name="AutoShape 118">
          <a:extLst>
            <a:ext uri="{FF2B5EF4-FFF2-40B4-BE49-F238E27FC236}">
              <a16:creationId xmlns:a16="http://schemas.microsoft.com/office/drawing/2014/main" id="{2E7A2D65-73D5-4D3A-A35C-02960195BF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5239" name="AutoShape 119">
          <a:extLst>
            <a:ext uri="{FF2B5EF4-FFF2-40B4-BE49-F238E27FC236}">
              <a16:creationId xmlns:a16="http://schemas.microsoft.com/office/drawing/2014/main" id="{A8B7F637-BCB8-4896-91A1-2407660F97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5240" name="AutoShape 120">
          <a:extLst>
            <a:ext uri="{FF2B5EF4-FFF2-40B4-BE49-F238E27FC236}">
              <a16:creationId xmlns:a16="http://schemas.microsoft.com/office/drawing/2014/main" id="{03BB3D24-69F8-4EA9-844B-73300505F0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5241" name="AutoShape 121">
          <a:extLst>
            <a:ext uri="{FF2B5EF4-FFF2-40B4-BE49-F238E27FC236}">
              <a16:creationId xmlns:a16="http://schemas.microsoft.com/office/drawing/2014/main" id="{52D8BFD2-FD4D-4A57-8A56-FC21C9E86D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5242" name="AutoShape 122">
          <a:extLst>
            <a:ext uri="{FF2B5EF4-FFF2-40B4-BE49-F238E27FC236}">
              <a16:creationId xmlns:a16="http://schemas.microsoft.com/office/drawing/2014/main" id="{CBB39FEF-F6AC-4404-AA7B-579D71DB94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5243" name="AutoShape 123">
          <a:extLst>
            <a:ext uri="{FF2B5EF4-FFF2-40B4-BE49-F238E27FC236}">
              <a16:creationId xmlns:a16="http://schemas.microsoft.com/office/drawing/2014/main" id="{F1FA6AC3-8E28-485E-A341-8919992961BB}"/>
            </a:ext>
          </a:extLst>
        </xdr:cNvPr>
        <xdr:cNvSpPr>
          <a:spLocks noChangeAspect="1" noChangeArrowheads="1"/>
        </xdr:cNvSpPr>
      </xdr:nvSpPr>
      <xdr:spPr bwMode="auto">
        <a:xfrm>
          <a:off x="0" y="2362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5244" name="AutoShape 124">
          <a:extLst>
            <a:ext uri="{FF2B5EF4-FFF2-40B4-BE49-F238E27FC236}">
              <a16:creationId xmlns:a16="http://schemas.microsoft.com/office/drawing/2014/main" id="{4EE00665-45BA-47BD-BDFF-E396A4D125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5245" name="AutoShape 125">
          <a:extLst>
            <a:ext uri="{FF2B5EF4-FFF2-40B4-BE49-F238E27FC236}">
              <a16:creationId xmlns:a16="http://schemas.microsoft.com/office/drawing/2014/main" id="{F008F280-63EE-443A-A20F-ACF9EFAE2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5246" name="AutoShape 126">
          <a:extLst>
            <a:ext uri="{FF2B5EF4-FFF2-40B4-BE49-F238E27FC236}">
              <a16:creationId xmlns:a16="http://schemas.microsoft.com/office/drawing/2014/main" id="{3CF280E8-E3C6-4B15-9711-48485BDD68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5247" name="AutoShape 127">
          <a:extLst>
            <a:ext uri="{FF2B5EF4-FFF2-40B4-BE49-F238E27FC236}">
              <a16:creationId xmlns:a16="http://schemas.microsoft.com/office/drawing/2014/main" id="{1AE313DD-D624-4810-A3B7-56AD1CDF3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5248" name="AutoShape 128">
          <a:extLst>
            <a:ext uri="{FF2B5EF4-FFF2-40B4-BE49-F238E27FC236}">
              <a16:creationId xmlns:a16="http://schemas.microsoft.com/office/drawing/2014/main" id="{15FFC7BD-18C7-44BD-A51D-AB26445591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5249" name="AutoShape 129">
          <a:extLst>
            <a:ext uri="{FF2B5EF4-FFF2-40B4-BE49-F238E27FC236}">
              <a16:creationId xmlns:a16="http://schemas.microsoft.com/office/drawing/2014/main" id="{147C6349-D484-4A61-85B4-4526CA83E3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5250" name="AutoShape 130">
          <a:extLst>
            <a:ext uri="{FF2B5EF4-FFF2-40B4-BE49-F238E27FC236}">
              <a16:creationId xmlns:a16="http://schemas.microsoft.com/office/drawing/2014/main" id="{7360EF55-A80A-425D-A092-76E73FD88300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5251" name="AutoShape 131">
          <a:extLst>
            <a:ext uri="{FF2B5EF4-FFF2-40B4-BE49-F238E27FC236}">
              <a16:creationId xmlns:a16="http://schemas.microsoft.com/office/drawing/2014/main" id="{40A7FF47-0FAE-4E43-B195-3C007DBA2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5252" name="AutoShape 132">
          <a:extLst>
            <a:ext uri="{FF2B5EF4-FFF2-40B4-BE49-F238E27FC236}">
              <a16:creationId xmlns:a16="http://schemas.microsoft.com/office/drawing/2014/main" id="{B15DE752-41C5-4BD6-A60F-D01718A17B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5253" name="AutoShape 133">
          <a:extLst>
            <a:ext uri="{FF2B5EF4-FFF2-40B4-BE49-F238E27FC236}">
              <a16:creationId xmlns:a16="http://schemas.microsoft.com/office/drawing/2014/main" id="{AA190414-384D-49A2-8646-365011BA3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5254" name="AutoShape 134">
          <a:extLst>
            <a:ext uri="{FF2B5EF4-FFF2-40B4-BE49-F238E27FC236}">
              <a16:creationId xmlns:a16="http://schemas.microsoft.com/office/drawing/2014/main" id="{544EBB91-C69D-4DB4-8CB2-ACF26AB397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5255" name="AutoShape 135">
          <a:extLst>
            <a:ext uri="{FF2B5EF4-FFF2-40B4-BE49-F238E27FC236}">
              <a16:creationId xmlns:a16="http://schemas.microsoft.com/office/drawing/2014/main" id="{24FC4316-3BD9-4877-B494-7AF9A651F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5256" name="AutoShape 136">
          <a:extLst>
            <a:ext uri="{FF2B5EF4-FFF2-40B4-BE49-F238E27FC236}">
              <a16:creationId xmlns:a16="http://schemas.microsoft.com/office/drawing/2014/main" id="{A52D187B-8E24-42C5-8E9C-C9173A9689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5257" name="AutoShape 137">
          <a:extLst>
            <a:ext uri="{FF2B5EF4-FFF2-40B4-BE49-F238E27FC236}">
              <a16:creationId xmlns:a16="http://schemas.microsoft.com/office/drawing/2014/main" id="{15DE4585-44F4-480D-9A48-0C88C965618B}"/>
            </a:ext>
          </a:extLst>
        </xdr:cNvPr>
        <xdr:cNvSpPr>
          <a:spLocks noChangeAspect="1" noChangeArrowheads="1"/>
        </xdr:cNvSpPr>
      </xdr:nvSpPr>
      <xdr:spPr bwMode="auto">
        <a:xfrm>
          <a:off x="0" y="259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5258" name="AutoShape 138">
          <a:extLst>
            <a:ext uri="{FF2B5EF4-FFF2-40B4-BE49-F238E27FC236}">
              <a16:creationId xmlns:a16="http://schemas.microsoft.com/office/drawing/2014/main" id="{A9D4B4AA-26E9-4AF2-8C25-2B71607CD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5259" name="AutoShape 139">
          <a:extLst>
            <a:ext uri="{FF2B5EF4-FFF2-40B4-BE49-F238E27FC236}">
              <a16:creationId xmlns:a16="http://schemas.microsoft.com/office/drawing/2014/main" id="{6AB8111B-4C93-469B-B9A5-831D1925DB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5260" name="AutoShape 140">
          <a:extLst>
            <a:ext uri="{FF2B5EF4-FFF2-40B4-BE49-F238E27FC236}">
              <a16:creationId xmlns:a16="http://schemas.microsoft.com/office/drawing/2014/main" id="{EA45D5B6-64E8-4415-BAF5-909F4FB08E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5261" name="AutoShape 141">
          <a:extLst>
            <a:ext uri="{FF2B5EF4-FFF2-40B4-BE49-F238E27FC236}">
              <a16:creationId xmlns:a16="http://schemas.microsoft.com/office/drawing/2014/main" id="{1DB7595A-EA83-4C0A-B471-05592BCDFA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5262" name="AutoShape 142">
          <a:extLst>
            <a:ext uri="{FF2B5EF4-FFF2-40B4-BE49-F238E27FC236}">
              <a16:creationId xmlns:a16="http://schemas.microsoft.com/office/drawing/2014/main" id="{14CF11D0-B72F-41FF-BA3D-41504E69D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5263" name="AutoShape 143">
          <a:extLst>
            <a:ext uri="{FF2B5EF4-FFF2-40B4-BE49-F238E27FC236}">
              <a16:creationId xmlns:a16="http://schemas.microsoft.com/office/drawing/2014/main" id="{0AEAA25F-8D27-440F-98A5-CC9FB53B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5264" name="AutoShape 144">
          <a:extLst>
            <a:ext uri="{FF2B5EF4-FFF2-40B4-BE49-F238E27FC236}">
              <a16:creationId xmlns:a16="http://schemas.microsoft.com/office/drawing/2014/main" id="{35901262-355F-411A-8B4F-3DE3619A5B64}"/>
            </a:ext>
          </a:extLst>
        </xdr:cNvPr>
        <xdr:cNvSpPr>
          <a:spLocks noChangeAspect="1" noChangeArrowheads="1"/>
        </xdr:cNvSpPr>
      </xdr:nvSpPr>
      <xdr:spPr bwMode="auto">
        <a:xfrm>
          <a:off x="0" y="2705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5265" name="AutoShape 145">
          <a:extLst>
            <a:ext uri="{FF2B5EF4-FFF2-40B4-BE49-F238E27FC236}">
              <a16:creationId xmlns:a16="http://schemas.microsoft.com/office/drawing/2014/main" id="{CF40B974-681A-4AD8-8610-05E96B9F2A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5266" name="AutoShape 146">
          <a:extLst>
            <a:ext uri="{FF2B5EF4-FFF2-40B4-BE49-F238E27FC236}">
              <a16:creationId xmlns:a16="http://schemas.microsoft.com/office/drawing/2014/main" id="{70338B78-A64D-40B1-89ED-9B5C34930A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5267" name="AutoShape 147">
          <a:extLst>
            <a:ext uri="{FF2B5EF4-FFF2-40B4-BE49-F238E27FC236}">
              <a16:creationId xmlns:a16="http://schemas.microsoft.com/office/drawing/2014/main" id="{B330B916-CD70-426E-AAE9-E04A0F8F66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5268" name="AutoShape 148">
          <a:extLst>
            <a:ext uri="{FF2B5EF4-FFF2-40B4-BE49-F238E27FC236}">
              <a16:creationId xmlns:a16="http://schemas.microsoft.com/office/drawing/2014/main" id="{7D765628-6593-49E1-A048-BED87C190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5269" name="AutoShape 149">
          <a:extLst>
            <a:ext uri="{FF2B5EF4-FFF2-40B4-BE49-F238E27FC236}">
              <a16:creationId xmlns:a16="http://schemas.microsoft.com/office/drawing/2014/main" id="{BD54B5DF-2D89-4911-959A-1A5ADD367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5270" name="AutoShape 150">
          <a:extLst>
            <a:ext uri="{FF2B5EF4-FFF2-40B4-BE49-F238E27FC236}">
              <a16:creationId xmlns:a16="http://schemas.microsoft.com/office/drawing/2014/main" id="{F517CD53-F7BD-494D-ADE2-C74AD20E98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5271" name="AutoShape 151">
          <a:extLst>
            <a:ext uri="{FF2B5EF4-FFF2-40B4-BE49-F238E27FC236}">
              <a16:creationId xmlns:a16="http://schemas.microsoft.com/office/drawing/2014/main" id="{EB4923FA-2759-46C8-A23D-BA55829AAECF}"/>
            </a:ext>
          </a:extLst>
        </xdr:cNvPr>
        <xdr:cNvSpPr>
          <a:spLocks noChangeAspect="1" noChangeArrowheads="1"/>
        </xdr:cNvSpPr>
      </xdr:nvSpPr>
      <xdr:spPr bwMode="auto">
        <a:xfrm>
          <a:off x="0" y="2819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5272" name="AutoShape 152">
          <a:extLst>
            <a:ext uri="{FF2B5EF4-FFF2-40B4-BE49-F238E27FC236}">
              <a16:creationId xmlns:a16="http://schemas.microsoft.com/office/drawing/2014/main" id="{74AD8E93-5FC1-4F80-A2A1-274F3D28FA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5273" name="AutoShape 153">
          <a:extLst>
            <a:ext uri="{FF2B5EF4-FFF2-40B4-BE49-F238E27FC236}">
              <a16:creationId xmlns:a16="http://schemas.microsoft.com/office/drawing/2014/main" id="{A2BA5CF5-5B88-4814-812A-C5F4F53E99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5274" name="AutoShape 154">
          <a:extLst>
            <a:ext uri="{FF2B5EF4-FFF2-40B4-BE49-F238E27FC236}">
              <a16:creationId xmlns:a16="http://schemas.microsoft.com/office/drawing/2014/main" id="{EDADD613-ED9B-4800-8B2C-B4A1FE152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5275" name="AutoShape 155">
          <a:extLst>
            <a:ext uri="{FF2B5EF4-FFF2-40B4-BE49-F238E27FC236}">
              <a16:creationId xmlns:a16="http://schemas.microsoft.com/office/drawing/2014/main" id="{00C7F0A6-F663-472A-8FA2-767320110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5276" name="AutoShape 156">
          <a:extLst>
            <a:ext uri="{FF2B5EF4-FFF2-40B4-BE49-F238E27FC236}">
              <a16:creationId xmlns:a16="http://schemas.microsoft.com/office/drawing/2014/main" id="{84B20F93-A5C4-44D0-B5F6-2627F21DE0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5277" name="AutoShape 157">
          <a:extLst>
            <a:ext uri="{FF2B5EF4-FFF2-40B4-BE49-F238E27FC236}">
              <a16:creationId xmlns:a16="http://schemas.microsoft.com/office/drawing/2014/main" id="{4111E909-3CEF-4610-9F3F-6D3F1C776B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5278" name="AutoShape 158">
          <a:extLst>
            <a:ext uri="{FF2B5EF4-FFF2-40B4-BE49-F238E27FC236}">
              <a16:creationId xmlns:a16="http://schemas.microsoft.com/office/drawing/2014/main" id="{240ADAB1-2B8E-450A-942A-4E27C75DB427}"/>
            </a:ext>
          </a:extLst>
        </xdr:cNvPr>
        <xdr:cNvSpPr>
          <a:spLocks noChangeAspect="1" noChangeArrowheads="1"/>
        </xdr:cNvSpPr>
      </xdr:nvSpPr>
      <xdr:spPr bwMode="auto">
        <a:xfrm>
          <a:off x="0" y="2933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5279" name="AutoShape 159">
          <a:extLst>
            <a:ext uri="{FF2B5EF4-FFF2-40B4-BE49-F238E27FC236}">
              <a16:creationId xmlns:a16="http://schemas.microsoft.com/office/drawing/2014/main" id="{B86C3812-C66B-4A9E-AF86-BD174B86C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5280" name="AutoShape 160">
          <a:extLst>
            <a:ext uri="{FF2B5EF4-FFF2-40B4-BE49-F238E27FC236}">
              <a16:creationId xmlns:a16="http://schemas.microsoft.com/office/drawing/2014/main" id="{B36005A0-E553-4167-85D0-6788DEE31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5281" name="AutoShape 161">
          <a:extLst>
            <a:ext uri="{FF2B5EF4-FFF2-40B4-BE49-F238E27FC236}">
              <a16:creationId xmlns:a16="http://schemas.microsoft.com/office/drawing/2014/main" id="{7E417EBA-4229-481D-84A3-D13965027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5282" name="AutoShape 162">
          <a:extLst>
            <a:ext uri="{FF2B5EF4-FFF2-40B4-BE49-F238E27FC236}">
              <a16:creationId xmlns:a16="http://schemas.microsoft.com/office/drawing/2014/main" id="{BE031609-E21E-4B75-AD15-902C1BDE49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5283" name="AutoShape 163">
          <a:extLst>
            <a:ext uri="{FF2B5EF4-FFF2-40B4-BE49-F238E27FC236}">
              <a16:creationId xmlns:a16="http://schemas.microsoft.com/office/drawing/2014/main" id="{6CEAB76F-37FF-49E3-89D6-4A0C23E13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5284" name="AutoShape 164">
          <a:extLst>
            <a:ext uri="{FF2B5EF4-FFF2-40B4-BE49-F238E27FC236}">
              <a16:creationId xmlns:a16="http://schemas.microsoft.com/office/drawing/2014/main" id="{21A3C4E3-D198-4015-8180-AF162981EF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5285" name="AutoShape 165">
          <a:extLst>
            <a:ext uri="{FF2B5EF4-FFF2-40B4-BE49-F238E27FC236}">
              <a16:creationId xmlns:a16="http://schemas.microsoft.com/office/drawing/2014/main" id="{90F1600D-4907-447B-84FC-AA0FF5304346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5286" name="AutoShape 166">
          <a:extLst>
            <a:ext uri="{FF2B5EF4-FFF2-40B4-BE49-F238E27FC236}">
              <a16:creationId xmlns:a16="http://schemas.microsoft.com/office/drawing/2014/main" id="{BD90D2E5-D6EF-4123-A10D-F17756D334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5287" name="AutoShape 167">
          <a:extLst>
            <a:ext uri="{FF2B5EF4-FFF2-40B4-BE49-F238E27FC236}">
              <a16:creationId xmlns:a16="http://schemas.microsoft.com/office/drawing/2014/main" id="{625BB451-01CA-46CB-BA19-F49A63366D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5288" name="AutoShape 168">
          <a:extLst>
            <a:ext uri="{FF2B5EF4-FFF2-40B4-BE49-F238E27FC236}">
              <a16:creationId xmlns:a16="http://schemas.microsoft.com/office/drawing/2014/main" id="{1A9957BA-B0C6-4B5E-B671-0FE2A96810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5289" name="AutoShape 169">
          <a:extLst>
            <a:ext uri="{FF2B5EF4-FFF2-40B4-BE49-F238E27FC236}">
              <a16:creationId xmlns:a16="http://schemas.microsoft.com/office/drawing/2014/main" id="{3960FDCF-098D-423C-9165-4E220A373D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5290" name="AutoShape 170">
          <a:extLst>
            <a:ext uri="{FF2B5EF4-FFF2-40B4-BE49-F238E27FC236}">
              <a16:creationId xmlns:a16="http://schemas.microsoft.com/office/drawing/2014/main" id="{C4EB6F12-85C6-45CF-9E49-FD7C63F6A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5291" name="AutoShape 171">
          <a:extLst>
            <a:ext uri="{FF2B5EF4-FFF2-40B4-BE49-F238E27FC236}">
              <a16:creationId xmlns:a16="http://schemas.microsoft.com/office/drawing/2014/main" id="{69A1CACA-26C8-45BA-A610-6D44768A017D}"/>
            </a:ext>
          </a:extLst>
        </xdr:cNvPr>
        <xdr:cNvSpPr>
          <a:spLocks noChangeAspect="1" noChangeArrowheads="1"/>
        </xdr:cNvSpPr>
      </xdr:nvSpPr>
      <xdr:spPr bwMode="auto">
        <a:xfrm>
          <a:off x="0" y="314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5292" name="AutoShape 172">
          <a:extLst>
            <a:ext uri="{FF2B5EF4-FFF2-40B4-BE49-F238E27FC236}">
              <a16:creationId xmlns:a16="http://schemas.microsoft.com/office/drawing/2014/main" id="{C3DA5630-7DED-4E5C-A842-CAE7F00467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5293" name="AutoShape 173">
          <a:extLst>
            <a:ext uri="{FF2B5EF4-FFF2-40B4-BE49-F238E27FC236}">
              <a16:creationId xmlns:a16="http://schemas.microsoft.com/office/drawing/2014/main" id="{3CFD2B29-E604-4397-903B-B2F3A25CD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5294" name="AutoShape 174">
          <a:extLst>
            <a:ext uri="{FF2B5EF4-FFF2-40B4-BE49-F238E27FC236}">
              <a16:creationId xmlns:a16="http://schemas.microsoft.com/office/drawing/2014/main" id="{C238D9F5-88FF-4DE5-A370-4FAA5F919B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5295" name="AutoShape 175">
          <a:extLst>
            <a:ext uri="{FF2B5EF4-FFF2-40B4-BE49-F238E27FC236}">
              <a16:creationId xmlns:a16="http://schemas.microsoft.com/office/drawing/2014/main" id="{96942716-4E6F-4A83-8B0B-C9DD3E4203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5296" name="AutoShape 176">
          <a:extLst>
            <a:ext uri="{FF2B5EF4-FFF2-40B4-BE49-F238E27FC236}">
              <a16:creationId xmlns:a16="http://schemas.microsoft.com/office/drawing/2014/main" id="{AA31E2A9-A364-43AA-B4AB-4CD6662A3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5297" name="AutoShape 177">
          <a:extLst>
            <a:ext uri="{FF2B5EF4-FFF2-40B4-BE49-F238E27FC236}">
              <a16:creationId xmlns:a16="http://schemas.microsoft.com/office/drawing/2014/main" id="{E7E5478E-7029-4824-8989-7F3CD49FE26D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5298" name="AutoShape 178">
          <a:extLst>
            <a:ext uri="{FF2B5EF4-FFF2-40B4-BE49-F238E27FC236}">
              <a16:creationId xmlns:a16="http://schemas.microsoft.com/office/drawing/2014/main" id="{9D567DF4-E5A5-46A4-A4F9-C17B2EA7B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5299" name="AutoShape 179">
          <a:extLst>
            <a:ext uri="{FF2B5EF4-FFF2-40B4-BE49-F238E27FC236}">
              <a16:creationId xmlns:a16="http://schemas.microsoft.com/office/drawing/2014/main" id="{74D55158-E5F4-4354-92BF-36034EBEA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5300" name="AutoShape 180">
          <a:extLst>
            <a:ext uri="{FF2B5EF4-FFF2-40B4-BE49-F238E27FC236}">
              <a16:creationId xmlns:a16="http://schemas.microsoft.com/office/drawing/2014/main" id="{9C1CFE09-58A1-4ED5-BDE5-96BE98ED50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5301" name="AutoShape 181">
          <a:extLst>
            <a:ext uri="{FF2B5EF4-FFF2-40B4-BE49-F238E27FC236}">
              <a16:creationId xmlns:a16="http://schemas.microsoft.com/office/drawing/2014/main" id="{5A156C4C-F141-44A9-8B85-DAF78825D7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5302" name="AutoShape 182">
          <a:extLst>
            <a:ext uri="{FF2B5EF4-FFF2-40B4-BE49-F238E27FC236}">
              <a16:creationId xmlns:a16="http://schemas.microsoft.com/office/drawing/2014/main" id="{B1AA3E76-E4D6-4F98-9605-899AA51FC4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5303" name="AutoShape 183">
          <a:extLst>
            <a:ext uri="{FF2B5EF4-FFF2-40B4-BE49-F238E27FC236}">
              <a16:creationId xmlns:a16="http://schemas.microsoft.com/office/drawing/2014/main" id="{36700C14-2FD4-4D3A-9C67-37FEB23F09A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5304" name="AutoShape 184">
          <a:extLst>
            <a:ext uri="{FF2B5EF4-FFF2-40B4-BE49-F238E27FC236}">
              <a16:creationId xmlns:a16="http://schemas.microsoft.com/office/drawing/2014/main" id="{F5D25BAA-AA2E-41A8-89AD-7BDDB0A079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5305" name="AutoShape 185">
          <a:extLst>
            <a:ext uri="{FF2B5EF4-FFF2-40B4-BE49-F238E27FC236}">
              <a16:creationId xmlns:a16="http://schemas.microsoft.com/office/drawing/2014/main" id="{2D6D6256-683C-4ABD-8433-926B9F0FC6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5306" name="AutoShape 186">
          <a:extLst>
            <a:ext uri="{FF2B5EF4-FFF2-40B4-BE49-F238E27FC236}">
              <a16:creationId xmlns:a16="http://schemas.microsoft.com/office/drawing/2014/main" id="{4ED7AFFD-69CB-4A75-8352-A77DD7E14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5307" name="AutoShape 187">
          <a:extLst>
            <a:ext uri="{FF2B5EF4-FFF2-40B4-BE49-F238E27FC236}">
              <a16:creationId xmlns:a16="http://schemas.microsoft.com/office/drawing/2014/main" id="{6F44856B-6E58-4C61-9150-2D23AB21D3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5308" name="AutoShape 188">
          <a:extLst>
            <a:ext uri="{FF2B5EF4-FFF2-40B4-BE49-F238E27FC236}">
              <a16:creationId xmlns:a16="http://schemas.microsoft.com/office/drawing/2014/main" id="{053C3C4B-048D-4719-ADB5-F0B70C070C93}"/>
            </a:ext>
          </a:extLst>
        </xdr:cNvPr>
        <xdr:cNvSpPr>
          <a:spLocks noChangeAspect="1" noChangeArrowheads="1"/>
        </xdr:cNvSpPr>
      </xdr:nvSpPr>
      <xdr:spPr bwMode="auto">
        <a:xfrm>
          <a:off x="0" y="3409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5309" name="AutoShape 189">
          <a:extLst>
            <a:ext uri="{FF2B5EF4-FFF2-40B4-BE49-F238E27FC236}">
              <a16:creationId xmlns:a16="http://schemas.microsoft.com/office/drawing/2014/main" id="{2A90B2DE-E370-4E93-8B6C-9C79C9DE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5310" name="AutoShape 190">
          <a:extLst>
            <a:ext uri="{FF2B5EF4-FFF2-40B4-BE49-F238E27FC236}">
              <a16:creationId xmlns:a16="http://schemas.microsoft.com/office/drawing/2014/main" id="{7182C1BE-A37C-4355-AC1B-16F0CF0BAE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5311" name="AutoShape 191">
          <a:extLst>
            <a:ext uri="{FF2B5EF4-FFF2-40B4-BE49-F238E27FC236}">
              <a16:creationId xmlns:a16="http://schemas.microsoft.com/office/drawing/2014/main" id="{FC8CFBD0-409D-4BF9-83AC-A4EDBF135C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5312" name="AutoShape 192">
          <a:extLst>
            <a:ext uri="{FF2B5EF4-FFF2-40B4-BE49-F238E27FC236}">
              <a16:creationId xmlns:a16="http://schemas.microsoft.com/office/drawing/2014/main" id="{A078F103-E8A4-40CD-8B85-425BB1638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5313" name="AutoShape 193">
          <a:extLst>
            <a:ext uri="{FF2B5EF4-FFF2-40B4-BE49-F238E27FC236}">
              <a16:creationId xmlns:a16="http://schemas.microsoft.com/office/drawing/2014/main" id="{FB4DDBCE-AB48-4658-9C24-9584F152A73C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5314" name="AutoShape 194">
          <a:extLst>
            <a:ext uri="{FF2B5EF4-FFF2-40B4-BE49-F238E27FC236}">
              <a16:creationId xmlns:a16="http://schemas.microsoft.com/office/drawing/2014/main" id="{C076E42C-C38B-4BFA-8CF3-207C983968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5315" name="AutoShape 195">
          <a:extLst>
            <a:ext uri="{FF2B5EF4-FFF2-40B4-BE49-F238E27FC236}">
              <a16:creationId xmlns:a16="http://schemas.microsoft.com/office/drawing/2014/main" id="{4909D1E5-7574-4A8B-B84A-CF63FC4388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5316" name="AutoShape 196">
          <a:extLst>
            <a:ext uri="{FF2B5EF4-FFF2-40B4-BE49-F238E27FC236}">
              <a16:creationId xmlns:a16="http://schemas.microsoft.com/office/drawing/2014/main" id="{831EFCDE-CB9F-4AED-A3C4-AED746D6D9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5317" name="AutoShape 197">
          <a:extLst>
            <a:ext uri="{FF2B5EF4-FFF2-40B4-BE49-F238E27FC236}">
              <a16:creationId xmlns:a16="http://schemas.microsoft.com/office/drawing/2014/main" id="{21028537-2D9F-4874-B885-B783F0E05C23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5318" name="AutoShape 198">
          <a:extLst>
            <a:ext uri="{FF2B5EF4-FFF2-40B4-BE49-F238E27FC236}">
              <a16:creationId xmlns:a16="http://schemas.microsoft.com/office/drawing/2014/main" id="{C0CD26AF-B0A0-45BD-BC9C-3BD55F0770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5319" name="AutoShape 199">
          <a:extLst>
            <a:ext uri="{FF2B5EF4-FFF2-40B4-BE49-F238E27FC236}">
              <a16:creationId xmlns:a16="http://schemas.microsoft.com/office/drawing/2014/main" id="{FF0882A6-23C8-482C-A292-685F1B0542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5320" name="AutoShape 200">
          <a:extLst>
            <a:ext uri="{FF2B5EF4-FFF2-40B4-BE49-F238E27FC236}">
              <a16:creationId xmlns:a16="http://schemas.microsoft.com/office/drawing/2014/main" id="{5717E35B-C14B-414C-940B-04A14098A9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5321" name="AutoShape 201">
          <a:extLst>
            <a:ext uri="{FF2B5EF4-FFF2-40B4-BE49-F238E27FC236}">
              <a16:creationId xmlns:a16="http://schemas.microsoft.com/office/drawing/2014/main" id="{21534C0A-BC94-4712-91E5-F3CCFA8842E2}"/>
            </a:ext>
          </a:extLst>
        </xdr:cNvPr>
        <xdr:cNvSpPr>
          <a:spLocks noChangeAspect="1" noChangeArrowheads="1"/>
        </xdr:cNvSpPr>
      </xdr:nvSpPr>
      <xdr:spPr bwMode="auto">
        <a:xfrm>
          <a:off x="0" y="3600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5322" name="AutoShape 202">
          <a:extLst>
            <a:ext uri="{FF2B5EF4-FFF2-40B4-BE49-F238E27FC236}">
              <a16:creationId xmlns:a16="http://schemas.microsoft.com/office/drawing/2014/main" id="{084DF51D-EC8F-4F57-B4DF-44D41EE728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5323" name="AutoShape 203">
          <a:extLst>
            <a:ext uri="{FF2B5EF4-FFF2-40B4-BE49-F238E27FC236}">
              <a16:creationId xmlns:a16="http://schemas.microsoft.com/office/drawing/2014/main" id="{F280FA3E-0B90-4724-AB6B-E23F2C4314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5324" name="AutoShape 204">
          <a:extLst>
            <a:ext uri="{FF2B5EF4-FFF2-40B4-BE49-F238E27FC236}">
              <a16:creationId xmlns:a16="http://schemas.microsoft.com/office/drawing/2014/main" id="{8669C93B-F619-4646-B6CF-82F3525465E8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5325" name="AutoShape 205">
          <a:extLst>
            <a:ext uri="{FF2B5EF4-FFF2-40B4-BE49-F238E27FC236}">
              <a16:creationId xmlns:a16="http://schemas.microsoft.com/office/drawing/2014/main" id="{E43C7F56-6F3F-4939-A78E-AF6A3A7570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5326" name="AutoShape 206">
          <a:extLst>
            <a:ext uri="{FF2B5EF4-FFF2-40B4-BE49-F238E27FC236}">
              <a16:creationId xmlns:a16="http://schemas.microsoft.com/office/drawing/2014/main" id="{CFA0A8CE-C07E-4F51-93FC-E398C42698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7373BBAF-BF04-42F5-A1B2-DF5CB5D8FCE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13FB8B8C-CB79-462C-AB32-1D3814C478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B35A397C-878E-4B4B-9406-9B17CD8D34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257175</xdr:colOff>
      <xdr:row>0</xdr:row>
      <xdr:rowOff>219075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E89D4B1B-94EC-4312-B991-D9FD64AA404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228600</xdr:colOff>
      <xdr:row>0</xdr:row>
      <xdr:rowOff>219075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A3BCEF7A-3A0D-4084-AE2A-CC85739929D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219075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8E8588C0-0035-4FFF-A784-7509168DBFF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406AF271-89F0-44E8-96EA-D00CE334B7A2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3C4E89D6-61E1-4A34-A22A-B6FFFA1F03BA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F0BF659-AD09-41AD-90B2-1559470ED8B1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71AB25D-8DAB-484E-B76B-0ABAD26FA1F7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743874A4-3F70-467E-864A-C130043CC5E7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AD5BAC57-3420-4BA8-B92D-0102888C93D6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BBD41159-9C6F-412A-9B15-70B34C6571C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B6FF2F95-EDE2-4CAA-9AEF-06A9976B9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CF4202C4-3A88-4DE0-9FA8-7A7B77AC03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02896D64-B342-40FC-9C91-5B518E409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0D4E7781-9EEA-4AF6-8546-5689612F3B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E44695DC-EC42-4100-8A3B-DA47A1ECE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BFA3F87-5EF7-44D3-B641-2AD91C389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8B0D6D87-23E7-419C-9D96-B3DF0ED2C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838C3737-E695-46CC-8495-2BB868371F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F6F2CF86-3A5D-47B6-A7FE-C57FDCFD87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099A7054-6F27-462C-88A9-3A8124F47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FC8EF364-C234-4D5D-B405-B068D51ECE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6CFDF7B1-7686-4C29-B673-67E06172BF72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2689355-EA5B-4D6E-BF26-7296C4EFA7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9ACE523D-4D3F-4789-9F0B-029BAAB4C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D7D76EEE-B814-4C0F-8D8B-DD120C79A3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7A299EDC-3C5B-41A9-9ECB-DBEA035F2C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A5EB25F4-6733-4EDF-B6BF-66B5CD2DB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A35EFD24-28E9-4784-BCDE-E224667151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41A0AFC-43DF-41FA-A225-291CB1F996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CF47FF88-B007-490E-95FB-5BF241C6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DEFF7976-E692-4BDD-8B40-C47F06AD4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226FFB5E-0A90-4EE9-8FE2-684F79F250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EB5C31A3-6487-4A43-8320-53E3A016C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1648ED7A-258F-4012-9C12-BF8586D753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616EA2BC-D62D-4B95-B2F4-0E569EB7CFCB}"/>
            </a:ext>
          </a:extLst>
        </xdr:cNvPr>
        <xdr:cNvSpPr>
          <a:spLocks noChangeAspect="1" noChangeArrowheads="1"/>
        </xdr:cNvSpPr>
      </xdr:nvSpPr>
      <xdr:spPr bwMode="auto">
        <a:xfrm>
          <a:off x="0" y="51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FCAB9EB1-47AC-41E1-A5CE-520A8A9B15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304D7945-FF10-40F7-B105-EC5AFFC663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72D60CD2-B103-4690-8CDF-E742D66084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98F429A8-D30E-47E0-B43F-3F9E4F910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5FE05F9A-A865-4FDE-BCAC-ECB32BB4FF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CBD43746-1B9F-4EB6-B93A-A4F7B9C189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6CCD2303-D50B-4A04-97D5-D4159B4C7E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C6D400B9-E9DF-43C4-83BF-5BA5375C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E79AE010-DC81-467E-ABF0-393CB5998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BC950353-0992-4D81-8F9A-C28399D1DB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6EF34596-2F14-4184-97DB-92E400B3A3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D378DFD9-9AA6-4B3A-B0B6-8B7906F5E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B674FB34-9DB8-4E45-A45D-5223411D6968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7A54BB6C-D755-4D01-A398-73B16B3E6B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0642AB0B-37B6-47F5-9111-836EFADBE6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E547D5ED-76A8-42EA-9FC2-946C92EA2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AA877D1-46F9-46AD-82F4-B75E8686F0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E8F11F90-B5E4-4F0F-B0D3-7A4005CD67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57E5AC63-08FC-4523-BA7A-8D1DE0214F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7994107D-8DBA-45CF-9B00-B18BCFED1B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D8CE7670-F39F-4C43-A017-A36A11D5B0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ECCB293-823F-444E-846E-E69F88B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FF3C7AEF-1496-4102-9FAB-BC0119D986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AA74BD3D-62C9-4877-9E56-65577EA855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339FECAA-06D4-4796-A2A9-B951C65BE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9D850C03-505D-426A-A94E-59EBF055DFC9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5FB01FCC-06EE-4FF3-ACDB-C4F577E0B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A03A58B3-FC08-4342-B439-CAE14DEB97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9EF2579F-9323-495C-9799-B25F7E0C0F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468D6E7E-25AC-4E40-9A01-BAC4378378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C847ECE5-28CD-4B07-9A53-91EB762BAC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BF42F39A-0068-4540-BEE8-FA777192AE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A0C1849-EDB7-48E5-B619-CE7485A355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012E823A-6A59-40F9-8DE0-697792BB79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2EA5E488-9442-4D07-A578-E834514EC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CE1259FD-4A8A-4D7E-92DA-CD804E18C0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AF965692-B233-4CCB-99B0-B357A49B4C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AF7FDB65-59AC-4C64-8513-ACCCE1050D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541F7627-14EE-4DF8-9302-F19DDA8A462D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1025CB67-E58E-48EC-A630-695C939D0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C1F21F40-1D7D-4E0E-8628-76E19DAB8C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BF936603-2522-4F5A-B7DA-85F7C5700E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05A34758-EA95-432A-98FE-81F68616C4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BEF2D322-020F-4791-8759-8AF4900136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3C6102C3-0653-406D-987C-A58B650B78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8E79A83F-5AED-449C-BE81-82612FC0B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CC4F9D2C-5FD6-434C-9D14-E3B9CE1F09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823478D1-75DC-48C0-B9CD-0D397FAA0B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AC5165AD-6508-49AE-8F8C-C507D90DE5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E63FE83E-D5B0-4D3E-B4CE-068CEE9F8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F1E1A01D-3E60-47C3-997C-E5D843697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276225</xdr:colOff>
      <xdr:row>72</xdr:row>
      <xdr:rowOff>180975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6D7462A2-711C-4EB5-A275-8C2411B9996B}"/>
            </a:ext>
          </a:extLst>
        </xdr:cNvPr>
        <xdr:cNvSpPr>
          <a:spLocks noChangeAspect="1" noChangeArrowheads="1"/>
        </xdr:cNvSpPr>
      </xdr:nvSpPr>
      <xdr:spPr bwMode="auto">
        <a:xfrm>
          <a:off x="0" y="1428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AE95E567-10F6-4A33-83C7-B193BBAD7C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41B9DE2-7D90-43B1-9BB6-FA1E13E31E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180975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B650A4C1-20F6-4E6B-8BC9-DB9294F8CB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5A749E5-684B-4E4E-9CA3-921A1ED971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266700</xdr:colOff>
      <xdr:row>76</xdr:row>
      <xdr:rowOff>180975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941528B2-BDE7-49BF-BD02-AE6BF8BF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0AD8346C-F296-4E36-860F-0EE0CC7BC8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348DC6C1-37C1-4099-B050-ADA6FD96E3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D7BFF2-ED5C-40A8-AC04-0EB9736BD1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10C4CAC-5E61-4411-8D81-848C42427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A48CDD8D-E126-4D7C-87CA-45F3132B7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8F871E1C-5946-475D-A3C6-F5E1DAFEF1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896EEB69-BF4E-4D31-A555-BDF02E0666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EC5522EB-35A7-4D25-ABC0-258506D39091}"/>
            </a:ext>
          </a:extLst>
        </xdr:cNvPr>
        <xdr:cNvSpPr>
          <a:spLocks noChangeAspect="1" noChangeArrowheads="1"/>
        </xdr:cNvSpPr>
      </xdr:nvSpPr>
      <xdr:spPr bwMode="auto">
        <a:xfrm>
          <a:off x="0" y="165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A8F0928-C623-475C-AF0E-22BBE0C78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99F10914-C870-45D6-A63B-52D7E48424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0EC97BED-09B1-49E6-B39B-972D4C0C6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66CF6F4C-027E-45EA-9CC0-594959D1D2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C0B86B9F-1FC4-4DEF-8F02-188AD3372A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F712B22-7329-4908-894C-EF258AF8A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F8B77395-7C8B-4276-A867-2EBD80895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04320BE0-F81F-474B-A064-C8C032FA9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9CC9AB8B-6261-4C4D-A6E9-98090F62A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38076440-E44E-462A-BBF8-71D0D72D02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C6728413-41CB-443B-9896-1327EFA5D5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94238BCE-F593-4CFA-9457-330CA0A5E7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CE9AC203-0CC8-4A74-92EB-6C46FD6A66B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E67BE6CA-4004-4D5B-8650-F8D9B15B0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4EC730C5-078A-41C7-A08D-B14E2BBF28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5AAAFFFA-7A12-4F0F-95B8-D78ACFB9DB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06A94F62-DC9C-415B-AE56-8037EF2EB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8D683C8A-F978-425B-8539-ACF89313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04F1A758-A7C4-4E11-ABBC-198AD66C36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67A67EBC-A599-4990-9FE5-78BFF8D516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8DF3B091-54A0-4323-A5AE-919A2D84F1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D8B3F3E8-3175-4AD0-BC00-2B9536025A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DCC10EBA-0BF5-43A9-B4A5-743C1D58A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65ADCC8B-6157-4A88-AD4E-6EA3ED2347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1AF70700-B1B4-4FDF-AC7F-F361A50B62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2B53A6C5-EB11-47C8-9FFB-EE57370D7A74}"/>
            </a:ext>
          </a:extLst>
        </xdr:cNvPr>
        <xdr:cNvSpPr>
          <a:spLocks noChangeAspect="1" noChangeArrowheads="1"/>
        </xdr:cNvSpPr>
      </xdr:nvSpPr>
      <xdr:spPr bwMode="auto">
        <a:xfrm>
          <a:off x="0" y="2114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1DAABB40-6346-4998-9AAF-AB17D31397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A6AC0855-483A-49FE-BDD5-EBAF19C5F5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3CDF944A-250D-413A-83DD-552ED222AB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103CD11D-F072-466A-A091-82DEEBCA91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4FBE70B1-CEAD-4362-8228-5A341E7D1C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22447878-B556-42F6-87A6-639BF6E377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89914548-4202-4B57-80D7-59777B7241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D9FCA6A6-57B2-4C7E-BD08-658CCE9F9D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632ACFDB-278D-4D68-BCC6-CB6F9C838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3A89C390-3ACE-4ED6-AD0D-28B400CDA0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2D4FCBAE-0625-425E-846B-BC15F855A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DBD8CD39-A2E8-441D-9DFA-9D87CAF6C1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3A9BD4DA-A338-4864-AC94-2326F8347A42}"/>
            </a:ext>
          </a:extLst>
        </xdr:cNvPr>
        <xdr:cNvSpPr>
          <a:spLocks noChangeAspect="1" noChangeArrowheads="1"/>
        </xdr:cNvSpPr>
      </xdr:nvSpPr>
      <xdr:spPr bwMode="auto">
        <a:xfrm>
          <a:off x="0" y="2343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7FE73854-9818-4056-B46F-F0E808533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0B55EEF2-B847-49DA-9442-5FE7F934A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A2562D1F-E8A7-4971-8E5E-9ADEB8015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CFCE0B66-363D-4FF1-B4D7-F810FA476B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F67CF2ED-B46E-4959-BB35-DE184711B9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A48E7B3-26BD-4BBC-9FC0-D299828FE9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A2EA2F1B-BBF7-484E-9202-250640E20D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487" name="AutoShape 151">
          <a:extLst>
            <a:ext uri="{FF2B5EF4-FFF2-40B4-BE49-F238E27FC236}">
              <a16:creationId xmlns:a16="http://schemas.microsoft.com/office/drawing/2014/main" id="{9A3EE728-37D5-47B9-8F51-450FAC6DAF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488" name="AutoShape 152">
          <a:extLst>
            <a:ext uri="{FF2B5EF4-FFF2-40B4-BE49-F238E27FC236}">
              <a16:creationId xmlns:a16="http://schemas.microsoft.com/office/drawing/2014/main" id="{403EC176-DB19-4B9D-BAEB-3824FD5596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489" name="AutoShape 153">
          <a:extLst>
            <a:ext uri="{FF2B5EF4-FFF2-40B4-BE49-F238E27FC236}">
              <a16:creationId xmlns:a16="http://schemas.microsoft.com/office/drawing/2014/main" id="{C3CEA6F5-D01B-4F7E-8F4A-267D72AE7B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490" name="AutoShape 154">
          <a:extLst>
            <a:ext uri="{FF2B5EF4-FFF2-40B4-BE49-F238E27FC236}">
              <a16:creationId xmlns:a16="http://schemas.microsoft.com/office/drawing/2014/main" id="{60DD97BC-79F4-4468-8EC5-A5DBD2213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491" name="AutoShape 155">
          <a:extLst>
            <a:ext uri="{FF2B5EF4-FFF2-40B4-BE49-F238E27FC236}">
              <a16:creationId xmlns:a16="http://schemas.microsoft.com/office/drawing/2014/main" id="{B72D5EFF-4160-4379-878E-46604E16AD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4492" name="AutoShape 156">
          <a:extLst>
            <a:ext uri="{FF2B5EF4-FFF2-40B4-BE49-F238E27FC236}">
              <a16:creationId xmlns:a16="http://schemas.microsoft.com/office/drawing/2014/main" id="{CD70E1D2-EAB5-4197-8761-406BB82AFF38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4493" name="AutoShape 157">
          <a:extLst>
            <a:ext uri="{FF2B5EF4-FFF2-40B4-BE49-F238E27FC236}">
              <a16:creationId xmlns:a16="http://schemas.microsoft.com/office/drawing/2014/main" id="{3DC2BC08-EB33-4C21-A3AF-4ECBAF97B9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4494" name="AutoShape 158">
          <a:extLst>
            <a:ext uri="{FF2B5EF4-FFF2-40B4-BE49-F238E27FC236}">
              <a16:creationId xmlns:a16="http://schemas.microsoft.com/office/drawing/2014/main" id="{44A06126-83E1-454E-92D5-A46432A0D7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4495" name="AutoShape 159">
          <a:extLst>
            <a:ext uri="{FF2B5EF4-FFF2-40B4-BE49-F238E27FC236}">
              <a16:creationId xmlns:a16="http://schemas.microsoft.com/office/drawing/2014/main" id="{735F3539-31E6-4C3A-B9D8-0E6E07115F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4496" name="AutoShape 160">
          <a:extLst>
            <a:ext uri="{FF2B5EF4-FFF2-40B4-BE49-F238E27FC236}">
              <a16:creationId xmlns:a16="http://schemas.microsoft.com/office/drawing/2014/main" id="{4F52D175-F765-4158-AA36-DFDEE293AC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4497" name="AutoShape 161">
          <a:extLst>
            <a:ext uri="{FF2B5EF4-FFF2-40B4-BE49-F238E27FC236}">
              <a16:creationId xmlns:a16="http://schemas.microsoft.com/office/drawing/2014/main" id="{230E208F-EC3E-4004-8D50-401B301873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4498" name="AutoShape 162">
          <a:extLst>
            <a:ext uri="{FF2B5EF4-FFF2-40B4-BE49-F238E27FC236}">
              <a16:creationId xmlns:a16="http://schemas.microsoft.com/office/drawing/2014/main" id="{9E762D7C-5783-4E8A-9444-5B7CD117BA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4499" name="AutoShape 163">
          <a:extLst>
            <a:ext uri="{FF2B5EF4-FFF2-40B4-BE49-F238E27FC236}">
              <a16:creationId xmlns:a16="http://schemas.microsoft.com/office/drawing/2014/main" id="{0BF27F79-DEB7-43EB-B3EC-4D9970030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4500" name="AutoShape 164">
          <a:extLst>
            <a:ext uri="{FF2B5EF4-FFF2-40B4-BE49-F238E27FC236}">
              <a16:creationId xmlns:a16="http://schemas.microsoft.com/office/drawing/2014/main" id="{A2265979-B816-4337-B815-3540BD8E1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4501" name="AutoShape 165">
          <a:extLst>
            <a:ext uri="{FF2B5EF4-FFF2-40B4-BE49-F238E27FC236}">
              <a16:creationId xmlns:a16="http://schemas.microsoft.com/office/drawing/2014/main" id="{1C6D1E0A-AF6D-4652-9580-0782C77CD1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4502" name="AutoShape 166">
          <a:extLst>
            <a:ext uri="{FF2B5EF4-FFF2-40B4-BE49-F238E27FC236}">
              <a16:creationId xmlns:a16="http://schemas.microsoft.com/office/drawing/2014/main" id="{AF939964-E5CE-4998-8C89-E15AF5E77D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503" name="AutoShape 167">
          <a:extLst>
            <a:ext uri="{FF2B5EF4-FFF2-40B4-BE49-F238E27FC236}">
              <a16:creationId xmlns:a16="http://schemas.microsoft.com/office/drawing/2014/main" id="{26187C3D-4777-46F7-B9DA-78F601A51A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504" name="AutoShape 168">
          <a:extLst>
            <a:ext uri="{FF2B5EF4-FFF2-40B4-BE49-F238E27FC236}">
              <a16:creationId xmlns:a16="http://schemas.microsoft.com/office/drawing/2014/main" id="{73291561-CD19-4D86-9E47-FC18F303E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276225</xdr:colOff>
      <xdr:row>144</xdr:row>
      <xdr:rowOff>180975</xdr:rowOff>
    </xdr:to>
    <xdr:sp macro="" textlink="">
      <xdr:nvSpPr>
        <xdr:cNvPr id="14505" name="AutoShape 169">
          <a:extLst>
            <a:ext uri="{FF2B5EF4-FFF2-40B4-BE49-F238E27FC236}">
              <a16:creationId xmlns:a16="http://schemas.microsoft.com/office/drawing/2014/main" id="{31FD18FC-5B08-4FEA-87E2-A5C202C96B52}"/>
            </a:ext>
          </a:extLst>
        </xdr:cNvPr>
        <xdr:cNvSpPr>
          <a:spLocks noChangeAspect="1" noChangeArrowheads="1"/>
        </xdr:cNvSpPr>
      </xdr:nvSpPr>
      <xdr:spPr bwMode="auto">
        <a:xfrm>
          <a:off x="0" y="2800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506" name="AutoShape 170">
          <a:extLst>
            <a:ext uri="{FF2B5EF4-FFF2-40B4-BE49-F238E27FC236}">
              <a16:creationId xmlns:a16="http://schemas.microsoft.com/office/drawing/2014/main" id="{9F8DB91E-9BD3-4391-A41E-2D21CACEE1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507" name="AutoShape 171">
          <a:extLst>
            <a:ext uri="{FF2B5EF4-FFF2-40B4-BE49-F238E27FC236}">
              <a16:creationId xmlns:a16="http://schemas.microsoft.com/office/drawing/2014/main" id="{C73FB081-F557-41BE-A140-86AC959346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08" name="AutoShape 172">
          <a:extLst>
            <a:ext uri="{FF2B5EF4-FFF2-40B4-BE49-F238E27FC236}">
              <a16:creationId xmlns:a16="http://schemas.microsoft.com/office/drawing/2014/main" id="{5423B62C-C841-4E66-B90B-79FAEA1068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509" name="AutoShape 173">
          <a:extLst>
            <a:ext uri="{FF2B5EF4-FFF2-40B4-BE49-F238E27FC236}">
              <a16:creationId xmlns:a16="http://schemas.microsoft.com/office/drawing/2014/main" id="{A41DE806-3DB1-4092-9586-6023561080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510" name="AutoShape 174">
          <a:extLst>
            <a:ext uri="{FF2B5EF4-FFF2-40B4-BE49-F238E27FC236}">
              <a16:creationId xmlns:a16="http://schemas.microsoft.com/office/drawing/2014/main" id="{E27F3F48-D689-4A26-9ADD-81047A1978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511" name="AutoShape 175">
          <a:extLst>
            <a:ext uri="{FF2B5EF4-FFF2-40B4-BE49-F238E27FC236}">
              <a16:creationId xmlns:a16="http://schemas.microsoft.com/office/drawing/2014/main" id="{7D008A45-99BD-4ACF-87BF-289D09D9C7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512" name="AutoShape 176">
          <a:extLst>
            <a:ext uri="{FF2B5EF4-FFF2-40B4-BE49-F238E27FC236}">
              <a16:creationId xmlns:a16="http://schemas.microsoft.com/office/drawing/2014/main" id="{8094DC6A-AAB1-48F3-900C-E7B7FBB644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13" name="AutoShape 177">
          <a:extLst>
            <a:ext uri="{FF2B5EF4-FFF2-40B4-BE49-F238E27FC236}">
              <a16:creationId xmlns:a16="http://schemas.microsoft.com/office/drawing/2014/main" id="{FC81F20E-440C-49A1-A89C-682AF47787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514" name="AutoShape 178">
          <a:extLst>
            <a:ext uri="{FF2B5EF4-FFF2-40B4-BE49-F238E27FC236}">
              <a16:creationId xmlns:a16="http://schemas.microsoft.com/office/drawing/2014/main" id="{1116B28B-B2EE-4B4D-A7B5-BADF76E5DB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515" name="AutoShape 179">
          <a:extLst>
            <a:ext uri="{FF2B5EF4-FFF2-40B4-BE49-F238E27FC236}">
              <a16:creationId xmlns:a16="http://schemas.microsoft.com/office/drawing/2014/main" id="{C8CC3ADA-A33A-4DAF-AEFC-B73ED3149C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516" name="AutoShape 180">
          <a:extLst>
            <a:ext uri="{FF2B5EF4-FFF2-40B4-BE49-F238E27FC236}">
              <a16:creationId xmlns:a16="http://schemas.microsoft.com/office/drawing/2014/main" id="{5449630A-A58E-4B69-8152-039A64D1B8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517" name="AutoShape 181">
          <a:extLst>
            <a:ext uri="{FF2B5EF4-FFF2-40B4-BE49-F238E27FC236}">
              <a16:creationId xmlns:a16="http://schemas.microsoft.com/office/drawing/2014/main" id="{7E1211B0-AB87-4430-8931-B974705A96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276225</xdr:colOff>
      <xdr:row>156</xdr:row>
      <xdr:rowOff>180975</xdr:rowOff>
    </xdr:to>
    <xdr:sp macro="" textlink="">
      <xdr:nvSpPr>
        <xdr:cNvPr id="14518" name="AutoShape 182">
          <a:extLst>
            <a:ext uri="{FF2B5EF4-FFF2-40B4-BE49-F238E27FC236}">
              <a16:creationId xmlns:a16="http://schemas.microsoft.com/office/drawing/2014/main" id="{287DE2CC-7AD4-4DE9-A6F7-925C11FAF0EE}"/>
            </a:ext>
          </a:extLst>
        </xdr:cNvPr>
        <xdr:cNvSpPr>
          <a:spLocks noChangeAspect="1" noChangeArrowheads="1"/>
        </xdr:cNvSpPr>
      </xdr:nvSpPr>
      <xdr:spPr bwMode="auto">
        <a:xfrm>
          <a:off x="0" y="3028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4519" name="AutoShape 183">
          <a:extLst>
            <a:ext uri="{FF2B5EF4-FFF2-40B4-BE49-F238E27FC236}">
              <a16:creationId xmlns:a16="http://schemas.microsoft.com/office/drawing/2014/main" id="{AE5813B7-6255-493E-910D-9B1334FC91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4520" name="AutoShape 184">
          <a:extLst>
            <a:ext uri="{FF2B5EF4-FFF2-40B4-BE49-F238E27FC236}">
              <a16:creationId xmlns:a16="http://schemas.microsoft.com/office/drawing/2014/main" id="{EDAF8A3B-99FE-40AD-BF2D-5875C6D605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4521" name="AutoShape 185">
          <a:extLst>
            <a:ext uri="{FF2B5EF4-FFF2-40B4-BE49-F238E27FC236}">
              <a16:creationId xmlns:a16="http://schemas.microsoft.com/office/drawing/2014/main" id="{A5918A38-0936-45D4-AED0-496391A2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4522" name="AutoShape 186">
          <a:extLst>
            <a:ext uri="{FF2B5EF4-FFF2-40B4-BE49-F238E27FC236}">
              <a16:creationId xmlns:a16="http://schemas.microsoft.com/office/drawing/2014/main" id="{361AC139-D006-4B62-8987-EAF4D3DBA2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4523" name="AutoShape 187">
          <a:extLst>
            <a:ext uri="{FF2B5EF4-FFF2-40B4-BE49-F238E27FC236}">
              <a16:creationId xmlns:a16="http://schemas.microsoft.com/office/drawing/2014/main" id="{9B123EDF-EA9B-4BA4-8591-9BE9BA0ACD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4524" name="AutoShape 188">
          <a:extLst>
            <a:ext uri="{FF2B5EF4-FFF2-40B4-BE49-F238E27FC236}">
              <a16:creationId xmlns:a16="http://schemas.microsoft.com/office/drawing/2014/main" id="{0C135A90-08D6-49E3-9A81-5DFDAF54D4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4525" name="AutoShape 189">
          <a:extLst>
            <a:ext uri="{FF2B5EF4-FFF2-40B4-BE49-F238E27FC236}">
              <a16:creationId xmlns:a16="http://schemas.microsoft.com/office/drawing/2014/main" id="{0970A15B-2AA7-42EF-A95B-C01BBCCAD7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4526" name="AutoShape 190">
          <a:extLst>
            <a:ext uri="{FF2B5EF4-FFF2-40B4-BE49-F238E27FC236}">
              <a16:creationId xmlns:a16="http://schemas.microsoft.com/office/drawing/2014/main" id="{7EE3B106-FAC8-4817-BB5D-3F112791C6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4527" name="AutoShape 191">
          <a:extLst>
            <a:ext uri="{FF2B5EF4-FFF2-40B4-BE49-F238E27FC236}">
              <a16:creationId xmlns:a16="http://schemas.microsoft.com/office/drawing/2014/main" id="{77C1B3E5-C647-416D-993E-AEE725FD7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4528" name="AutoShape 192">
          <a:extLst>
            <a:ext uri="{FF2B5EF4-FFF2-40B4-BE49-F238E27FC236}">
              <a16:creationId xmlns:a16="http://schemas.microsoft.com/office/drawing/2014/main" id="{64E60D1C-7A42-4AC6-A4B9-C12A5B6B81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4529" name="AutoShape 193">
          <a:extLst>
            <a:ext uri="{FF2B5EF4-FFF2-40B4-BE49-F238E27FC236}">
              <a16:creationId xmlns:a16="http://schemas.microsoft.com/office/drawing/2014/main" id="{FC4D2372-8E33-49F3-8283-EA1EFCB2A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4530" name="AutoShape 194">
          <a:extLst>
            <a:ext uri="{FF2B5EF4-FFF2-40B4-BE49-F238E27FC236}">
              <a16:creationId xmlns:a16="http://schemas.microsoft.com/office/drawing/2014/main" id="{78EB4EDE-7008-4654-BEA9-A8326A19C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276225</xdr:colOff>
      <xdr:row>168</xdr:row>
      <xdr:rowOff>180975</xdr:rowOff>
    </xdr:to>
    <xdr:sp macro="" textlink="">
      <xdr:nvSpPr>
        <xdr:cNvPr id="14531" name="AutoShape 195">
          <a:extLst>
            <a:ext uri="{FF2B5EF4-FFF2-40B4-BE49-F238E27FC236}">
              <a16:creationId xmlns:a16="http://schemas.microsoft.com/office/drawing/2014/main" id="{1CF1F573-928E-4D3B-9DED-A0E1A958D377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4532" name="AutoShape 196">
          <a:extLst>
            <a:ext uri="{FF2B5EF4-FFF2-40B4-BE49-F238E27FC236}">
              <a16:creationId xmlns:a16="http://schemas.microsoft.com/office/drawing/2014/main" id="{4EC9CEBE-DFE7-41FE-B952-A5A134E10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4533" name="AutoShape 197">
          <a:extLst>
            <a:ext uri="{FF2B5EF4-FFF2-40B4-BE49-F238E27FC236}">
              <a16:creationId xmlns:a16="http://schemas.microsoft.com/office/drawing/2014/main" id="{864A46BC-BE6A-40B9-BB22-6E2808F9D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4534" name="AutoShape 198">
          <a:extLst>
            <a:ext uri="{FF2B5EF4-FFF2-40B4-BE49-F238E27FC236}">
              <a16:creationId xmlns:a16="http://schemas.microsoft.com/office/drawing/2014/main" id="{3A893A33-0605-42E3-940F-678AFAE59B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4535" name="AutoShape 199">
          <a:extLst>
            <a:ext uri="{FF2B5EF4-FFF2-40B4-BE49-F238E27FC236}">
              <a16:creationId xmlns:a16="http://schemas.microsoft.com/office/drawing/2014/main" id="{FA2C37F9-40E6-4B6B-9565-BB37A70895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4536" name="AutoShape 200">
          <a:extLst>
            <a:ext uri="{FF2B5EF4-FFF2-40B4-BE49-F238E27FC236}">
              <a16:creationId xmlns:a16="http://schemas.microsoft.com/office/drawing/2014/main" id="{D324E21C-8547-477C-9581-A9DDA30B72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8A51D85D-D398-49E7-A71F-99C3A8100F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F9F7BCF8-ECB3-40F4-8F12-2CF9B70A2F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D0ABAD3D-D123-4473-AB3E-AC04E894F3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D4FF7937-2455-4935-BCF3-572565FBE9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1A6A8B8C-2F76-4FED-AAD6-2DDBCD091E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276225</xdr:colOff>
      <xdr:row>178</xdr:row>
      <xdr:rowOff>180975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C6DF4FF9-DEC3-462F-844C-2529D29226A9}"/>
            </a:ext>
          </a:extLst>
        </xdr:cNvPr>
        <xdr:cNvSpPr>
          <a:spLocks noChangeAspect="1" noChangeArrowheads="1"/>
        </xdr:cNvSpPr>
      </xdr:nvSpPr>
      <xdr:spPr bwMode="auto">
        <a:xfrm>
          <a:off x="0" y="3448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831DF58B-E640-46EE-AD64-842909A481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13184CFD-DB66-424C-9DFF-F590376D8D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40819C6-BA11-4130-A58F-22556B16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E59349B-F8DC-47B2-87FE-37FE040514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7438C36B-EB7D-4466-95AA-87384803D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64F1A6CF-4004-46B5-959C-F873B607C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18F5D17B-7998-4FC7-82A0-AF326F8EF8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29739332-42A7-4645-997F-EB307AD8FF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24C6580C-0539-4DB5-962F-987E8B8DF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518C0753-EC4F-4BEA-A898-170D70797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DC4CD09D-9058-4246-86BF-4DD989CDE287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0941B49-769D-46D0-9C97-46349C842E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A6CF7DE6-ED24-4525-94AB-9E75A2908F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266700</xdr:colOff>
      <xdr:row>190</xdr:row>
      <xdr:rowOff>180975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A357ECB5-3210-400D-AB3C-8591BD97B7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266700</xdr:colOff>
      <xdr:row>191</xdr:row>
      <xdr:rowOff>180975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F5D0A25C-0A04-49B7-83FB-A1916E139F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95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266700</xdr:colOff>
      <xdr:row>192</xdr:row>
      <xdr:rowOff>180975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EE1AEF6-0283-4889-95A4-A94931D74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14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266700</xdr:colOff>
      <xdr:row>193</xdr:row>
      <xdr:rowOff>180975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368BFF96-6F58-4FB8-ABAD-F1878A2479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266700</xdr:colOff>
      <xdr:row>194</xdr:row>
      <xdr:rowOff>180975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AD4F094-934E-4C7F-9062-AAE87829D2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52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266700</xdr:colOff>
      <xdr:row>195</xdr:row>
      <xdr:rowOff>180975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C75BB806-4C72-41E6-A1F8-B0A3A43172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71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266700</xdr:colOff>
      <xdr:row>196</xdr:row>
      <xdr:rowOff>180975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7D073169-E892-4B56-B3FE-1D3D587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90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266700</xdr:colOff>
      <xdr:row>197</xdr:row>
      <xdr:rowOff>180975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80A33147-0385-4925-86D7-C060661D6D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276225</xdr:colOff>
      <xdr:row>198</xdr:row>
      <xdr:rowOff>180975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1C7ACCF0-43D0-4AC5-8BED-0BDF2BE71951}"/>
            </a:ext>
          </a:extLst>
        </xdr:cNvPr>
        <xdr:cNvSpPr>
          <a:spLocks noChangeAspect="1" noChangeArrowheads="1"/>
        </xdr:cNvSpPr>
      </xdr:nvSpPr>
      <xdr:spPr bwMode="auto">
        <a:xfrm>
          <a:off x="0" y="382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266700</xdr:colOff>
      <xdr:row>198</xdr:row>
      <xdr:rowOff>180975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CA19C1C2-B741-4AA8-ADB7-89685B22EE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29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266700</xdr:colOff>
      <xdr:row>199</xdr:row>
      <xdr:rowOff>180975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E863C97F-2605-4D44-B397-E0C70934D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8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266700</xdr:colOff>
      <xdr:row>200</xdr:row>
      <xdr:rowOff>180975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903548D6-C9AF-42AC-A15D-465813F8D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67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266700</xdr:colOff>
      <xdr:row>201</xdr:row>
      <xdr:rowOff>180975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EA573F1E-59F6-4492-A18D-B68275A130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266700</xdr:colOff>
      <xdr:row>202</xdr:row>
      <xdr:rowOff>180975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ED8DF67B-25BB-4A74-9BF8-77C7308DF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0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266700</xdr:colOff>
      <xdr:row>203</xdr:row>
      <xdr:rowOff>180975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62325C03-A11F-42A0-B114-85C1969C0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1D0F4363-CF58-41DD-BE71-4F5DB2BD89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4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266700</xdr:colOff>
      <xdr:row>205</xdr:row>
      <xdr:rowOff>180975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6A89E06E-A606-411E-8311-1E28B246CF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6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266700</xdr:colOff>
      <xdr:row>206</xdr:row>
      <xdr:rowOff>180975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ED7BDA72-9001-4A6D-963F-52D2DFA7FE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8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276225</xdr:colOff>
      <xdr:row>207</xdr:row>
      <xdr:rowOff>180975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A4BA35B6-FD94-4A6A-AD1F-CC888AA718A6}"/>
            </a:ext>
          </a:extLst>
        </xdr:cNvPr>
        <xdr:cNvSpPr>
          <a:spLocks noChangeAspect="1" noChangeArrowheads="1"/>
        </xdr:cNvSpPr>
      </xdr:nvSpPr>
      <xdr:spPr bwMode="auto">
        <a:xfrm>
          <a:off x="0" y="400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266700</xdr:colOff>
      <xdr:row>207</xdr:row>
      <xdr:rowOff>180975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70369882-F6E4-46AE-B5F0-BA9022CE98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266700</xdr:colOff>
      <xdr:row>208</xdr:row>
      <xdr:rowOff>180975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AE99A978-0881-48E9-816A-5AD7ABDE98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1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266700</xdr:colOff>
      <xdr:row>209</xdr:row>
      <xdr:rowOff>180975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68AD6F5-6492-435C-A280-5D68F627D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3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266700</xdr:colOff>
      <xdr:row>210</xdr:row>
      <xdr:rowOff>180975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D3143EA0-8166-4C37-9294-A679BD7BB5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5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266700</xdr:colOff>
      <xdr:row>211</xdr:row>
      <xdr:rowOff>180975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A67DDEBC-E20A-45FF-9832-88905C762C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7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180975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BC75921B-C7C4-4C57-B43F-3827F7FCA2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9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266700</xdr:colOff>
      <xdr:row>213</xdr:row>
      <xdr:rowOff>180975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84D945E0-38AE-431B-B5DD-4BC31A41C4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1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266700</xdr:colOff>
      <xdr:row>214</xdr:row>
      <xdr:rowOff>180975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1323F91D-FBB0-4DB7-95F5-BF769859B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3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180975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9070F8CF-BF97-4DD8-B3BD-629C76907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5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276225</xdr:colOff>
      <xdr:row>216</xdr:row>
      <xdr:rowOff>180975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6CB36E18-5AFC-4AFD-A7B6-BF2BF38020A7}"/>
            </a:ext>
          </a:extLst>
        </xdr:cNvPr>
        <xdr:cNvSpPr>
          <a:spLocks noChangeAspect="1" noChangeArrowheads="1"/>
        </xdr:cNvSpPr>
      </xdr:nvSpPr>
      <xdr:spPr bwMode="auto">
        <a:xfrm>
          <a:off x="0" y="417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266700</xdr:colOff>
      <xdr:row>216</xdr:row>
      <xdr:rowOff>180975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2226C75B-BD06-4E65-82AE-9CE3A8A012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7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DCEA93BE-9D97-4372-A750-36AB329974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266700</xdr:colOff>
      <xdr:row>218</xdr:row>
      <xdr:rowOff>180975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694CD179-1804-49F8-8418-335822F376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1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266700</xdr:colOff>
      <xdr:row>219</xdr:row>
      <xdr:rowOff>180975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E8C16D2-F34A-4956-AC87-A48AD1B5AC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2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266700</xdr:colOff>
      <xdr:row>220</xdr:row>
      <xdr:rowOff>180975</xdr:rowOff>
    </xdr:to>
    <xdr:sp macro="" textlink="">
      <xdr:nvSpPr>
        <xdr:cNvPr id="14589" name="AutoShape 253">
          <a:extLst>
            <a:ext uri="{FF2B5EF4-FFF2-40B4-BE49-F238E27FC236}">
              <a16:creationId xmlns:a16="http://schemas.microsoft.com/office/drawing/2014/main" id="{5E962755-E016-4755-92B3-AD60F38F16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4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sp macro="" textlink="">
      <xdr:nvSpPr>
        <xdr:cNvPr id="14590" name="AutoShape 254">
          <a:extLst>
            <a:ext uri="{FF2B5EF4-FFF2-40B4-BE49-F238E27FC236}">
              <a16:creationId xmlns:a16="http://schemas.microsoft.com/office/drawing/2014/main" id="{0807723F-D273-4935-9CD7-867626B7D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6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180975</xdr:rowOff>
    </xdr:to>
    <xdr:sp macro="" textlink="">
      <xdr:nvSpPr>
        <xdr:cNvPr id="14591" name="AutoShape 255">
          <a:extLst>
            <a:ext uri="{FF2B5EF4-FFF2-40B4-BE49-F238E27FC236}">
              <a16:creationId xmlns:a16="http://schemas.microsoft.com/office/drawing/2014/main" id="{98152DAE-1E23-478B-99A9-C044A29F47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266700</xdr:colOff>
      <xdr:row>223</xdr:row>
      <xdr:rowOff>180975</xdr:rowOff>
    </xdr:to>
    <xdr:sp macro="" textlink="">
      <xdr:nvSpPr>
        <xdr:cNvPr id="14592" name="AutoShape 256">
          <a:extLst>
            <a:ext uri="{FF2B5EF4-FFF2-40B4-BE49-F238E27FC236}">
              <a16:creationId xmlns:a16="http://schemas.microsoft.com/office/drawing/2014/main" id="{04E2F536-B284-4EF4-9005-977077050C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0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276225</xdr:colOff>
      <xdr:row>224</xdr:row>
      <xdr:rowOff>180975</xdr:rowOff>
    </xdr:to>
    <xdr:sp macro="" textlink="">
      <xdr:nvSpPr>
        <xdr:cNvPr id="14593" name="AutoShape 257">
          <a:extLst>
            <a:ext uri="{FF2B5EF4-FFF2-40B4-BE49-F238E27FC236}">
              <a16:creationId xmlns:a16="http://schemas.microsoft.com/office/drawing/2014/main" id="{31945ACD-7A7D-4625-BC2D-6B7FE60BF5E2}"/>
            </a:ext>
          </a:extLst>
        </xdr:cNvPr>
        <xdr:cNvSpPr>
          <a:spLocks noChangeAspect="1" noChangeArrowheads="1"/>
        </xdr:cNvSpPr>
      </xdr:nvSpPr>
      <xdr:spPr bwMode="auto">
        <a:xfrm>
          <a:off x="0" y="432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266700</xdr:colOff>
      <xdr:row>224</xdr:row>
      <xdr:rowOff>180975</xdr:rowOff>
    </xdr:to>
    <xdr:sp macro="" textlink="">
      <xdr:nvSpPr>
        <xdr:cNvPr id="14594" name="AutoShape 258">
          <a:extLst>
            <a:ext uri="{FF2B5EF4-FFF2-40B4-BE49-F238E27FC236}">
              <a16:creationId xmlns:a16="http://schemas.microsoft.com/office/drawing/2014/main" id="{062671F8-48AC-4D56-AEB3-C25D40A01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2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266700</xdr:colOff>
      <xdr:row>225</xdr:row>
      <xdr:rowOff>180975</xdr:rowOff>
    </xdr:to>
    <xdr:sp macro="" textlink="">
      <xdr:nvSpPr>
        <xdr:cNvPr id="14595" name="AutoShape 259">
          <a:extLst>
            <a:ext uri="{FF2B5EF4-FFF2-40B4-BE49-F238E27FC236}">
              <a16:creationId xmlns:a16="http://schemas.microsoft.com/office/drawing/2014/main" id="{0E7ED925-2883-4CC1-9576-4961215A4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4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266700</xdr:colOff>
      <xdr:row>226</xdr:row>
      <xdr:rowOff>180975</xdr:rowOff>
    </xdr:to>
    <xdr:sp macro="" textlink="">
      <xdr:nvSpPr>
        <xdr:cNvPr id="14596" name="AutoShape 260">
          <a:extLst>
            <a:ext uri="{FF2B5EF4-FFF2-40B4-BE49-F238E27FC236}">
              <a16:creationId xmlns:a16="http://schemas.microsoft.com/office/drawing/2014/main" id="{BB64DC7D-73F6-4282-8DCF-C00055A9F0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6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266700</xdr:colOff>
      <xdr:row>227</xdr:row>
      <xdr:rowOff>180975</xdr:rowOff>
    </xdr:to>
    <xdr:sp macro="" textlink="">
      <xdr:nvSpPr>
        <xdr:cNvPr id="14597" name="AutoShape 261">
          <a:extLst>
            <a:ext uri="{FF2B5EF4-FFF2-40B4-BE49-F238E27FC236}">
              <a16:creationId xmlns:a16="http://schemas.microsoft.com/office/drawing/2014/main" id="{319F385E-8A69-4D70-87AF-B61873B404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266700</xdr:colOff>
      <xdr:row>228</xdr:row>
      <xdr:rowOff>180975</xdr:rowOff>
    </xdr:to>
    <xdr:sp macro="" textlink="">
      <xdr:nvSpPr>
        <xdr:cNvPr id="14598" name="AutoShape 262">
          <a:extLst>
            <a:ext uri="{FF2B5EF4-FFF2-40B4-BE49-F238E27FC236}">
              <a16:creationId xmlns:a16="http://schemas.microsoft.com/office/drawing/2014/main" id="{A9DFFED3-20F0-4440-9F89-A6E22326B5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0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266700</xdr:colOff>
      <xdr:row>229</xdr:row>
      <xdr:rowOff>180975</xdr:rowOff>
    </xdr:to>
    <xdr:sp macro="" textlink="">
      <xdr:nvSpPr>
        <xdr:cNvPr id="14599" name="AutoShape 263">
          <a:extLst>
            <a:ext uri="{FF2B5EF4-FFF2-40B4-BE49-F238E27FC236}">
              <a16:creationId xmlns:a16="http://schemas.microsoft.com/office/drawing/2014/main" id="{21FDF8DA-CBC8-406C-9085-0FD6CAA581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1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266700</xdr:colOff>
      <xdr:row>230</xdr:row>
      <xdr:rowOff>180975</xdr:rowOff>
    </xdr:to>
    <xdr:sp macro="" textlink="">
      <xdr:nvSpPr>
        <xdr:cNvPr id="14600" name="AutoShape 264">
          <a:extLst>
            <a:ext uri="{FF2B5EF4-FFF2-40B4-BE49-F238E27FC236}">
              <a16:creationId xmlns:a16="http://schemas.microsoft.com/office/drawing/2014/main" id="{05D76224-0D32-4AA7-BAE6-6E2EDAE22C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3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266700</xdr:colOff>
      <xdr:row>231</xdr:row>
      <xdr:rowOff>180975</xdr:rowOff>
    </xdr:to>
    <xdr:sp macro="" textlink="">
      <xdr:nvSpPr>
        <xdr:cNvPr id="14601" name="AutoShape 265">
          <a:extLst>
            <a:ext uri="{FF2B5EF4-FFF2-40B4-BE49-F238E27FC236}">
              <a16:creationId xmlns:a16="http://schemas.microsoft.com/office/drawing/2014/main" id="{CEFEE2B4-E112-4530-A9E6-EC0302AF59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5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276225</xdr:colOff>
      <xdr:row>232</xdr:row>
      <xdr:rowOff>180975</xdr:rowOff>
    </xdr:to>
    <xdr:sp macro="" textlink="">
      <xdr:nvSpPr>
        <xdr:cNvPr id="14602" name="AutoShape 266">
          <a:extLst>
            <a:ext uri="{FF2B5EF4-FFF2-40B4-BE49-F238E27FC236}">
              <a16:creationId xmlns:a16="http://schemas.microsoft.com/office/drawing/2014/main" id="{10CD522F-B99C-41A1-9858-8CE3538DF3C2}"/>
            </a:ext>
          </a:extLst>
        </xdr:cNvPr>
        <xdr:cNvSpPr>
          <a:spLocks noChangeAspect="1" noChangeArrowheads="1"/>
        </xdr:cNvSpPr>
      </xdr:nvSpPr>
      <xdr:spPr bwMode="auto">
        <a:xfrm>
          <a:off x="0" y="447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266700</xdr:colOff>
      <xdr:row>232</xdr:row>
      <xdr:rowOff>180975</xdr:rowOff>
    </xdr:to>
    <xdr:sp macro="" textlink="">
      <xdr:nvSpPr>
        <xdr:cNvPr id="14603" name="AutoShape 267">
          <a:extLst>
            <a:ext uri="{FF2B5EF4-FFF2-40B4-BE49-F238E27FC236}">
              <a16:creationId xmlns:a16="http://schemas.microsoft.com/office/drawing/2014/main" id="{49921E98-E8EC-45E3-A638-F74D05772E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266700</xdr:colOff>
      <xdr:row>233</xdr:row>
      <xdr:rowOff>180975</xdr:rowOff>
    </xdr:to>
    <xdr:sp macro="" textlink="">
      <xdr:nvSpPr>
        <xdr:cNvPr id="14604" name="AutoShape 268">
          <a:extLst>
            <a:ext uri="{FF2B5EF4-FFF2-40B4-BE49-F238E27FC236}">
              <a16:creationId xmlns:a16="http://schemas.microsoft.com/office/drawing/2014/main" id="{3AFA095C-8502-401A-91B3-88F88B91DF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9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266700</xdr:colOff>
      <xdr:row>234</xdr:row>
      <xdr:rowOff>180975</xdr:rowOff>
    </xdr:to>
    <xdr:sp macro="" textlink="">
      <xdr:nvSpPr>
        <xdr:cNvPr id="14605" name="AutoShape 269">
          <a:extLst>
            <a:ext uri="{FF2B5EF4-FFF2-40B4-BE49-F238E27FC236}">
              <a16:creationId xmlns:a16="http://schemas.microsoft.com/office/drawing/2014/main" id="{99307CA2-EB30-4E36-8BE9-C408FDEBEB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1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266700</xdr:colOff>
      <xdr:row>235</xdr:row>
      <xdr:rowOff>180975</xdr:rowOff>
    </xdr:to>
    <xdr:sp macro="" textlink="">
      <xdr:nvSpPr>
        <xdr:cNvPr id="14606" name="AutoShape 270">
          <a:extLst>
            <a:ext uri="{FF2B5EF4-FFF2-40B4-BE49-F238E27FC236}">
              <a16:creationId xmlns:a16="http://schemas.microsoft.com/office/drawing/2014/main" id="{BF18E53C-26BF-4792-8816-A48DFBB73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3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180975</xdr:rowOff>
    </xdr:to>
    <xdr:sp macro="" textlink="">
      <xdr:nvSpPr>
        <xdr:cNvPr id="14607" name="AutoShape 271">
          <a:extLst>
            <a:ext uri="{FF2B5EF4-FFF2-40B4-BE49-F238E27FC236}">
              <a16:creationId xmlns:a16="http://schemas.microsoft.com/office/drawing/2014/main" id="{E29F6CBB-FDFA-4CE3-9E31-4371CCD91F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5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266700</xdr:colOff>
      <xdr:row>237</xdr:row>
      <xdr:rowOff>180975</xdr:rowOff>
    </xdr:to>
    <xdr:sp macro="" textlink="">
      <xdr:nvSpPr>
        <xdr:cNvPr id="14608" name="AutoShape 272">
          <a:extLst>
            <a:ext uri="{FF2B5EF4-FFF2-40B4-BE49-F238E27FC236}">
              <a16:creationId xmlns:a16="http://schemas.microsoft.com/office/drawing/2014/main" id="{2EA57608-7F4A-4B6F-9A34-64CA711051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266700</xdr:colOff>
      <xdr:row>238</xdr:row>
      <xdr:rowOff>180975</xdr:rowOff>
    </xdr:to>
    <xdr:sp macro="" textlink="">
      <xdr:nvSpPr>
        <xdr:cNvPr id="14609" name="AutoShape 273">
          <a:extLst>
            <a:ext uri="{FF2B5EF4-FFF2-40B4-BE49-F238E27FC236}">
              <a16:creationId xmlns:a16="http://schemas.microsoft.com/office/drawing/2014/main" id="{9D2E9E2B-A9AA-4AF9-AD09-1996FB1930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9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266700</xdr:colOff>
      <xdr:row>239</xdr:row>
      <xdr:rowOff>180975</xdr:rowOff>
    </xdr:to>
    <xdr:sp macro="" textlink="">
      <xdr:nvSpPr>
        <xdr:cNvPr id="14610" name="AutoShape 274">
          <a:extLst>
            <a:ext uri="{FF2B5EF4-FFF2-40B4-BE49-F238E27FC236}">
              <a16:creationId xmlns:a16="http://schemas.microsoft.com/office/drawing/2014/main" id="{47D36890-388E-4F7A-8CF8-2EC0E713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1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276225</xdr:colOff>
      <xdr:row>240</xdr:row>
      <xdr:rowOff>180975</xdr:rowOff>
    </xdr:to>
    <xdr:sp macro="" textlink="">
      <xdr:nvSpPr>
        <xdr:cNvPr id="14611" name="AutoShape 275">
          <a:extLst>
            <a:ext uri="{FF2B5EF4-FFF2-40B4-BE49-F238E27FC236}">
              <a16:creationId xmlns:a16="http://schemas.microsoft.com/office/drawing/2014/main" id="{D88826DE-EF54-4C39-A264-5717BBBAB25F}"/>
            </a:ext>
          </a:extLst>
        </xdr:cNvPr>
        <xdr:cNvSpPr>
          <a:spLocks noChangeAspect="1" noChangeArrowheads="1"/>
        </xdr:cNvSpPr>
      </xdr:nvSpPr>
      <xdr:spPr bwMode="auto">
        <a:xfrm>
          <a:off x="0" y="462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266700</xdr:colOff>
      <xdr:row>240</xdr:row>
      <xdr:rowOff>180975</xdr:rowOff>
    </xdr:to>
    <xdr:sp macro="" textlink="">
      <xdr:nvSpPr>
        <xdr:cNvPr id="14612" name="AutoShape 276">
          <a:extLst>
            <a:ext uri="{FF2B5EF4-FFF2-40B4-BE49-F238E27FC236}">
              <a16:creationId xmlns:a16="http://schemas.microsoft.com/office/drawing/2014/main" id="{E7C855D0-59E0-411E-B2D7-71C3A7DAB6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2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266700</xdr:colOff>
      <xdr:row>241</xdr:row>
      <xdr:rowOff>180975</xdr:rowOff>
    </xdr:to>
    <xdr:sp macro="" textlink="">
      <xdr:nvSpPr>
        <xdr:cNvPr id="14613" name="AutoShape 277">
          <a:extLst>
            <a:ext uri="{FF2B5EF4-FFF2-40B4-BE49-F238E27FC236}">
              <a16:creationId xmlns:a16="http://schemas.microsoft.com/office/drawing/2014/main" id="{CFD78085-DED8-418B-B4ED-70691DC7F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4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266700</xdr:colOff>
      <xdr:row>242</xdr:row>
      <xdr:rowOff>180975</xdr:rowOff>
    </xdr:to>
    <xdr:sp macro="" textlink="">
      <xdr:nvSpPr>
        <xdr:cNvPr id="14614" name="AutoShape 278">
          <a:extLst>
            <a:ext uri="{FF2B5EF4-FFF2-40B4-BE49-F238E27FC236}">
              <a16:creationId xmlns:a16="http://schemas.microsoft.com/office/drawing/2014/main" id="{E00A553E-157E-4126-BE09-A219E0DD3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266700</xdr:colOff>
      <xdr:row>243</xdr:row>
      <xdr:rowOff>180975</xdr:rowOff>
    </xdr:to>
    <xdr:sp macro="" textlink="">
      <xdr:nvSpPr>
        <xdr:cNvPr id="14615" name="AutoShape 279">
          <a:extLst>
            <a:ext uri="{FF2B5EF4-FFF2-40B4-BE49-F238E27FC236}">
              <a16:creationId xmlns:a16="http://schemas.microsoft.com/office/drawing/2014/main" id="{4D916EE9-6DCA-4C82-A52F-C349A0A913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8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266700</xdr:colOff>
      <xdr:row>244</xdr:row>
      <xdr:rowOff>180975</xdr:rowOff>
    </xdr:to>
    <xdr:sp macro="" textlink="">
      <xdr:nvSpPr>
        <xdr:cNvPr id="14616" name="AutoShape 280">
          <a:extLst>
            <a:ext uri="{FF2B5EF4-FFF2-40B4-BE49-F238E27FC236}">
              <a16:creationId xmlns:a16="http://schemas.microsoft.com/office/drawing/2014/main" id="{D25620E9-D260-4AE3-9B31-FA7851927F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0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266700</xdr:colOff>
      <xdr:row>245</xdr:row>
      <xdr:rowOff>180975</xdr:rowOff>
    </xdr:to>
    <xdr:sp macro="" textlink="">
      <xdr:nvSpPr>
        <xdr:cNvPr id="14617" name="AutoShape 281">
          <a:extLst>
            <a:ext uri="{FF2B5EF4-FFF2-40B4-BE49-F238E27FC236}">
              <a16:creationId xmlns:a16="http://schemas.microsoft.com/office/drawing/2014/main" id="{A6F5E014-F3ED-40CB-9887-6411956676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2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266700</xdr:colOff>
      <xdr:row>246</xdr:row>
      <xdr:rowOff>180975</xdr:rowOff>
    </xdr:to>
    <xdr:sp macro="" textlink="">
      <xdr:nvSpPr>
        <xdr:cNvPr id="14618" name="AutoShape 282">
          <a:extLst>
            <a:ext uri="{FF2B5EF4-FFF2-40B4-BE49-F238E27FC236}">
              <a16:creationId xmlns:a16="http://schemas.microsoft.com/office/drawing/2014/main" id="{82D1CDA7-5684-41A8-A0F8-256289BC7A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4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sp macro="" textlink="">
      <xdr:nvSpPr>
        <xdr:cNvPr id="14619" name="AutoShape 283">
          <a:extLst>
            <a:ext uri="{FF2B5EF4-FFF2-40B4-BE49-F238E27FC236}">
              <a16:creationId xmlns:a16="http://schemas.microsoft.com/office/drawing/2014/main" id="{60B659A7-469B-4AE2-AC1D-D66BF464D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276225</xdr:colOff>
      <xdr:row>248</xdr:row>
      <xdr:rowOff>180975</xdr:rowOff>
    </xdr:to>
    <xdr:sp macro="" textlink="">
      <xdr:nvSpPr>
        <xdr:cNvPr id="14620" name="AutoShape 284">
          <a:extLst>
            <a:ext uri="{FF2B5EF4-FFF2-40B4-BE49-F238E27FC236}">
              <a16:creationId xmlns:a16="http://schemas.microsoft.com/office/drawing/2014/main" id="{28FBCB6C-BA3A-4FE7-8695-CDE28E86C807}"/>
            </a:ext>
          </a:extLst>
        </xdr:cNvPr>
        <xdr:cNvSpPr>
          <a:spLocks noChangeAspect="1" noChangeArrowheads="1"/>
        </xdr:cNvSpPr>
      </xdr:nvSpPr>
      <xdr:spPr bwMode="auto">
        <a:xfrm>
          <a:off x="0" y="478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266700</xdr:colOff>
      <xdr:row>248</xdr:row>
      <xdr:rowOff>180975</xdr:rowOff>
    </xdr:to>
    <xdr:sp macro="" textlink="">
      <xdr:nvSpPr>
        <xdr:cNvPr id="14621" name="AutoShape 285">
          <a:extLst>
            <a:ext uri="{FF2B5EF4-FFF2-40B4-BE49-F238E27FC236}">
              <a16:creationId xmlns:a16="http://schemas.microsoft.com/office/drawing/2014/main" id="{F52E27AA-5169-412A-83C9-321E8CC117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8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266700</xdr:colOff>
      <xdr:row>249</xdr:row>
      <xdr:rowOff>180975</xdr:rowOff>
    </xdr:to>
    <xdr:sp macro="" textlink="">
      <xdr:nvSpPr>
        <xdr:cNvPr id="14622" name="AutoShape 286">
          <a:extLst>
            <a:ext uri="{FF2B5EF4-FFF2-40B4-BE49-F238E27FC236}">
              <a16:creationId xmlns:a16="http://schemas.microsoft.com/office/drawing/2014/main" id="{22B82043-FE42-4FFA-9F69-CDE1169E0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0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180975</xdr:rowOff>
    </xdr:to>
    <xdr:sp macro="" textlink="">
      <xdr:nvSpPr>
        <xdr:cNvPr id="14623" name="AutoShape 287">
          <a:extLst>
            <a:ext uri="{FF2B5EF4-FFF2-40B4-BE49-F238E27FC236}">
              <a16:creationId xmlns:a16="http://schemas.microsoft.com/office/drawing/2014/main" id="{03C0AE35-99AD-4296-81FF-895D89BBCD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1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266700</xdr:colOff>
      <xdr:row>251</xdr:row>
      <xdr:rowOff>180975</xdr:rowOff>
    </xdr:to>
    <xdr:sp macro="" textlink="">
      <xdr:nvSpPr>
        <xdr:cNvPr id="14624" name="AutoShape 288">
          <a:extLst>
            <a:ext uri="{FF2B5EF4-FFF2-40B4-BE49-F238E27FC236}">
              <a16:creationId xmlns:a16="http://schemas.microsoft.com/office/drawing/2014/main" id="{65B64598-EAF4-4E85-8CB0-B0A793AE4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3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266700</xdr:colOff>
      <xdr:row>252</xdr:row>
      <xdr:rowOff>180975</xdr:rowOff>
    </xdr:to>
    <xdr:sp macro="" textlink="">
      <xdr:nvSpPr>
        <xdr:cNvPr id="14625" name="AutoShape 289">
          <a:extLst>
            <a:ext uri="{FF2B5EF4-FFF2-40B4-BE49-F238E27FC236}">
              <a16:creationId xmlns:a16="http://schemas.microsoft.com/office/drawing/2014/main" id="{8F7FB822-129C-47FE-BD05-889E994DAF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266700</xdr:colOff>
      <xdr:row>253</xdr:row>
      <xdr:rowOff>180975</xdr:rowOff>
    </xdr:to>
    <xdr:sp macro="" textlink="">
      <xdr:nvSpPr>
        <xdr:cNvPr id="14626" name="AutoShape 290">
          <a:extLst>
            <a:ext uri="{FF2B5EF4-FFF2-40B4-BE49-F238E27FC236}">
              <a16:creationId xmlns:a16="http://schemas.microsoft.com/office/drawing/2014/main" id="{3D8285B0-9CF3-4CB3-9DC3-AD53DE9B7F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7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266700</xdr:colOff>
      <xdr:row>254</xdr:row>
      <xdr:rowOff>180975</xdr:rowOff>
    </xdr:to>
    <xdr:sp macro="" textlink="">
      <xdr:nvSpPr>
        <xdr:cNvPr id="14627" name="AutoShape 291">
          <a:extLst>
            <a:ext uri="{FF2B5EF4-FFF2-40B4-BE49-F238E27FC236}">
              <a16:creationId xmlns:a16="http://schemas.microsoft.com/office/drawing/2014/main" id="{2812EB22-703D-4EDD-8584-AA6D0490A3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9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266700</xdr:colOff>
      <xdr:row>255</xdr:row>
      <xdr:rowOff>180975</xdr:rowOff>
    </xdr:to>
    <xdr:sp macro="" textlink="">
      <xdr:nvSpPr>
        <xdr:cNvPr id="14628" name="AutoShape 292">
          <a:extLst>
            <a:ext uri="{FF2B5EF4-FFF2-40B4-BE49-F238E27FC236}">
              <a16:creationId xmlns:a16="http://schemas.microsoft.com/office/drawing/2014/main" id="{EC0C2774-29FE-4C48-AD2E-8DB4896673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1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276225</xdr:colOff>
      <xdr:row>256</xdr:row>
      <xdr:rowOff>180975</xdr:rowOff>
    </xdr:to>
    <xdr:sp macro="" textlink="">
      <xdr:nvSpPr>
        <xdr:cNvPr id="14629" name="AutoShape 293">
          <a:extLst>
            <a:ext uri="{FF2B5EF4-FFF2-40B4-BE49-F238E27FC236}">
              <a16:creationId xmlns:a16="http://schemas.microsoft.com/office/drawing/2014/main" id="{831A841F-6A01-4E4C-90B8-5D9FE7DA89F8}"/>
            </a:ext>
          </a:extLst>
        </xdr:cNvPr>
        <xdr:cNvSpPr>
          <a:spLocks noChangeAspect="1" noChangeArrowheads="1"/>
        </xdr:cNvSpPr>
      </xdr:nvSpPr>
      <xdr:spPr bwMode="auto">
        <a:xfrm>
          <a:off x="0" y="493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266700</xdr:colOff>
      <xdr:row>256</xdr:row>
      <xdr:rowOff>180975</xdr:rowOff>
    </xdr:to>
    <xdr:sp macro="" textlink="">
      <xdr:nvSpPr>
        <xdr:cNvPr id="14630" name="AutoShape 294">
          <a:extLst>
            <a:ext uri="{FF2B5EF4-FFF2-40B4-BE49-F238E27FC236}">
              <a16:creationId xmlns:a16="http://schemas.microsoft.com/office/drawing/2014/main" id="{6EF365C1-0B1B-41C9-9B66-80011A9B7C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266700</xdr:colOff>
      <xdr:row>257</xdr:row>
      <xdr:rowOff>180975</xdr:rowOff>
    </xdr:to>
    <xdr:sp macro="" textlink="">
      <xdr:nvSpPr>
        <xdr:cNvPr id="14631" name="AutoShape 295">
          <a:extLst>
            <a:ext uri="{FF2B5EF4-FFF2-40B4-BE49-F238E27FC236}">
              <a16:creationId xmlns:a16="http://schemas.microsoft.com/office/drawing/2014/main" id="{1AD4DD6B-66B2-4008-84B1-07DC5C3632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266700</xdr:colOff>
      <xdr:row>258</xdr:row>
      <xdr:rowOff>180975</xdr:rowOff>
    </xdr:to>
    <xdr:sp macro="" textlink="">
      <xdr:nvSpPr>
        <xdr:cNvPr id="14632" name="AutoShape 296">
          <a:extLst>
            <a:ext uri="{FF2B5EF4-FFF2-40B4-BE49-F238E27FC236}">
              <a16:creationId xmlns:a16="http://schemas.microsoft.com/office/drawing/2014/main" id="{C64B955E-1D97-432E-A509-E43404C735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266700</xdr:colOff>
      <xdr:row>259</xdr:row>
      <xdr:rowOff>180975</xdr:rowOff>
    </xdr:to>
    <xdr:sp macro="" textlink="">
      <xdr:nvSpPr>
        <xdr:cNvPr id="14633" name="AutoShape 297">
          <a:extLst>
            <a:ext uri="{FF2B5EF4-FFF2-40B4-BE49-F238E27FC236}">
              <a16:creationId xmlns:a16="http://schemas.microsoft.com/office/drawing/2014/main" id="{E9090403-436D-4514-81E3-D736CC1AE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9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266700</xdr:colOff>
      <xdr:row>260</xdr:row>
      <xdr:rowOff>180975</xdr:rowOff>
    </xdr:to>
    <xdr:sp macro="" textlink="">
      <xdr:nvSpPr>
        <xdr:cNvPr id="14634" name="AutoShape 298">
          <a:extLst>
            <a:ext uri="{FF2B5EF4-FFF2-40B4-BE49-F238E27FC236}">
              <a16:creationId xmlns:a16="http://schemas.microsoft.com/office/drawing/2014/main" id="{D13CC926-ECEE-4515-9FA1-1C7B648936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1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266700</xdr:colOff>
      <xdr:row>261</xdr:row>
      <xdr:rowOff>180975</xdr:rowOff>
    </xdr:to>
    <xdr:sp macro="" textlink="">
      <xdr:nvSpPr>
        <xdr:cNvPr id="14635" name="AutoShape 299">
          <a:extLst>
            <a:ext uri="{FF2B5EF4-FFF2-40B4-BE49-F238E27FC236}">
              <a16:creationId xmlns:a16="http://schemas.microsoft.com/office/drawing/2014/main" id="{46C69568-1892-4DF5-924E-271BC8C7A9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266700</xdr:colOff>
      <xdr:row>262</xdr:row>
      <xdr:rowOff>180975</xdr:rowOff>
    </xdr:to>
    <xdr:sp macro="" textlink="">
      <xdr:nvSpPr>
        <xdr:cNvPr id="14636" name="AutoShape 300">
          <a:extLst>
            <a:ext uri="{FF2B5EF4-FFF2-40B4-BE49-F238E27FC236}">
              <a16:creationId xmlns:a16="http://schemas.microsoft.com/office/drawing/2014/main" id="{933467C4-D2CA-4A2D-92B1-FC24CA3B4D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266700</xdr:colOff>
      <xdr:row>263</xdr:row>
      <xdr:rowOff>180975</xdr:rowOff>
    </xdr:to>
    <xdr:sp macro="" textlink="">
      <xdr:nvSpPr>
        <xdr:cNvPr id="14637" name="AutoShape 301">
          <a:extLst>
            <a:ext uri="{FF2B5EF4-FFF2-40B4-BE49-F238E27FC236}">
              <a16:creationId xmlns:a16="http://schemas.microsoft.com/office/drawing/2014/main" id="{F5564DBB-504C-4602-BDAD-641B12670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6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276225</xdr:colOff>
      <xdr:row>264</xdr:row>
      <xdr:rowOff>180975</xdr:rowOff>
    </xdr:to>
    <xdr:sp macro="" textlink="">
      <xdr:nvSpPr>
        <xdr:cNvPr id="14638" name="AutoShape 302">
          <a:extLst>
            <a:ext uri="{FF2B5EF4-FFF2-40B4-BE49-F238E27FC236}">
              <a16:creationId xmlns:a16="http://schemas.microsoft.com/office/drawing/2014/main" id="{AB9760F9-C02D-42BE-9228-55978C02D390}"/>
            </a:ext>
          </a:extLst>
        </xdr:cNvPr>
        <xdr:cNvSpPr>
          <a:spLocks noChangeAspect="1" noChangeArrowheads="1"/>
        </xdr:cNvSpPr>
      </xdr:nvSpPr>
      <xdr:spPr bwMode="auto">
        <a:xfrm>
          <a:off x="0" y="508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266700</xdr:colOff>
      <xdr:row>264</xdr:row>
      <xdr:rowOff>180975</xdr:rowOff>
    </xdr:to>
    <xdr:sp macro="" textlink="">
      <xdr:nvSpPr>
        <xdr:cNvPr id="14639" name="AutoShape 303">
          <a:extLst>
            <a:ext uri="{FF2B5EF4-FFF2-40B4-BE49-F238E27FC236}">
              <a16:creationId xmlns:a16="http://schemas.microsoft.com/office/drawing/2014/main" id="{F6646340-4BD6-43E1-8540-F8C2CF7788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8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266700</xdr:colOff>
      <xdr:row>265</xdr:row>
      <xdr:rowOff>180975</xdr:rowOff>
    </xdr:to>
    <xdr:sp macro="" textlink="">
      <xdr:nvSpPr>
        <xdr:cNvPr id="14640" name="AutoShape 304">
          <a:extLst>
            <a:ext uri="{FF2B5EF4-FFF2-40B4-BE49-F238E27FC236}">
              <a16:creationId xmlns:a16="http://schemas.microsoft.com/office/drawing/2014/main" id="{16A9872E-59F6-4ACC-8725-4442262735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0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266700</xdr:colOff>
      <xdr:row>266</xdr:row>
      <xdr:rowOff>180975</xdr:rowOff>
    </xdr:to>
    <xdr:sp macro="" textlink="">
      <xdr:nvSpPr>
        <xdr:cNvPr id="14641" name="AutoShape 305">
          <a:extLst>
            <a:ext uri="{FF2B5EF4-FFF2-40B4-BE49-F238E27FC236}">
              <a16:creationId xmlns:a16="http://schemas.microsoft.com/office/drawing/2014/main" id="{691BD4E0-97BA-4DF3-89D8-2CFFF53B8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266700</xdr:colOff>
      <xdr:row>267</xdr:row>
      <xdr:rowOff>180975</xdr:rowOff>
    </xdr:to>
    <xdr:sp macro="" textlink="">
      <xdr:nvSpPr>
        <xdr:cNvPr id="14642" name="AutoShape 306">
          <a:extLst>
            <a:ext uri="{FF2B5EF4-FFF2-40B4-BE49-F238E27FC236}">
              <a16:creationId xmlns:a16="http://schemas.microsoft.com/office/drawing/2014/main" id="{FC2C337F-7EB2-4292-A1A7-1E6F7B252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266700</xdr:colOff>
      <xdr:row>268</xdr:row>
      <xdr:rowOff>180975</xdr:rowOff>
    </xdr:to>
    <xdr:sp macro="" textlink="">
      <xdr:nvSpPr>
        <xdr:cNvPr id="14643" name="AutoShape 307">
          <a:extLst>
            <a:ext uri="{FF2B5EF4-FFF2-40B4-BE49-F238E27FC236}">
              <a16:creationId xmlns:a16="http://schemas.microsoft.com/office/drawing/2014/main" id="{57603E15-CA61-4C1A-87DC-716D319588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6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266700</xdr:colOff>
      <xdr:row>269</xdr:row>
      <xdr:rowOff>180975</xdr:rowOff>
    </xdr:to>
    <xdr:sp macro="" textlink="">
      <xdr:nvSpPr>
        <xdr:cNvPr id="14644" name="AutoShape 308">
          <a:extLst>
            <a:ext uri="{FF2B5EF4-FFF2-40B4-BE49-F238E27FC236}">
              <a16:creationId xmlns:a16="http://schemas.microsoft.com/office/drawing/2014/main" id="{036D91F1-A2F5-4561-8C46-DA978109A5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8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266700</xdr:colOff>
      <xdr:row>270</xdr:row>
      <xdr:rowOff>180975</xdr:rowOff>
    </xdr:to>
    <xdr:sp macro="" textlink="">
      <xdr:nvSpPr>
        <xdr:cNvPr id="14645" name="AutoShape 309">
          <a:extLst>
            <a:ext uri="{FF2B5EF4-FFF2-40B4-BE49-F238E27FC236}">
              <a16:creationId xmlns:a16="http://schemas.microsoft.com/office/drawing/2014/main" id="{C53B4BC5-472F-4A33-877C-80E994719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0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276225</xdr:colOff>
      <xdr:row>271</xdr:row>
      <xdr:rowOff>180975</xdr:rowOff>
    </xdr:to>
    <xdr:sp macro="" textlink="">
      <xdr:nvSpPr>
        <xdr:cNvPr id="14646" name="AutoShape 310">
          <a:extLst>
            <a:ext uri="{FF2B5EF4-FFF2-40B4-BE49-F238E27FC236}">
              <a16:creationId xmlns:a16="http://schemas.microsoft.com/office/drawing/2014/main" id="{12E46AF4-85FB-4B0E-B638-2FB3AA0E1E73}"/>
            </a:ext>
          </a:extLst>
        </xdr:cNvPr>
        <xdr:cNvSpPr>
          <a:spLocks noChangeAspect="1" noChangeArrowheads="1"/>
        </xdr:cNvSpPr>
      </xdr:nvSpPr>
      <xdr:spPr bwMode="auto">
        <a:xfrm>
          <a:off x="0" y="5219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266700</xdr:colOff>
      <xdr:row>271</xdr:row>
      <xdr:rowOff>180975</xdr:rowOff>
    </xdr:to>
    <xdr:sp macro="" textlink="">
      <xdr:nvSpPr>
        <xdr:cNvPr id="14647" name="AutoShape 311">
          <a:extLst>
            <a:ext uri="{FF2B5EF4-FFF2-40B4-BE49-F238E27FC236}">
              <a16:creationId xmlns:a16="http://schemas.microsoft.com/office/drawing/2014/main" id="{3B9C71BE-2A70-4B33-B485-F80C019A41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266700</xdr:colOff>
      <xdr:row>272</xdr:row>
      <xdr:rowOff>180975</xdr:rowOff>
    </xdr:to>
    <xdr:sp macro="" textlink="">
      <xdr:nvSpPr>
        <xdr:cNvPr id="14648" name="AutoShape 312">
          <a:extLst>
            <a:ext uri="{FF2B5EF4-FFF2-40B4-BE49-F238E27FC236}">
              <a16:creationId xmlns:a16="http://schemas.microsoft.com/office/drawing/2014/main" id="{09F305CE-58EC-4048-B595-A020194302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3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266700</xdr:colOff>
      <xdr:row>273</xdr:row>
      <xdr:rowOff>180975</xdr:rowOff>
    </xdr:to>
    <xdr:sp macro="" textlink="">
      <xdr:nvSpPr>
        <xdr:cNvPr id="14649" name="AutoShape 313">
          <a:extLst>
            <a:ext uri="{FF2B5EF4-FFF2-40B4-BE49-F238E27FC236}">
              <a16:creationId xmlns:a16="http://schemas.microsoft.com/office/drawing/2014/main" id="{74CAEB8C-890C-418E-8F89-169784AD74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5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266700</xdr:colOff>
      <xdr:row>274</xdr:row>
      <xdr:rowOff>180975</xdr:rowOff>
    </xdr:to>
    <xdr:sp macro="" textlink="">
      <xdr:nvSpPr>
        <xdr:cNvPr id="14650" name="AutoShape 314">
          <a:extLst>
            <a:ext uri="{FF2B5EF4-FFF2-40B4-BE49-F238E27FC236}">
              <a16:creationId xmlns:a16="http://schemas.microsoft.com/office/drawing/2014/main" id="{A700CC66-7C60-4A0D-A5F5-356A2FBE6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7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266700</xdr:colOff>
      <xdr:row>275</xdr:row>
      <xdr:rowOff>180975</xdr:rowOff>
    </xdr:to>
    <xdr:sp macro="" textlink="">
      <xdr:nvSpPr>
        <xdr:cNvPr id="14651" name="AutoShape 315">
          <a:extLst>
            <a:ext uri="{FF2B5EF4-FFF2-40B4-BE49-F238E27FC236}">
              <a16:creationId xmlns:a16="http://schemas.microsoft.com/office/drawing/2014/main" id="{58362623-8996-4ED6-B9AC-469D208A7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9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266700</xdr:colOff>
      <xdr:row>276</xdr:row>
      <xdr:rowOff>180975</xdr:rowOff>
    </xdr:to>
    <xdr:sp macro="" textlink="">
      <xdr:nvSpPr>
        <xdr:cNvPr id="14652" name="AutoShape 316">
          <a:extLst>
            <a:ext uri="{FF2B5EF4-FFF2-40B4-BE49-F238E27FC236}">
              <a16:creationId xmlns:a16="http://schemas.microsoft.com/office/drawing/2014/main" id="{B23226CE-28BD-43E0-A420-BF73ADB7F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1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266700</xdr:colOff>
      <xdr:row>277</xdr:row>
      <xdr:rowOff>180975</xdr:rowOff>
    </xdr:to>
    <xdr:sp macro="" textlink="">
      <xdr:nvSpPr>
        <xdr:cNvPr id="14653" name="AutoShape 317">
          <a:extLst>
            <a:ext uri="{FF2B5EF4-FFF2-40B4-BE49-F238E27FC236}">
              <a16:creationId xmlns:a16="http://schemas.microsoft.com/office/drawing/2014/main" id="{9DB70315-CCF9-4FD5-9077-B36A461CE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276225</xdr:colOff>
      <xdr:row>278</xdr:row>
      <xdr:rowOff>180975</xdr:rowOff>
    </xdr:to>
    <xdr:sp macro="" textlink="">
      <xdr:nvSpPr>
        <xdr:cNvPr id="14654" name="AutoShape 318">
          <a:extLst>
            <a:ext uri="{FF2B5EF4-FFF2-40B4-BE49-F238E27FC236}">
              <a16:creationId xmlns:a16="http://schemas.microsoft.com/office/drawing/2014/main" id="{B9957FE0-4AB1-4B6C-AB4A-EDE480B8F40C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266700</xdr:colOff>
      <xdr:row>278</xdr:row>
      <xdr:rowOff>180975</xdr:rowOff>
    </xdr:to>
    <xdr:sp macro="" textlink="">
      <xdr:nvSpPr>
        <xdr:cNvPr id="14655" name="AutoShape 319">
          <a:extLst>
            <a:ext uri="{FF2B5EF4-FFF2-40B4-BE49-F238E27FC236}">
              <a16:creationId xmlns:a16="http://schemas.microsoft.com/office/drawing/2014/main" id="{5E8B58A3-B2BF-44DF-A39B-3E1C1845E5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5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266700</xdr:colOff>
      <xdr:row>279</xdr:row>
      <xdr:rowOff>180975</xdr:rowOff>
    </xdr:to>
    <xdr:sp macro="" textlink="">
      <xdr:nvSpPr>
        <xdr:cNvPr id="14656" name="AutoShape 320">
          <a:extLst>
            <a:ext uri="{FF2B5EF4-FFF2-40B4-BE49-F238E27FC236}">
              <a16:creationId xmlns:a16="http://schemas.microsoft.com/office/drawing/2014/main" id="{F1FD3685-BDB7-420C-A9BD-257E0474CA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7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266700</xdr:colOff>
      <xdr:row>280</xdr:row>
      <xdr:rowOff>180975</xdr:rowOff>
    </xdr:to>
    <xdr:sp macro="" textlink="">
      <xdr:nvSpPr>
        <xdr:cNvPr id="14657" name="AutoShape 321">
          <a:extLst>
            <a:ext uri="{FF2B5EF4-FFF2-40B4-BE49-F238E27FC236}">
              <a16:creationId xmlns:a16="http://schemas.microsoft.com/office/drawing/2014/main" id="{B944D617-82CC-4D00-A777-4DE8B4449D9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9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266700</xdr:colOff>
      <xdr:row>281</xdr:row>
      <xdr:rowOff>180975</xdr:rowOff>
    </xdr:to>
    <xdr:sp macro="" textlink="">
      <xdr:nvSpPr>
        <xdr:cNvPr id="14658" name="AutoShape 322">
          <a:extLst>
            <a:ext uri="{FF2B5EF4-FFF2-40B4-BE49-F238E27FC236}">
              <a16:creationId xmlns:a16="http://schemas.microsoft.com/office/drawing/2014/main" id="{509A47BE-0AA1-4B34-967F-6F57E652B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266700</xdr:colOff>
      <xdr:row>282</xdr:row>
      <xdr:rowOff>180975</xdr:rowOff>
    </xdr:to>
    <xdr:sp macro="" textlink="">
      <xdr:nvSpPr>
        <xdr:cNvPr id="14659" name="AutoShape 323">
          <a:extLst>
            <a:ext uri="{FF2B5EF4-FFF2-40B4-BE49-F238E27FC236}">
              <a16:creationId xmlns:a16="http://schemas.microsoft.com/office/drawing/2014/main" id="{D032DC7B-1EFC-470C-84C5-33B8C6752E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2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276225</xdr:colOff>
      <xdr:row>283</xdr:row>
      <xdr:rowOff>180975</xdr:rowOff>
    </xdr:to>
    <xdr:sp macro="" textlink="">
      <xdr:nvSpPr>
        <xdr:cNvPr id="14660" name="AutoShape 324">
          <a:extLst>
            <a:ext uri="{FF2B5EF4-FFF2-40B4-BE49-F238E27FC236}">
              <a16:creationId xmlns:a16="http://schemas.microsoft.com/office/drawing/2014/main" id="{967D2C07-1EB9-4D21-8A16-20C4B13734D8}"/>
            </a:ext>
          </a:extLst>
        </xdr:cNvPr>
        <xdr:cNvSpPr>
          <a:spLocks noChangeAspect="1" noChangeArrowheads="1"/>
        </xdr:cNvSpPr>
      </xdr:nvSpPr>
      <xdr:spPr bwMode="auto">
        <a:xfrm>
          <a:off x="0" y="5448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266700</xdr:colOff>
      <xdr:row>283</xdr:row>
      <xdr:rowOff>180975</xdr:rowOff>
    </xdr:to>
    <xdr:sp macro="" textlink="">
      <xdr:nvSpPr>
        <xdr:cNvPr id="14661" name="AutoShape 325">
          <a:extLst>
            <a:ext uri="{FF2B5EF4-FFF2-40B4-BE49-F238E27FC236}">
              <a16:creationId xmlns:a16="http://schemas.microsoft.com/office/drawing/2014/main" id="{5C1C2FB3-FD9A-4894-9704-AFCA296D3D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4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266700</xdr:colOff>
      <xdr:row>284</xdr:row>
      <xdr:rowOff>180975</xdr:rowOff>
    </xdr:to>
    <xdr:sp macro="" textlink="">
      <xdr:nvSpPr>
        <xdr:cNvPr id="14662" name="AutoShape 326">
          <a:extLst>
            <a:ext uri="{FF2B5EF4-FFF2-40B4-BE49-F238E27FC236}">
              <a16:creationId xmlns:a16="http://schemas.microsoft.com/office/drawing/2014/main" id="{4D2773FA-4703-45B5-93BA-64240BD2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6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266700</xdr:colOff>
      <xdr:row>285</xdr:row>
      <xdr:rowOff>180975</xdr:rowOff>
    </xdr:to>
    <xdr:sp macro="" textlink="">
      <xdr:nvSpPr>
        <xdr:cNvPr id="14663" name="AutoShape 327">
          <a:extLst>
            <a:ext uri="{FF2B5EF4-FFF2-40B4-BE49-F238E27FC236}">
              <a16:creationId xmlns:a16="http://schemas.microsoft.com/office/drawing/2014/main" id="{9F6B5A7C-6B17-45E7-86D5-BD6D116CF2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266700</xdr:colOff>
      <xdr:row>286</xdr:row>
      <xdr:rowOff>180975</xdr:rowOff>
    </xdr:to>
    <xdr:sp macro="" textlink="">
      <xdr:nvSpPr>
        <xdr:cNvPr id="14664" name="AutoShape 328">
          <a:extLst>
            <a:ext uri="{FF2B5EF4-FFF2-40B4-BE49-F238E27FC236}">
              <a16:creationId xmlns:a16="http://schemas.microsoft.com/office/drawing/2014/main" id="{2293EB86-E754-4B32-93AF-F28AEB129E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0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266700</xdr:colOff>
      <xdr:row>287</xdr:row>
      <xdr:rowOff>180975</xdr:rowOff>
    </xdr:to>
    <xdr:sp macro="" textlink="">
      <xdr:nvSpPr>
        <xdr:cNvPr id="14665" name="AutoShape 329">
          <a:extLst>
            <a:ext uri="{FF2B5EF4-FFF2-40B4-BE49-F238E27FC236}">
              <a16:creationId xmlns:a16="http://schemas.microsoft.com/office/drawing/2014/main" id="{E9C13AC0-ECCE-4E25-8537-160CC1A03A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276225</xdr:colOff>
      <xdr:row>288</xdr:row>
      <xdr:rowOff>180975</xdr:rowOff>
    </xdr:to>
    <xdr:sp macro="" textlink="">
      <xdr:nvSpPr>
        <xdr:cNvPr id="14666" name="AutoShape 330">
          <a:extLst>
            <a:ext uri="{FF2B5EF4-FFF2-40B4-BE49-F238E27FC236}">
              <a16:creationId xmlns:a16="http://schemas.microsoft.com/office/drawing/2014/main" id="{C7279EDC-87FD-4604-89A2-D5389DC29602}"/>
            </a:ext>
          </a:extLst>
        </xdr:cNvPr>
        <xdr:cNvSpPr>
          <a:spLocks noChangeAspect="1" noChangeArrowheads="1"/>
        </xdr:cNvSpPr>
      </xdr:nvSpPr>
      <xdr:spPr bwMode="auto">
        <a:xfrm>
          <a:off x="0" y="5543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266700</xdr:colOff>
      <xdr:row>288</xdr:row>
      <xdr:rowOff>180975</xdr:rowOff>
    </xdr:to>
    <xdr:sp macro="" textlink="">
      <xdr:nvSpPr>
        <xdr:cNvPr id="14667" name="AutoShape 331">
          <a:extLst>
            <a:ext uri="{FF2B5EF4-FFF2-40B4-BE49-F238E27FC236}">
              <a16:creationId xmlns:a16="http://schemas.microsoft.com/office/drawing/2014/main" id="{D1DDC3BF-F40E-450A-BB53-814A73309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4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266700</xdr:colOff>
      <xdr:row>289</xdr:row>
      <xdr:rowOff>180975</xdr:rowOff>
    </xdr:to>
    <xdr:sp macro="" textlink="">
      <xdr:nvSpPr>
        <xdr:cNvPr id="14668" name="AutoShape 332">
          <a:extLst>
            <a:ext uri="{FF2B5EF4-FFF2-40B4-BE49-F238E27FC236}">
              <a16:creationId xmlns:a16="http://schemas.microsoft.com/office/drawing/2014/main" id="{1D8164BE-2F64-4DC7-9EC3-A1CA9660EB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6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266700</xdr:colOff>
      <xdr:row>290</xdr:row>
      <xdr:rowOff>180975</xdr:rowOff>
    </xdr:to>
    <xdr:sp macro="" textlink="">
      <xdr:nvSpPr>
        <xdr:cNvPr id="14669" name="AutoShape 333">
          <a:extLst>
            <a:ext uri="{FF2B5EF4-FFF2-40B4-BE49-F238E27FC236}">
              <a16:creationId xmlns:a16="http://schemas.microsoft.com/office/drawing/2014/main" id="{5C5AD25C-4EBA-4FD5-882C-53A52E730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276225</xdr:colOff>
      <xdr:row>291</xdr:row>
      <xdr:rowOff>180975</xdr:rowOff>
    </xdr:to>
    <xdr:sp macro="" textlink="">
      <xdr:nvSpPr>
        <xdr:cNvPr id="14670" name="AutoShape 334">
          <a:extLst>
            <a:ext uri="{FF2B5EF4-FFF2-40B4-BE49-F238E27FC236}">
              <a16:creationId xmlns:a16="http://schemas.microsoft.com/office/drawing/2014/main" id="{7B989657-A51F-4897-AEF9-DE331FA9CB6E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266700</xdr:colOff>
      <xdr:row>291</xdr:row>
      <xdr:rowOff>180975</xdr:rowOff>
    </xdr:to>
    <xdr:sp macro="" textlink="">
      <xdr:nvSpPr>
        <xdr:cNvPr id="14671" name="AutoShape 335">
          <a:extLst>
            <a:ext uri="{FF2B5EF4-FFF2-40B4-BE49-F238E27FC236}">
              <a16:creationId xmlns:a16="http://schemas.microsoft.com/office/drawing/2014/main" id="{96EE0C2F-120F-4267-BA38-5248D7CD5C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266700</xdr:colOff>
      <xdr:row>292</xdr:row>
      <xdr:rowOff>180975</xdr:rowOff>
    </xdr:to>
    <xdr:sp macro="" textlink="">
      <xdr:nvSpPr>
        <xdr:cNvPr id="14672" name="AutoShape 336">
          <a:extLst>
            <a:ext uri="{FF2B5EF4-FFF2-40B4-BE49-F238E27FC236}">
              <a16:creationId xmlns:a16="http://schemas.microsoft.com/office/drawing/2014/main" id="{1B540457-9D8C-4EC9-862C-684F8E4CF0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1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266700</xdr:colOff>
      <xdr:row>293</xdr:row>
      <xdr:rowOff>180975</xdr:rowOff>
    </xdr:to>
    <xdr:sp macro="" textlink="">
      <xdr:nvSpPr>
        <xdr:cNvPr id="14673" name="AutoShape 337">
          <a:extLst>
            <a:ext uri="{FF2B5EF4-FFF2-40B4-BE49-F238E27FC236}">
              <a16:creationId xmlns:a16="http://schemas.microsoft.com/office/drawing/2014/main" id="{F0DF51FF-DA74-456D-9E6F-016A13D2B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3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276225</xdr:colOff>
      <xdr:row>294</xdr:row>
      <xdr:rowOff>180975</xdr:rowOff>
    </xdr:to>
    <xdr:sp macro="" textlink="">
      <xdr:nvSpPr>
        <xdr:cNvPr id="14674" name="AutoShape 338">
          <a:extLst>
            <a:ext uri="{FF2B5EF4-FFF2-40B4-BE49-F238E27FC236}">
              <a16:creationId xmlns:a16="http://schemas.microsoft.com/office/drawing/2014/main" id="{E3F3B323-775F-4FDE-9212-FE7AC6628796}"/>
            </a:ext>
          </a:extLst>
        </xdr:cNvPr>
        <xdr:cNvSpPr>
          <a:spLocks noChangeAspect="1" noChangeArrowheads="1"/>
        </xdr:cNvSpPr>
      </xdr:nvSpPr>
      <xdr:spPr bwMode="auto">
        <a:xfrm>
          <a:off x="0" y="565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266700</xdr:colOff>
      <xdr:row>294</xdr:row>
      <xdr:rowOff>180975</xdr:rowOff>
    </xdr:to>
    <xdr:sp macro="" textlink="">
      <xdr:nvSpPr>
        <xdr:cNvPr id="14675" name="AutoShape 339">
          <a:extLst>
            <a:ext uri="{FF2B5EF4-FFF2-40B4-BE49-F238E27FC236}">
              <a16:creationId xmlns:a16="http://schemas.microsoft.com/office/drawing/2014/main" id="{796CC76A-0FC5-490A-A653-E6E3CD400F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5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266700</xdr:colOff>
      <xdr:row>295</xdr:row>
      <xdr:rowOff>180975</xdr:rowOff>
    </xdr:to>
    <xdr:sp macro="" textlink="">
      <xdr:nvSpPr>
        <xdr:cNvPr id="14676" name="AutoShape 340">
          <a:extLst>
            <a:ext uri="{FF2B5EF4-FFF2-40B4-BE49-F238E27FC236}">
              <a16:creationId xmlns:a16="http://schemas.microsoft.com/office/drawing/2014/main" id="{D8F9D760-2218-423A-B2B1-567D0208D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7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266700</xdr:colOff>
      <xdr:row>296</xdr:row>
      <xdr:rowOff>180975</xdr:rowOff>
    </xdr:to>
    <xdr:sp macro="" textlink="">
      <xdr:nvSpPr>
        <xdr:cNvPr id="14677" name="AutoShape 341">
          <a:extLst>
            <a:ext uri="{FF2B5EF4-FFF2-40B4-BE49-F238E27FC236}">
              <a16:creationId xmlns:a16="http://schemas.microsoft.com/office/drawing/2014/main" id="{46568C60-4D12-4586-AA45-F58627CB8B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9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276225</xdr:colOff>
      <xdr:row>297</xdr:row>
      <xdr:rowOff>180975</xdr:rowOff>
    </xdr:to>
    <xdr:sp macro="" textlink="">
      <xdr:nvSpPr>
        <xdr:cNvPr id="14678" name="AutoShape 342">
          <a:extLst>
            <a:ext uri="{FF2B5EF4-FFF2-40B4-BE49-F238E27FC236}">
              <a16:creationId xmlns:a16="http://schemas.microsoft.com/office/drawing/2014/main" id="{2FBA150B-A6CB-4FF5-B311-013F8775D752}"/>
            </a:ext>
          </a:extLst>
        </xdr:cNvPr>
        <xdr:cNvSpPr>
          <a:spLocks noChangeAspect="1" noChangeArrowheads="1"/>
        </xdr:cNvSpPr>
      </xdr:nvSpPr>
      <xdr:spPr bwMode="auto">
        <a:xfrm>
          <a:off x="0" y="571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266700</xdr:colOff>
      <xdr:row>297</xdr:row>
      <xdr:rowOff>180975</xdr:rowOff>
    </xdr:to>
    <xdr:sp macro="" textlink="">
      <xdr:nvSpPr>
        <xdr:cNvPr id="14679" name="AutoShape 343">
          <a:extLst>
            <a:ext uri="{FF2B5EF4-FFF2-40B4-BE49-F238E27FC236}">
              <a16:creationId xmlns:a16="http://schemas.microsoft.com/office/drawing/2014/main" id="{3690DC2E-26A9-4C2D-937C-2482AD3C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266700</xdr:colOff>
      <xdr:row>298</xdr:row>
      <xdr:rowOff>180975</xdr:rowOff>
    </xdr:to>
    <xdr:sp macro="" textlink="">
      <xdr:nvSpPr>
        <xdr:cNvPr id="14680" name="AutoShape 344">
          <a:extLst>
            <a:ext uri="{FF2B5EF4-FFF2-40B4-BE49-F238E27FC236}">
              <a16:creationId xmlns:a16="http://schemas.microsoft.com/office/drawing/2014/main" id="{CE3BB388-E359-48BC-8C6A-22C7EFB3C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3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266700</xdr:colOff>
      <xdr:row>299</xdr:row>
      <xdr:rowOff>180975</xdr:rowOff>
    </xdr:to>
    <xdr:sp macro="" textlink="">
      <xdr:nvSpPr>
        <xdr:cNvPr id="14681" name="AutoShape 345">
          <a:extLst>
            <a:ext uri="{FF2B5EF4-FFF2-40B4-BE49-F238E27FC236}">
              <a16:creationId xmlns:a16="http://schemas.microsoft.com/office/drawing/2014/main" id="{F87E502D-FD6A-40CB-B967-405F5A0242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5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276225</xdr:colOff>
      <xdr:row>300</xdr:row>
      <xdr:rowOff>180975</xdr:rowOff>
    </xdr:to>
    <xdr:sp macro="" textlink="">
      <xdr:nvSpPr>
        <xdr:cNvPr id="14682" name="AutoShape 346">
          <a:extLst>
            <a:ext uri="{FF2B5EF4-FFF2-40B4-BE49-F238E27FC236}">
              <a16:creationId xmlns:a16="http://schemas.microsoft.com/office/drawing/2014/main" id="{1E1F95B2-65E1-4AA9-82E4-A99421C300B8}"/>
            </a:ext>
          </a:extLst>
        </xdr:cNvPr>
        <xdr:cNvSpPr>
          <a:spLocks noChangeAspect="1" noChangeArrowheads="1"/>
        </xdr:cNvSpPr>
      </xdr:nvSpPr>
      <xdr:spPr bwMode="auto">
        <a:xfrm>
          <a:off x="0" y="577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266700</xdr:colOff>
      <xdr:row>300</xdr:row>
      <xdr:rowOff>180975</xdr:rowOff>
    </xdr:to>
    <xdr:sp macro="" textlink="">
      <xdr:nvSpPr>
        <xdr:cNvPr id="14683" name="AutoShape 347">
          <a:extLst>
            <a:ext uri="{FF2B5EF4-FFF2-40B4-BE49-F238E27FC236}">
              <a16:creationId xmlns:a16="http://schemas.microsoft.com/office/drawing/2014/main" id="{3ADC16AC-F5C7-4D7C-B649-6069BDF81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266700</xdr:colOff>
      <xdr:row>301</xdr:row>
      <xdr:rowOff>180975</xdr:rowOff>
    </xdr:to>
    <xdr:sp macro="" textlink="">
      <xdr:nvSpPr>
        <xdr:cNvPr id="14684" name="AutoShape 348">
          <a:extLst>
            <a:ext uri="{FF2B5EF4-FFF2-40B4-BE49-F238E27FC236}">
              <a16:creationId xmlns:a16="http://schemas.microsoft.com/office/drawing/2014/main" id="{8A630857-A703-4B58-AF91-65F21E9D8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9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266700</xdr:colOff>
      <xdr:row>302</xdr:row>
      <xdr:rowOff>180975</xdr:rowOff>
    </xdr:to>
    <xdr:sp macro="" textlink="">
      <xdr:nvSpPr>
        <xdr:cNvPr id="14685" name="AutoShape 349">
          <a:extLst>
            <a:ext uri="{FF2B5EF4-FFF2-40B4-BE49-F238E27FC236}">
              <a16:creationId xmlns:a16="http://schemas.microsoft.com/office/drawing/2014/main" id="{8BE34E8B-C002-447F-A127-FA0D4BB46C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1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276225</xdr:colOff>
      <xdr:row>303</xdr:row>
      <xdr:rowOff>180975</xdr:rowOff>
    </xdr:to>
    <xdr:sp macro="" textlink="">
      <xdr:nvSpPr>
        <xdr:cNvPr id="14686" name="AutoShape 350">
          <a:extLst>
            <a:ext uri="{FF2B5EF4-FFF2-40B4-BE49-F238E27FC236}">
              <a16:creationId xmlns:a16="http://schemas.microsoft.com/office/drawing/2014/main" id="{64693567-FB16-47C2-9518-32D0A2465895}"/>
            </a:ext>
          </a:extLst>
        </xdr:cNvPr>
        <xdr:cNvSpPr>
          <a:spLocks noChangeAspect="1" noChangeArrowheads="1"/>
        </xdr:cNvSpPr>
      </xdr:nvSpPr>
      <xdr:spPr bwMode="auto">
        <a:xfrm>
          <a:off x="0" y="582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266700</xdr:colOff>
      <xdr:row>303</xdr:row>
      <xdr:rowOff>180975</xdr:rowOff>
    </xdr:to>
    <xdr:sp macro="" textlink="">
      <xdr:nvSpPr>
        <xdr:cNvPr id="14687" name="AutoShape 351">
          <a:extLst>
            <a:ext uri="{FF2B5EF4-FFF2-40B4-BE49-F238E27FC236}">
              <a16:creationId xmlns:a16="http://schemas.microsoft.com/office/drawing/2014/main" id="{69C1D8FD-5F28-46F0-A169-79A57AD931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2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266700</xdr:colOff>
      <xdr:row>304</xdr:row>
      <xdr:rowOff>180975</xdr:rowOff>
    </xdr:to>
    <xdr:sp macro="" textlink="">
      <xdr:nvSpPr>
        <xdr:cNvPr id="14688" name="AutoShape 352">
          <a:extLst>
            <a:ext uri="{FF2B5EF4-FFF2-40B4-BE49-F238E27FC236}">
              <a16:creationId xmlns:a16="http://schemas.microsoft.com/office/drawing/2014/main" id="{F84C4FB1-C167-402F-8157-628A7EB33A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4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276225</xdr:colOff>
      <xdr:row>305</xdr:row>
      <xdr:rowOff>180975</xdr:rowOff>
    </xdr:to>
    <xdr:sp macro="" textlink="">
      <xdr:nvSpPr>
        <xdr:cNvPr id="14689" name="AutoShape 353">
          <a:extLst>
            <a:ext uri="{FF2B5EF4-FFF2-40B4-BE49-F238E27FC236}">
              <a16:creationId xmlns:a16="http://schemas.microsoft.com/office/drawing/2014/main" id="{90495CA1-F808-4DA3-8EFB-4F6E9A845D82}"/>
            </a:ext>
          </a:extLst>
        </xdr:cNvPr>
        <xdr:cNvSpPr>
          <a:spLocks noChangeAspect="1" noChangeArrowheads="1"/>
        </xdr:cNvSpPr>
      </xdr:nvSpPr>
      <xdr:spPr bwMode="auto">
        <a:xfrm>
          <a:off x="0" y="586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266700</xdr:colOff>
      <xdr:row>305</xdr:row>
      <xdr:rowOff>180975</xdr:rowOff>
    </xdr:to>
    <xdr:sp macro="" textlink="">
      <xdr:nvSpPr>
        <xdr:cNvPr id="14690" name="AutoShape 354">
          <a:extLst>
            <a:ext uri="{FF2B5EF4-FFF2-40B4-BE49-F238E27FC236}">
              <a16:creationId xmlns:a16="http://schemas.microsoft.com/office/drawing/2014/main" id="{322E7B45-79C1-46E5-8D9C-46F9EFD8B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6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266700</xdr:colOff>
      <xdr:row>306</xdr:row>
      <xdr:rowOff>180975</xdr:rowOff>
    </xdr:to>
    <xdr:sp macro="" textlink="">
      <xdr:nvSpPr>
        <xdr:cNvPr id="14691" name="AutoShape 355">
          <a:extLst>
            <a:ext uri="{FF2B5EF4-FFF2-40B4-BE49-F238E27FC236}">
              <a16:creationId xmlns:a16="http://schemas.microsoft.com/office/drawing/2014/main" id="{D95A2409-BA8B-4452-9B05-6C196FE91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8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276225</xdr:colOff>
      <xdr:row>307</xdr:row>
      <xdr:rowOff>180975</xdr:rowOff>
    </xdr:to>
    <xdr:sp macro="" textlink="">
      <xdr:nvSpPr>
        <xdr:cNvPr id="14692" name="AutoShape 356">
          <a:extLst>
            <a:ext uri="{FF2B5EF4-FFF2-40B4-BE49-F238E27FC236}">
              <a16:creationId xmlns:a16="http://schemas.microsoft.com/office/drawing/2014/main" id="{515B3655-B772-475C-8485-F040F4DA4F4B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266700</xdr:colOff>
      <xdr:row>307</xdr:row>
      <xdr:rowOff>180975</xdr:rowOff>
    </xdr:to>
    <xdr:sp macro="" textlink="">
      <xdr:nvSpPr>
        <xdr:cNvPr id="14693" name="AutoShape 357">
          <a:extLst>
            <a:ext uri="{FF2B5EF4-FFF2-40B4-BE49-F238E27FC236}">
              <a16:creationId xmlns:a16="http://schemas.microsoft.com/office/drawing/2014/main" id="{890F6C6C-59B7-4FAA-AA91-4692BC68CE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266700</xdr:colOff>
      <xdr:row>308</xdr:row>
      <xdr:rowOff>180975</xdr:rowOff>
    </xdr:to>
    <xdr:sp macro="" textlink="">
      <xdr:nvSpPr>
        <xdr:cNvPr id="14694" name="AutoShape 358">
          <a:extLst>
            <a:ext uri="{FF2B5EF4-FFF2-40B4-BE49-F238E27FC236}">
              <a16:creationId xmlns:a16="http://schemas.microsoft.com/office/drawing/2014/main" id="{ACDC6992-9623-4F39-B6EC-8B536CD68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2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276225</xdr:colOff>
      <xdr:row>309</xdr:row>
      <xdr:rowOff>180975</xdr:rowOff>
    </xdr:to>
    <xdr:sp macro="" textlink="">
      <xdr:nvSpPr>
        <xdr:cNvPr id="14695" name="AutoShape 359">
          <a:extLst>
            <a:ext uri="{FF2B5EF4-FFF2-40B4-BE49-F238E27FC236}">
              <a16:creationId xmlns:a16="http://schemas.microsoft.com/office/drawing/2014/main" id="{C52D6F33-FCDA-4DD3-A3A5-BF284799177C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266700</xdr:colOff>
      <xdr:row>309</xdr:row>
      <xdr:rowOff>180975</xdr:rowOff>
    </xdr:to>
    <xdr:sp macro="" textlink="">
      <xdr:nvSpPr>
        <xdr:cNvPr id="14696" name="AutoShape 360">
          <a:extLst>
            <a:ext uri="{FF2B5EF4-FFF2-40B4-BE49-F238E27FC236}">
              <a16:creationId xmlns:a16="http://schemas.microsoft.com/office/drawing/2014/main" id="{B74F4E7A-D252-45C8-936E-03A03EF35F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4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276225</xdr:colOff>
      <xdr:row>310</xdr:row>
      <xdr:rowOff>180975</xdr:rowOff>
    </xdr:to>
    <xdr:sp macro="" textlink="">
      <xdr:nvSpPr>
        <xdr:cNvPr id="14697" name="AutoShape 361">
          <a:extLst>
            <a:ext uri="{FF2B5EF4-FFF2-40B4-BE49-F238E27FC236}">
              <a16:creationId xmlns:a16="http://schemas.microsoft.com/office/drawing/2014/main" id="{9D6436D1-E927-45BC-B91D-BE446AFAA649}"/>
            </a:ext>
          </a:extLst>
        </xdr:cNvPr>
        <xdr:cNvSpPr>
          <a:spLocks noChangeAspect="1" noChangeArrowheads="1"/>
        </xdr:cNvSpPr>
      </xdr:nvSpPr>
      <xdr:spPr bwMode="auto">
        <a:xfrm>
          <a:off x="0" y="596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266700</xdr:colOff>
      <xdr:row>310</xdr:row>
      <xdr:rowOff>180975</xdr:rowOff>
    </xdr:to>
    <xdr:sp macro="" textlink="">
      <xdr:nvSpPr>
        <xdr:cNvPr id="14698" name="AutoShape 362">
          <a:extLst>
            <a:ext uri="{FF2B5EF4-FFF2-40B4-BE49-F238E27FC236}">
              <a16:creationId xmlns:a16="http://schemas.microsoft.com/office/drawing/2014/main" id="{48867FC8-F466-41E8-8C7D-80C884BF8C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436B8B9-3004-4F10-99EE-C8197A6BE4B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152400</xdr:colOff>
      <xdr:row>0</xdr:row>
      <xdr:rowOff>219075</xdr:rowOff>
    </xdr:to>
    <xdr:sp macro="" textlink="">
      <xdr:nvSpPr>
        <xdr:cNvPr id="365" name="AutoShape 6">
          <a:extLst>
            <a:ext uri="{FF2B5EF4-FFF2-40B4-BE49-F238E27FC236}">
              <a16:creationId xmlns:a16="http://schemas.microsoft.com/office/drawing/2014/main" id="{BA066651-5107-4BFB-B966-16423BD19062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B0476CF6-54CC-4E43-A28C-9B6ED62B6F7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367" name="AutoShape 8">
          <a:extLst>
            <a:ext uri="{FF2B5EF4-FFF2-40B4-BE49-F238E27FC236}">
              <a16:creationId xmlns:a16="http://schemas.microsoft.com/office/drawing/2014/main" id="{4CD4F83F-F9A2-4635-845B-733778CDA3E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368" name="AutoShape 9">
          <a:extLst>
            <a:ext uri="{FF2B5EF4-FFF2-40B4-BE49-F238E27FC236}">
              <a16:creationId xmlns:a16="http://schemas.microsoft.com/office/drawing/2014/main" id="{66DFE36E-50FE-4398-8000-E3B42766BAF4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369" name="AutoShape 10">
          <a:extLst>
            <a:ext uri="{FF2B5EF4-FFF2-40B4-BE49-F238E27FC236}">
              <a16:creationId xmlns:a16="http://schemas.microsoft.com/office/drawing/2014/main" id="{261A051A-4284-438A-AC37-A35CD7FA1E7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228600</xdr:colOff>
      <xdr:row>0</xdr:row>
      <xdr:rowOff>219075</xdr:rowOff>
    </xdr:to>
    <xdr:sp macro="" textlink="">
      <xdr:nvSpPr>
        <xdr:cNvPr id="370" name="AutoShape 5">
          <a:extLst>
            <a:ext uri="{FF2B5EF4-FFF2-40B4-BE49-F238E27FC236}">
              <a16:creationId xmlns:a16="http://schemas.microsoft.com/office/drawing/2014/main" id="{CE5825D8-CCD1-4E17-9735-6A5AFEAC6101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219075</xdr:rowOff>
    </xdr:to>
    <xdr:sp macro="" textlink="">
      <xdr:nvSpPr>
        <xdr:cNvPr id="371" name="AutoShape 6">
          <a:extLst>
            <a:ext uri="{FF2B5EF4-FFF2-40B4-BE49-F238E27FC236}">
              <a16:creationId xmlns:a16="http://schemas.microsoft.com/office/drawing/2014/main" id="{89BD1601-68EF-40DC-BB4D-979200D134E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123825</xdr:colOff>
      <xdr:row>0</xdr:row>
      <xdr:rowOff>180975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DCD282F8-34DD-4234-A5E2-B5BD889B840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161925</xdr:rowOff>
    </xdr:to>
    <xdr:sp macro="" textlink="">
      <xdr:nvSpPr>
        <xdr:cNvPr id="373" name="AutoShape 8">
          <a:extLst>
            <a:ext uri="{FF2B5EF4-FFF2-40B4-BE49-F238E27FC236}">
              <a16:creationId xmlns:a16="http://schemas.microsoft.com/office/drawing/2014/main" id="{7BD2DCE7-6126-4D0F-9EFB-4A2007CEA0E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219075</xdr:colOff>
      <xdr:row>0</xdr:row>
      <xdr:rowOff>219075</xdr:rowOff>
    </xdr:to>
    <xdr:sp macro="" textlink="">
      <xdr:nvSpPr>
        <xdr:cNvPr id="374" name="AutoShape 9">
          <a:extLst>
            <a:ext uri="{FF2B5EF4-FFF2-40B4-BE49-F238E27FC236}">
              <a16:creationId xmlns:a16="http://schemas.microsoft.com/office/drawing/2014/main" id="{CA1430F6-F397-406F-A470-4B794005C9B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CADABFA1-F2CF-4242-A458-7E5C837A4FA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563FE29E-2075-451B-A3EF-6CD211451C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78ED2514-0814-433C-B492-DD115437F6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3D01BB53-942F-4E73-8142-1A59064F4D2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228600</xdr:colOff>
      <xdr:row>0</xdr:row>
      <xdr:rowOff>219075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47B8459-78BA-4C10-BE6A-4F425DBF7ED3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190500</xdr:colOff>
      <xdr:row>0</xdr:row>
      <xdr:rowOff>219075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84E8DC4-AE20-4C4A-87DE-D74BE5DAFC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7114423B-5609-4C5D-A81D-B95D0142698F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152400</xdr:colOff>
      <xdr:row>0</xdr:row>
      <xdr:rowOff>219075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CC4A4A40-1098-4330-81BE-DEB42229C1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114300</xdr:colOff>
      <xdr:row>0</xdr:row>
      <xdr:rowOff>142875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B1D0EB66-69ED-46C2-815C-1DA13B3BD83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E96B836E-7BA4-459D-AB61-F7DBB7AB1194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6B371E17-CC75-439C-9277-224D39B795E5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CF5790D5-D6B1-4F1E-8581-E7F80D3F10F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485A55FC-3709-497E-8DEE-E18FB569F738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28F2AB38-FE10-4517-A537-2913ACB2D30F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C000AB3B-D158-428F-B302-03FFAFF6958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2B5956A6-233D-4D3B-84C5-DCBDD218E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4B14F6CA-A62B-406C-97F8-108EC44E90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1EA7E321-3BB7-4CAC-BDB2-99E26942D9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EAAB09E7-C2BB-4259-9C02-EFA95ECDC9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508DEB1F-2EF0-4FEE-A506-52399A2A22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8FBF052E-0A0C-40F9-A74E-A6CDF39627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CE573826-72AD-404F-ADD8-4296B845FE5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7BF43283-DFD9-4519-8251-F5EE4E4CC6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6F792CFD-D4DF-43A4-8B25-2719A71379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A3896311-CA3F-4743-88C6-2FE9FA8A1E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2671F39A-4313-4503-BF58-A931E08B0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B5EAA9A0-46E7-4AC9-A1CE-970B9E0A3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14072C9F-073A-4FB2-8E05-AA9B7E6776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F764658C-EB71-4AAA-AA76-493CD028477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04FA0D3D-E839-4A3B-AB9C-B50CD88B8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12BF5B10-72F5-467D-9229-951C31DC18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AE74C9B3-32B0-4917-9AEF-43EE15C15D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A6AFB118-C566-46FD-B76B-6E373A6827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6197EC14-B4FF-4C87-BABA-0F4D1D85F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8C63CE5C-6A75-4A3A-9637-F590288B36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0F7A97FB-B3E6-4CCE-8A40-311C516249E4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36C5473C-3707-4A2B-9FC5-B60188DCD5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BCD0C912-3E95-4B7E-8C3D-4769F6FBE4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F583116D-B0DA-4720-853B-3B450D04B1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629139A3-EA2B-4775-8295-9093744A44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A2FE2288-EBC3-4055-91AE-8B1595CF73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A5983D39-5650-4EF1-BEBB-7F1E15F33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304F0779-8B55-4E8A-B2E2-377552AC045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31A6BF5D-332C-4050-9A52-0E1E79DEB8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297B12B-9FE8-4C37-8610-C3C1563D4D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2CA0047F-9ED8-4498-B268-2670806E9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B25955E6-FC9E-41CF-8DFD-8A9BAA363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A792D354-B7E4-4621-BD6C-85FD5A341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2D557DC5-4E80-449E-8581-6781CA33F5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BF93A389-6822-4944-9429-9C5DE30F6B1C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258C5B27-9FA1-420A-9823-D43EA3E904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70F8BE5C-C92D-43F1-891E-D6CC86247F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C74518D7-11A9-4127-884E-C07759DA5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75CCE361-424D-4189-ACCF-C041289233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3AD4491B-46C2-40D6-90B7-471D0B0565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EBCDC8B5-1D67-46EA-8701-1EEB2A6E64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FA26127E-A853-420F-8D4E-F00C77C1DB66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DF80F664-59BF-4C7B-A4C8-61D74CB288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E13D21B7-2CDD-4316-8DBB-5C3EB2AB2E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A178B328-1DCB-43F7-A1FC-94CC2A5D8F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FA619E84-9DE4-407E-A4E6-FE6DA2259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6C1B1EDA-58D9-4456-9D1B-AFF5A64667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99DCD008-FCAD-43C7-8348-F06496331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AC8D5BEA-9556-4C0D-B55C-B7F88125261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0312BBD3-28CD-413B-864E-248E36E938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7792AC2F-3EF2-4FB6-944D-DE6F5CC45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345C93C8-8DDE-4EC0-ADC2-D68B57ED66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0055205E-B582-4B40-9D9E-75ADBD374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C3D2DBCE-FBD3-409A-BC3B-60FB45B0C0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7ED7DE42-48A9-476C-8367-6F19C9425F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050F0618-EC43-4F78-9659-54E8A66C55B1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93328515-BE5D-4ED9-8C12-72512EA329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3A0A415B-641D-4F67-B8A6-CC0AF8EF2F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6547F5A7-1E1B-48DD-A43A-14B27C95CE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7750F169-9DA7-43FD-8C8C-B0BA2BAC7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01536E65-B13D-4C2C-8AD0-4C0031E897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7DA7D0C4-B09F-4FA8-9268-839DAB3281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9F948FA5-CBF4-4905-AEC0-F1B0497DE1B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F39BC3DE-D879-49BC-9439-F8E86354FE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FBDA2552-C5CA-471B-A5BA-68D65FA4F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7F288D38-4604-4C08-867D-74392DD49A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8C3644FF-CAFE-48A2-BEB6-6EB2EEB3F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3A8B588D-7E01-41BC-9E03-CC5CE488E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A42C6268-CCD2-4B1C-BBAC-DA9D5D6DA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276225</xdr:colOff>
      <xdr:row>66</xdr:row>
      <xdr:rowOff>180975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0F088E2E-257D-4CC1-86AB-CF85D70F2065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8CEA3A2C-AC4C-4E7C-82AA-F348B33CD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C81CD3A6-4894-42A6-875E-FC96DFB23E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3C22F3DF-1768-4B26-97C0-8F41330380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088765CE-A96C-418B-BB5F-0033F1F3D7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91D936FC-7349-40EA-9318-CC2243C35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D47C959F-BDB0-4A90-999F-4993439D6A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276225</xdr:colOff>
      <xdr:row>77</xdr:row>
      <xdr:rowOff>180975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58117410-510C-4110-BEE7-E86DF36C095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6292377F-7030-4FAE-859C-FC9DD0A1E3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FE72873C-BC64-40E7-8786-A85BE4E02F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ABCF19E4-3EE6-427D-98EC-1C364D54F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5D6D8596-9DE6-46AD-ABA8-DBE3E06B76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270DE9B3-C79C-4C24-945F-19D88FFEFD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62882AB3-8EED-406C-85AF-289BA28F41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276225</xdr:colOff>
      <xdr:row>93</xdr:row>
      <xdr:rowOff>180975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B6F6659B-C4A5-4B4C-8676-47E90108EC23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4D0347AD-9462-4714-916B-DFBADB3004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DEFF0F2-C69E-478C-91DA-097BFB154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45A1DB77-8052-45CC-AF0B-75959FB668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495A3D5F-6EBE-4BCB-83D8-2AB0E9138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6BBEAA8C-0C56-4D47-A4FB-4E192D9E7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E9E4190B-8FDA-4489-BC30-66C5837651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276225</xdr:colOff>
      <xdr:row>99</xdr:row>
      <xdr:rowOff>180975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E94F3E53-5026-47B5-8B62-67CBAFF00118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E327BE8B-D87F-4598-9177-1257DBE924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7474188A-7667-450A-80BC-2AC9671FA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F99F758E-737A-4499-B65C-AAEFC8D92E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8B3988AE-3C53-44FF-A6FE-116BF79FD4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6551F059-B00C-4D68-B33C-0D701924B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344DB51B-75A0-4230-A01B-82FCC8517D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276225</xdr:colOff>
      <xdr:row>105</xdr:row>
      <xdr:rowOff>180975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1295A941-4C4D-4FCA-AB92-B62D74116BAB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D1494F64-D236-4E6F-ACDF-EB724E6BA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43E028DD-9B65-45A0-B125-16C6D7EC6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3B0C1ADB-F731-46F3-8F32-6EB352AF3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8BEB616B-D50F-4F51-B7E3-752364F26A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57741FDD-687B-492D-94D7-0E2EDEAE7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0CF1189-C056-4272-8BC5-439BDDD36F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276225</xdr:colOff>
      <xdr:row>111</xdr:row>
      <xdr:rowOff>180975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E945A003-0702-445D-BC2B-8C6C7805B070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A4C3A30B-2E6C-4510-9D7A-6AA54E0A7A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9B45491F-AF10-4A88-A445-D6719C3D1C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8E555A5-B474-4D97-9D6D-CC45D975ED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991B1AD1-5B2D-4C65-AF5D-991BCF0879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F4CB1DD9-220A-4623-8576-5F654A760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DCB7BF50-7D4C-4E3B-B027-C9E5338DC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276225</xdr:colOff>
      <xdr:row>117</xdr:row>
      <xdr:rowOff>180975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DA62BCC7-94D5-4D06-A383-B88C23706E1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4506A01F-D113-4E18-84A8-E8399CD6F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F01BA90B-EDDA-4730-BE5E-D70BBE87D1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2BB06BF1-5532-42B6-9875-FDA69D2742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443" name="AutoShape 131">
          <a:extLst>
            <a:ext uri="{FF2B5EF4-FFF2-40B4-BE49-F238E27FC236}">
              <a16:creationId xmlns:a16="http://schemas.microsoft.com/office/drawing/2014/main" id="{C56030B1-56D9-48DB-B571-40996426D3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444" name="AutoShape 132">
          <a:extLst>
            <a:ext uri="{FF2B5EF4-FFF2-40B4-BE49-F238E27FC236}">
              <a16:creationId xmlns:a16="http://schemas.microsoft.com/office/drawing/2014/main" id="{792F7452-0E84-4E8A-8E43-E3AD65B17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445" name="AutoShape 133">
          <a:extLst>
            <a:ext uri="{FF2B5EF4-FFF2-40B4-BE49-F238E27FC236}">
              <a16:creationId xmlns:a16="http://schemas.microsoft.com/office/drawing/2014/main" id="{D2C22D17-614E-4E3A-B898-33CCE02827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276225</xdr:colOff>
      <xdr:row>123</xdr:row>
      <xdr:rowOff>180975</xdr:rowOff>
    </xdr:to>
    <xdr:sp macro="" textlink="">
      <xdr:nvSpPr>
        <xdr:cNvPr id="13446" name="AutoShape 134">
          <a:extLst>
            <a:ext uri="{FF2B5EF4-FFF2-40B4-BE49-F238E27FC236}">
              <a16:creationId xmlns:a16="http://schemas.microsoft.com/office/drawing/2014/main" id="{DFFDF86D-3A5A-486C-AB04-10430235B638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3447" name="AutoShape 135">
          <a:extLst>
            <a:ext uri="{FF2B5EF4-FFF2-40B4-BE49-F238E27FC236}">
              <a16:creationId xmlns:a16="http://schemas.microsoft.com/office/drawing/2014/main" id="{CBF51C34-5242-4708-AFD1-A6D7CC15D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3448" name="AutoShape 136">
          <a:extLst>
            <a:ext uri="{FF2B5EF4-FFF2-40B4-BE49-F238E27FC236}">
              <a16:creationId xmlns:a16="http://schemas.microsoft.com/office/drawing/2014/main" id="{5899C4EB-F03F-464C-86A2-D9894D16E0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3449" name="AutoShape 137">
          <a:extLst>
            <a:ext uri="{FF2B5EF4-FFF2-40B4-BE49-F238E27FC236}">
              <a16:creationId xmlns:a16="http://schemas.microsoft.com/office/drawing/2014/main" id="{C93D3A85-724F-472A-A130-31D20EF72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3450" name="AutoShape 138">
          <a:extLst>
            <a:ext uri="{FF2B5EF4-FFF2-40B4-BE49-F238E27FC236}">
              <a16:creationId xmlns:a16="http://schemas.microsoft.com/office/drawing/2014/main" id="{5173CEAC-3F07-4E65-AE95-15294CA6D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3451" name="AutoShape 139">
          <a:extLst>
            <a:ext uri="{FF2B5EF4-FFF2-40B4-BE49-F238E27FC236}">
              <a16:creationId xmlns:a16="http://schemas.microsoft.com/office/drawing/2014/main" id="{5BC81B19-17E0-4423-AD0D-A7A30858E9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3452" name="AutoShape 140">
          <a:extLst>
            <a:ext uri="{FF2B5EF4-FFF2-40B4-BE49-F238E27FC236}">
              <a16:creationId xmlns:a16="http://schemas.microsoft.com/office/drawing/2014/main" id="{50B79D5E-6DBD-466F-9AAE-F1E5906C84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276225</xdr:colOff>
      <xdr:row>129</xdr:row>
      <xdr:rowOff>180975</xdr:rowOff>
    </xdr:to>
    <xdr:sp macro="" textlink="">
      <xdr:nvSpPr>
        <xdr:cNvPr id="13453" name="AutoShape 141">
          <a:extLst>
            <a:ext uri="{FF2B5EF4-FFF2-40B4-BE49-F238E27FC236}">
              <a16:creationId xmlns:a16="http://schemas.microsoft.com/office/drawing/2014/main" id="{3F675D37-B78B-4065-AB29-1EB0A85C889F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3454" name="AutoShape 142">
          <a:extLst>
            <a:ext uri="{FF2B5EF4-FFF2-40B4-BE49-F238E27FC236}">
              <a16:creationId xmlns:a16="http://schemas.microsoft.com/office/drawing/2014/main" id="{001555A9-9715-49F3-AFAC-88FFFC89A1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3455" name="AutoShape 143">
          <a:extLst>
            <a:ext uri="{FF2B5EF4-FFF2-40B4-BE49-F238E27FC236}">
              <a16:creationId xmlns:a16="http://schemas.microsoft.com/office/drawing/2014/main" id="{19B53667-5A64-450B-9606-D9723C8F28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3456" name="AutoShape 144">
          <a:extLst>
            <a:ext uri="{FF2B5EF4-FFF2-40B4-BE49-F238E27FC236}">
              <a16:creationId xmlns:a16="http://schemas.microsoft.com/office/drawing/2014/main" id="{3FE47F00-1253-4DA2-B81E-9F8F9F7E3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3457" name="AutoShape 145">
          <a:extLst>
            <a:ext uri="{FF2B5EF4-FFF2-40B4-BE49-F238E27FC236}">
              <a16:creationId xmlns:a16="http://schemas.microsoft.com/office/drawing/2014/main" id="{57639F5B-FAB4-4B5A-9D43-88DCEE8184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458" name="AutoShape 146">
          <a:extLst>
            <a:ext uri="{FF2B5EF4-FFF2-40B4-BE49-F238E27FC236}">
              <a16:creationId xmlns:a16="http://schemas.microsoft.com/office/drawing/2014/main" id="{C3559182-3783-467C-B2A2-2894E70730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459" name="AutoShape 147">
          <a:extLst>
            <a:ext uri="{FF2B5EF4-FFF2-40B4-BE49-F238E27FC236}">
              <a16:creationId xmlns:a16="http://schemas.microsoft.com/office/drawing/2014/main" id="{2DBC79DB-9E00-4D0B-9AD5-6272C46F1E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276225</xdr:colOff>
      <xdr:row>135</xdr:row>
      <xdr:rowOff>180975</xdr:rowOff>
    </xdr:to>
    <xdr:sp macro="" textlink="">
      <xdr:nvSpPr>
        <xdr:cNvPr id="13460" name="AutoShape 148">
          <a:extLst>
            <a:ext uri="{FF2B5EF4-FFF2-40B4-BE49-F238E27FC236}">
              <a16:creationId xmlns:a16="http://schemas.microsoft.com/office/drawing/2014/main" id="{7658C7F8-D488-4EE2-8BF3-E66F2E96A086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461" name="AutoShape 149">
          <a:extLst>
            <a:ext uri="{FF2B5EF4-FFF2-40B4-BE49-F238E27FC236}">
              <a16:creationId xmlns:a16="http://schemas.microsoft.com/office/drawing/2014/main" id="{326C9627-1FEC-4459-9656-9757F1CDB1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462" name="AutoShape 150">
          <a:extLst>
            <a:ext uri="{FF2B5EF4-FFF2-40B4-BE49-F238E27FC236}">
              <a16:creationId xmlns:a16="http://schemas.microsoft.com/office/drawing/2014/main" id="{33A22777-AB70-421D-B7BD-323774DE72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63" name="AutoShape 151">
          <a:extLst>
            <a:ext uri="{FF2B5EF4-FFF2-40B4-BE49-F238E27FC236}">
              <a16:creationId xmlns:a16="http://schemas.microsoft.com/office/drawing/2014/main" id="{D34696E1-C094-4564-96FE-4888697A07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464" name="AutoShape 152">
          <a:extLst>
            <a:ext uri="{FF2B5EF4-FFF2-40B4-BE49-F238E27FC236}">
              <a16:creationId xmlns:a16="http://schemas.microsoft.com/office/drawing/2014/main" id="{5F923865-7B9F-4D2B-AC57-1A2392A87F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465" name="AutoShape 153">
          <a:extLst>
            <a:ext uri="{FF2B5EF4-FFF2-40B4-BE49-F238E27FC236}">
              <a16:creationId xmlns:a16="http://schemas.microsoft.com/office/drawing/2014/main" id="{6D096907-6A6D-499C-92F8-5DC4DF1EB3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56" name="AutoShape 2">
          <a:extLst>
            <a:ext uri="{FF2B5EF4-FFF2-40B4-BE49-F238E27FC236}">
              <a16:creationId xmlns:a16="http://schemas.microsoft.com/office/drawing/2014/main" id="{8D675C07-4B6D-416D-B180-BE1923072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57" name="AutoShape 3">
          <a:extLst>
            <a:ext uri="{FF2B5EF4-FFF2-40B4-BE49-F238E27FC236}">
              <a16:creationId xmlns:a16="http://schemas.microsoft.com/office/drawing/2014/main" id="{B960F8DD-32F4-4238-8CB1-C010F46D57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58" name="AutoShape 4">
          <a:extLst>
            <a:ext uri="{FF2B5EF4-FFF2-40B4-BE49-F238E27FC236}">
              <a16:creationId xmlns:a16="http://schemas.microsoft.com/office/drawing/2014/main" id="{65B9D512-B416-47DD-9F47-D129E89DF17D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59" name="AutoShape 5">
          <a:extLst>
            <a:ext uri="{FF2B5EF4-FFF2-40B4-BE49-F238E27FC236}">
              <a16:creationId xmlns:a16="http://schemas.microsoft.com/office/drawing/2014/main" id="{A8E2C79B-C8F6-4772-8DD9-EC6D8C4730F3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60" name="AutoShape 6">
          <a:extLst>
            <a:ext uri="{FF2B5EF4-FFF2-40B4-BE49-F238E27FC236}">
              <a16:creationId xmlns:a16="http://schemas.microsoft.com/office/drawing/2014/main" id="{30537F6A-C230-419D-89F6-A1B23A77562F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4C2BAB06-3E38-40EF-A1D9-AD4C165385B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62" name="AutoShape 8">
          <a:extLst>
            <a:ext uri="{FF2B5EF4-FFF2-40B4-BE49-F238E27FC236}">
              <a16:creationId xmlns:a16="http://schemas.microsoft.com/office/drawing/2014/main" id="{FDFDA5F5-972E-4E0B-8BF5-09D701C63F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64" name="AutoShape 10">
          <a:extLst>
            <a:ext uri="{FF2B5EF4-FFF2-40B4-BE49-F238E27FC236}">
              <a16:creationId xmlns:a16="http://schemas.microsoft.com/office/drawing/2014/main" id="{EEA53294-0E72-4E62-AB6B-EE1139A0444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65" name="AutoShape 11">
          <a:extLst>
            <a:ext uri="{FF2B5EF4-FFF2-40B4-BE49-F238E27FC236}">
              <a16:creationId xmlns:a16="http://schemas.microsoft.com/office/drawing/2014/main" id="{78C37CEE-6830-43F4-875B-57FBC94667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66" name="AutoShape 12">
          <a:extLst>
            <a:ext uri="{FF2B5EF4-FFF2-40B4-BE49-F238E27FC236}">
              <a16:creationId xmlns:a16="http://schemas.microsoft.com/office/drawing/2014/main" id="{39D87CD1-DCE8-4C3F-B5F9-633AA5936BF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67" name="AutoShape 13">
          <a:extLst>
            <a:ext uri="{FF2B5EF4-FFF2-40B4-BE49-F238E27FC236}">
              <a16:creationId xmlns:a16="http://schemas.microsoft.com/office/drawing/2014/main" id="{76F6272E-5623-42BD-9E89-9DD6858D1D4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66700" cy="180975"/>
    <xdr:sp macro="" textlink="">
      <xdr:nvSpPr>
        <xdr:cNvPr id="168" name="AutoShape 2">
          <a:extLst>
            <a:ext uri="{FF2B5EF4-FFF2-40B4-BE49-F238E27FC236}">
              <a16:creationId xmlns:a16="http://schemas.microsoft.com/office/drawing/2014/main" id="{3B4F2906-73E6-4D50-BE4D-A8AE8083E3A5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0</xdr:row>
      <xdr:rowOff>0</xdr:rowOff>
    </xdr:from>
    <xdr:ext cx="104775" cy="219075"/>
    <xdr:sp macro="" textlink="">
      <xdr:nvSpPr>
        <xdr:cNvPr id="169" name="AutoShape 3">
          <a:extLst>
            <a:ext uri="{FF2B5EF4-FFF2-40B4-BE49-F238E27FC236}">
              <a16:creationId xmlns:a16="http://schemas.microsoft.com/office/drawing/2014/main" id="{EEE22F54-CBB3-4D71-8834-963EC7B0FAC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80975" cy="219075"/>
    <xdr:sp macro="" textlink="">
      <xdr:nvSpPr>
        <xdr:cNvPr id="171" name="AutoShape 6">
          <a:extLst>
            <a:ext uri="{FF2B5EF4-FFF2-40B4-BE49-F238E27FC236}">
              <a16:creationId xmlns:a16="http://schemas.microsoft.com/office/drawing/2014/main" id="{181EB9E6-348D-4B96-9700-DF6E5093AAB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23825" cy="180975"/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39E55C09-0B55-41D6-B997-F349D73F98DE}"/>
            </a:ext>
          </a:extLst>
        </xdr:cNvPr>
        <xdr:cNvSpPr>
          <a:spLocks noChangeAspect="1" noChangeArrowheads="1"/>
        </xdr:cNvSpPr>
      </xdr:nvSpPr>
      <xdr:spPr bwMode="auto">
        <a:xfrm>
          <a:off x="10972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228600" cy="219075"/>
    <xdr:sp macro="" textlink="">
      <xdr:nvSpPr>
        <xdr:cNvPr id="173" name="AutoShape 5">
          <a:extLst>
            <a:ext uri="{FF2B5EF4-FFF2-40B4-BE49-F238E27FC236}">
              <a16:creationId xmlns:a16="http://schemas.microsoft.com/office/drawing/2014/main" id="{35419B88-20A6-41C5-B07C-F4F8307015A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180975" cy="219075"/>
    <xdr:sp macro="" textlink="">
      <xdr:nvSpPr>
        <xdr:cNvPr id="174" name="AutoShape 6">
          <a:extLst>
            <a:ext uri="{FF2B5EF4-FFF2-40B4-BE49-F238E27FC236}">
              <a16:creationId xmlns:a16="http://schemas.microsoft.com/office/drawing/2014/main" id="{2A9724D8-8EAB-4EFC-8CAA-5A50794EFD7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42875" cy="180975"/>
    <xdr:sp macro="" textlink="">
      <xdr:nvSpPr>
        <xdr:cNvPr id="175" name="AutoShape 12">
          <a:extLst>
            <a:ext uri="{FF2B5EF4-FFF2-40B4-BE49-F238E27FC236}">
              <a16:creationId xmlns:a16="http://schemas.microsoft.com/office/drawing/2014/main" id="{2D1A7E60-E6DF-47A8-841A-EED2DA23AB4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23825" cy="142875"/>
    <xdr:sp macro="" textlink="">
      <xdr:nvSpPr>
        <xdr:cNvPr id="176" name="AutoShape 13">
          <a:extLst>
            <a:ext uri="{FF2B5EF4-FFF2-40B4-BE49-F238E27FC236}">
              <a16:creationId xmlns:a16="http://schemas.microsoft.com/office/drawing/2014/main" id="{AA417B34-BB3B-4029-8B4D-6A932DF7BD3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076328E2-BB11-4232-A2B2-9CE66F671BF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78" name="AutoShape 2">
          <a:extLst>
            <a:ext uri="{FF2B5EF4-FFF2-40B4-BE49-F238E27FC236}">
              <a16:creationId xmlns:a16="http://schemas.microsoft.com/office/drawing/2014/main" id="{EA18BBF0-1BCE-43CC-9AA6-6E65D4DA4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79" name="AutoShape 3">
          <a:extLst>
            <a:ext uri="{FF2B5EF4-FFF2-40B4-BE49-F238E27FC236}">
              <a16:creationId xmlns:a16="http://schemas.microsoft.com/office/drawing/2014/main" id="{83D583F0-50D6-4EB8-A2D1-39E25FC60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DB8FD21E-1CD6-4870-B190-55D32FCD6FCC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81" name="AutoShape 5">
          <a:extLst>
            <a:ext uri="{FF2B5EF4-FFF2-40B4-BE49-F238E27FC236}">
              <a16:creationId xmlns:a16="http://schemas.microsoft.com/office/drawing/2014/main" id="{275D8D61-0F44-42FB-99E9-76390387FE3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82" name="AutoShape 6">
          <a:extLst>
            <a:ext uri="{FF2B5EF4-FFF2-40B4-BE49-F238E27FC236}">
              <a16:creationId xmlns:a16="http://schemas.microsoft.com/office/drawing/2014/main" id="{5F56195F-AED2-4106-AA6F-FF09D892FFD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9F0167C4-73D1-4580-BCBD-4EF766D14C12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180975</xdr:colOff>
      <xdr:row>0</xdr:row>
      <xdr:rowOff>161925</xdr:rowOff>
    </xdr:to>
    <xdr:sp macro="" textlink="">
      <xdr:nvSpPr>
        <xdr:cNvPr id="184" name="AutoShape 8">
          <a:extLst>
            <a:ext uri="{FF2B5EF4-FFF2-40B4-BE49-F238E27FC236}">
              <a16:creationId xmlns:a16="http://schemas.microsoft.com/office/drawing/2014/main" id="{7592E653-89CE-40E2-BFA3-7452CFC8EA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185" name="AutoShape 10">
          <a:extLst>
            <a:ext uri="{FF2B5EF4-FFF2-40B4-BE49-F238E27FC236}">
              <a16:creationId xmlns:a16="http://schemas.microsoft.com/office/drawing/2014/main" id="{EE2F396B-20DC-411D-921D-9806F7F000C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186" name="AutoShape 11">
          <a:extLst>
            <a:ext uri="{FF2B5EF4-FFF2-40B4-BE49-F238E27FC236}">
              <a16:creationId xmlns:a16="http://schemas.microsoft.com/office/drawing/2014/main" id="{1F5660D1-F61E-46F5-992F-F73442CE774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87" name="AutoShape 12">
          <a:extLst>
            <a:ext uri="{FF2B5EF4-FFF2-40B4-BE49-F238E27FC236}">
              <a16:creationId xmlns:a16="http://schemas.microsoft.com/office/drawing/2014/main" id="{2DB3E56B-C46C-463A-93E6-B02A7E0FAFED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88" name="AutoShape 13">
          <a:extLst>
            <a:ext uri="{FF2B5EF4-FFF2-40B4-BE49-F238E27FC236}">
              <a16:creationId xmlns:a16="http://schemas.microsoft.com/office/drawing/2014/main" id="{FECCBC8E-9E0C-4A3F-AE39-1525CC96EADA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H13" sqref="H13"/>
    </sheetView>
  </sheetViews>
  <sheetFormatPr defaultColWidth="9.140625" defaultRowHeight="39.950000000000003" customHeight="1" x14ac:dyDescent="0.25"/>
  <cols>
    <col min="1" max="1" width="14.5703125" style="6" customWidth="1"/>
    <col min="2" max="4" width="12.5703125" style="8" customWidth="1"/>
    <col min="5" max="8" width="17.42578125" style="9" customWidth="1"/>
    <col min="9" max="9" width="17.7109375" style="9" customWidth="1"/>
    <col min="10" max="19" width="12.5703125" style="9" customWidth="1"/>
    <col min="20" max="20" width="12.5703125" style="10" customWidth="1"/>
    <col min="21" max="16384" width="9.140625" style="1"/>
  </cols>
  <sheetData>
    <row r="1" spans="1:20" ht="39.950000000000003" customHeight="1" x14ac:dyDescent="0.25">
      <c r="A1" s="6" t="s">
        <v>2379</v>
      </c>
      <c r="B1" s="2" t="s">
        <v>8</v>
      </c>
      <c r="C1" s="3" t="s">
        <v>10</v>
      </c>
      <c r="D1" s="3" t="s">
        <v>2339</v>
      </c>
      <c r="E1" s="4" t="s">
        <v>3142</v>
      </c>
      <c r="F1" s="4" t="s">
        <v>3143</v>
      </c>
      <c r="G1" s="4" t="s">
        <v>3149</v>
      </c>
      <c r="H1" s="4" t="s">
        <v>3277</v>
      </c>
      <c r="I1" s="4" t="s">
        <v>0</v>
      </c>
      <c r="J1" s="4" t="s">
        <v>1</v>
      </c>
      <c r="K1" s="4" t="s">
        <v>3141</v>
      </c>
      <c r="L1" s="4" t="s">
        <v>2</v>
      </c>
      <c r="M1" s="4" t="s">
        <v>3073</v>
      </c>
      <c r="N1" s="4" t="s">
        <v>3074</v>
      </c>
      <c r="O1" s="4" t="s">
        <v>3310</v>
      </c>
      <c r="P1" s="4" t="s">
        <v>3</v>
      </c>
      <c r="Q1" s="4" t="s">
        <v>4</v>
      </c>
      <c r="R1" s="4" t="s">
        <v>5</v>
      </c>
      <c r="S1" s="4" t="s">
        <v>6</v>
      </c>
      <c r="T1" s="5" t="s">
        <v>7</v>
      </c>
    </row>
    <row r="2" spans="1:20" ht="39.950000000000003" customHeight="1" x14ac:dyDescent="0.25">
      <c r="A2" s="6" t="s">
        <v>2380</v>
      </c>
      <c r="B2" s="6" t="s">
        <v>9</v>
      </c>
      <c r="C2" s="103" t="s">
        <v>2378</v>
      </c>
      <c r="D2" s="103" t="s">
        <v>2340</v>
      </c>
      <c r="E2" s="103" t="s">
        <v>2391</v>
      </c>
      <c r="F2" s="7" t="s">
        <v>2341</v>
      </c>
      <c r="G2" s="103" t="s">
        <v>3145</v>
      </c>
      <c r="H2" s="103" t="s">
        <v>3276</v>
      </c>
      <c r="I2" s="103" t="s">
        <v>2390</v>
      </c>
      <c r="J2" s="103" t="s">
        <v>2986</v>
      </c>
      <c r="K2" s="103" t="s">
        <v>3140</v>
      </c>
      <c r="L2" s="7" t="s">
        <v>2341</v>
      </c>
      <c r="M2" s="103" t="s">
        <v>2393</v>
      </c>
      <c r="N2" s="103" t="s">
        <v>3072</v>
      </c>
      <c r="O2" s="103" t="s">
        <v>3309</v>
      </c>
      <c r="P2" s="7" t="s">
        <v>2341</v>
      </c>
      <c r="Q2" s="103" t="s">
        <v>2757</v>
      </c>
      <c r="R2" s="103" t="s">
        <v>2789</v>
      </c>
      <c r="S2" s="103" t="s">
        <v>2790</v>
      </c>
      <c r="T2" s="103" t="s">
        <v>2791</v>
      </c>
    </row>
    <row r="3" spans="1:20" ht="39.950000000000003" customHeight="1" x14ac:dyDescent="0.25">
      <c r="A3" s="6" t="s">
        <v>2380</v>
      </c>
      <c r="B3" s="6" t="s">
        <v>2394</v>
      </c>
      <c r="C3" s="103" t="s">
        <v>3254</v>
      </c>
      <c r="D3" s="103" t="s">
        <v>3254</v>
      </c>
    </row>
    <row r="4" spans="1:20" ht="39.950000000000003" customHeight="1" x14ac:dyDescent="0.25">
      <c r="A4" s="6" t="s">
        <v>2380</v>
      </c>
      <c r="B4" s="6" t="s">
        <v>9</v>
      </c>
      <c r="C4" s="103" t="s">
        <v>2759</v>
      </c>
      <c r="E4" s="103" t="s">
        <v>2391</v>
      </c>
      <c r="F4" s="7" t="s">
        <v>2341</v>
      </c>
      <c r="G4" s="103" t="s">
        <v>3145</v>
      </c>
      <c r="H4" s="8"/>
      <c r="I4" s="103" t="s">
        <v>2390</v>
      </c>
      <c r="J4" s="103" t="s">
        <v>2986</v>
      </c>
      <c r="K4" s="103" t="s">
        <v>3140</v>
      </c>
      <c r="L4" s="7" t="s">
        <v>2341</v>
      </c>
      <c r="M4" s="103" t="s">
        <v>2393</v>
      </c>
      <c r="N4" s="103" t="s">
        <v>3072</v>
      </c>
      <c r="O4" s="8"/>
      <c r="P4" s="7" t="s">
        <v>2341</v>
      </c>
      <c r="Q4" s="103" t="s">
        <v>2757</v>
      </c>
      <c r="R4" s="103" t="s">
        <v>2789</v>
      </c>
      <c r="S4" s="103" t="s">
        <v>2790</v>
      </c>
      <c r="T4" s="103" t="s">
        <v>2791</v>
      </c>
    </row>
    <row r="5" spans="1:20" ht="39.950000000000003" customHeight="1" x14ac:dyDescent="0.25">
      <c r="A5" s="6" t="s">
        <v>2380</v>
      </c>
      <c r="B5" s="6" t="s">
        <v>2797</v>
      </c>
      <c r="C5" s="103" t="s">
        <v>2796</v>
      </c>
    </row>
    <row r="6" spans="1:20" ht="39.950000000000003" customHeight="1" x14ac:dyDescent="0.25">
      <c r="A6" s="6" t="s">
        <v>2380</v>
      </c>
      <c r="B6" s="6" t="s">
        <v>3649</v>
      </c>
      <c r="C6" s="103" t="s">
        <v>2987</v>
      </c>
    </row>
    <row r="7" spans="1:20" ht="39.950000000000003" customHeight="1" x14ac:dyDescent="0.25">
      <c r="A7" s="6" t="s">
        <v>2380</v>
      </c>
      <c r="B7" s="6" t="s">
        <v>2394</v>
      </c>
      <c r="C7" s="103" t="s">
        <v>3254</v>
      </c>
    </row>
    <row r="8" spans="1:20" ht="39.950000000000003" customHeight="1" x14ac:dyDescent="0.25">
      <c r="A8" s="6" t="s">
        <v>2380</v>
      </c>
      <c r="B8" s="6" t="s">
        <v>3637</v>
      </c>
      <c r="C8" s="103" t="s">
        <v>3638</v>
      </c>
      <c r="D8" s="103" t="s">
        <v>3638</v>
      </c>
      <c r="E8" s="104" t="s">
        <v>3639</v>
      </c>
      <c r="F8" s="9" t="s">
        <v>2341</v>
      </c>
      <c r="G8" s="9" t="s">
        <v>2341</v>
      </c>
      <c r="H8" s="9" t="s">
        <v>2341</v>
      </c>
      <c r="I8" s="104" t="s">
        <v>3640</v>
      </c>
      <c r="J8" s="9" t="s">
        <v>2341</v>
      </c>
      <c r="K8" s="9" t="s">
        <v>2341</v>
      </c>
      <c r="L8" s="9" t="s">
        <v>2341</v>
      </c>
      <c r="M8" s="104" t="s">
        <v>3644</v>
      </c>
      <c r="N8" s="9" t="s">
        <v>2341</v>
      </c>
      <c r="O8" s="9" t="s">
        <v>2341</v>
      </c>
      <c r="P8" s="9" t="s">
        <v>2341</v>
      </c>
      <c r="Q8" s="104" t="s">
        <v>3641</v>
      </c>
      <c r="R8" s="104" t="s">
        <v>3642</v>
      </c>
      <c r="S8" s="104" t="s">
        <v>3643</v>
      </c>
      <c r="T8" s="10" t="s">
        <v>2341</v>
      </c>
    </row>
    <row r="9" spans="1:20" ht="39.950000000000003" customHeight="1" x14ac:dyDescent="0.25">
      <c r="A9" s="6" t="s">
        <v>2380</v>
      </c>
      <c r="B9" s="8" t="s">
        <v>3646</v>
      </c>
      <c r="C9" s="103" t="s">
        <v>3645</v>
      </c>
      <c r="D9" s="103" t="s">
        <v>3645</v>
      </c>
    </row>
    <row r="10" spans="1:20" ht="39.950000000000003" customHeight="1" x14ac:dyDescent="0.25">
      <c r="A10" s="6" t="s">
        <v>2380</v>
      </c>
      <c r="B10" s="8" t="s">
        <v>3647</v>
      </c>
      <c r="C10" s="103" t="s">
        <v>3648</v>
      </c>
      <c r="D10" s="103" t="s">
        <v>3648</v>
      </c>
    </row>
    <row r="11" spans="1:20" ht="39.950000000000003" customHeight="1" x14ac:dyDescent="0.25">
      <c r="A11" s="6" t="s">
        <v>2380</v>
      </c>
      <c r="B11" s="8" t="s">
        <v>3650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E27"/>
  <sheetViews>
    <sheetView workbookViewId="0">
      <selection activeCell="M28" sqref="M28"/>
    </sheetView>
  </sheetViews>
  <sheetFormatPr defaultRowHeight="15" x14ac:dyDescent="0.25"/>
  <cols>
    <col min="1" max="1" width="9.140625" style="1"/>
    <col min="2" max="2" width="9.5703125" style="1" customWidth="1"/>
    <col min="3" max="3" width="9.140625" style="1"/>
  </cols>
  <sheetData>
    <row r="1" spans="1:5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5" x14ac:dyDescent="0.25">
      <c r="A2" s="1">
        <v>10</v>
      </c>
      <c r="B2" s="1" t="s">
        <v>65</v>
      </c>
      <c r="C2" s="1" t="s">
        <v>18</v>
      </c>
      <c r="D2" t="s">
        <v>186</v>
      </c>
      <c r="E2" s="1"/>
    </row>
    <row r="3" spans="1:5" x14ac:dyDescent="0.25">
      <c r="A3" s="1">
        <v>15</v>
      </c>
      <c r="B3" s="1" t="s">
        <v>78</v>
      </c>
      <c r="C3" s="1" t="s">
        <v>18</v>
      </c>
      <c r="D3" t="s">
        <v>186</v>
      </c>
      <c r="E3" s="1"/>
    </row>
    <row r="4" spans="1:5" x14ac:dyDescent="0.25">
      <c r="A4" s="1">
        <v>20</v>
      </c>
      <c r="B4" s="1" t="s">
        <v>96</v>
      </c>
      <c r="C4" s="1" t="s">
        <v>18</v>
      </c>
      <c r="D4" t="s">
        <v>159</v>
      </c>
      <c r="E4" s="1"/>
    </row>
    <row r="5" spans="1:5" x14ac:dyDescent="0.25">
      <c r="A5" s="1">
        <v>25</v>
      </c>
      <c r="B5" s="1" t="s">
        <v>114</v>
      </c>
      <c r="C5" s="1" t="s">
        <v>265</v>
      </c>
      <c r="D5" t="s">
        <v>368</v>
      </c>
      <c r="E5" s="1"/>
    </row>
    <row r="6" spans="1:5" x14ac:dyDescent="0.25">
      <c r="A6" s="1">
        <v>32</v>
      </c>
      <c r="B6" s="1" t="s">
        <v>131</v>
      </c>
      <c r="C6" s="1" t="s">
        <v>18</v>
      </c>
      <c r="D6" t="s">
        <v>532</v>
      </c>
      <c r="E6" s="1"/>
    </row>
    <row r="7" spans="1:5" x14ac:dyDescent="0.25">
      <c r="A7" s="1">
        <v>40</v>
      </c>
      <c r="B7" s="1" t="s">
        <v>152</v>
      </c>
      <c r="C7" s="1" t="s">
        <v>265</v>
      </c>
      <c r="D7" t="s">
        <v>655</v>
      </c>
      <c r="E7" s="1"/>
    </row>
    <row r="8" spans="1:5" x14ac:dyDescent="0.25">
      <c r="A8" s="1">
        <v>50</v>
      </c>
      <c r="B8" s="1" t="s">
        <v>195</v>
      </c>
      <c r="C8" s="1" t="s">
        <v>22</v>
      </c>
      <c r="D8" t="s">
        <v>26</v>
      </c>
      <c r="E8" s="1"/>
    </row>
    <row r="9" spans="1:5" x14ac:dyDescent="0.25">
      <c r="A9" s="1">
        <v>65</v>
      </c>
      <c r="B9" s="1" t="s">
        <v>258</v>
      </c>
      <c r="C9" s="1" t="s">
        <v>637</v>
      </c>
      <c r="D9" t="s">
        <v>1025</v>
      </c>
      <c r="E9" s="1"/>
    </row>
    <row r="10" spans="1:5" x14ac:dyDescent="0.25">
      <c r="A10" s="1">
        <v>80</v>
      </c>
      <c r="B10" s="1" t="s">
        <v>298</v>
      </c>
      <c r="C10" s="1" t="s">
        <v>637</v>
      </c>
      <c r="D10" t="s">
        <v>1110</v>
      </c>
      <c r="E10" s="1"/>
    </row>
    <row r="11" spans="1:5" x14ac:dyDescent="0.25">
      <c r="A11" s="1">
        <v>90</v>
      </c>
      <c r="B11" s="1" t="s">
        <v>342</v>
      </c>
      <c r="C11" s="1" t="s">
        <v>26</v>
      </c>
      <c r="D11" t="s">
        <v>1167</v>
      </c>
      <c r="E11" s="1"/>
    </row>
    <row r="12" spans="1:5" x14ac:dyDescent="0.25">
      <c r="A12" s="1">
        <v>100</v>
      </c>
      <c r="B12" s="1" t="s">
        <v>358</v>
      </c>
      <c r="C12" s="1" t="s">
        <v>26</v>
      </c>
      <c r="D12" t="s">
        <v>1206</v>
      </c>
      <c r="E12" s="1"/>
    </row>
    <row r="13" spans="1:5" x14ac:dyDescent="0.25">
      <c r="A13" s="1">
        <v>125</v>
      </c>
      <c r="B13" s="1" t="s">
        <v>428</v>
      </c>
      <c r="C13" s="1" t="s">
        <v>26</v>
      </c>
      <c r="D13" t="s">
        <v>1041</v>
      </c>
      <c r="E13" s="1"/>
    </row>
    <row r="14" spans="1:5" x14ac:dyDescent="0.25">
      <c r="A14" s="1">
        <v>150</v>
      </c>
      <c r="B14" s="1" t="s">
        <v>498</v>
      </c>
      <c r="C14" s="1" t="s">
        <v>1037</v>
      </c>
      <c r="D14" t="s">
        <v>1427</v>
      </c>
      <c r="E14" s="1"/>
    </row>
    <row r="15" spans="1:5" x14ac:dyDescent="0.25">
      <c r="A15" s="1">
        <v>160</v>
      </c>
      <c r="B15" s="1" t="s">
        <v>555</v>
      </c>
      <c r="C15" s="1" t="s">
        <v>26</v>
      </c>
      <c r="D15" t="s">
        <v>1535</v>
      </c>
      <c r="E15" s="1"/>
    </row>
    <row r="16" spans="1:5" x14ac:dyDescent="0.25">
      <c r="A16" s="1">
        <v>175</v>
      </c>
      <c r="B16" s="1" t="s">
        <v>1542</v>
      </c>
      <c r="C16" s="1" t="s">
        <v>26</v>
      </c>
      <c r="D16" t="s">
        <v>1566</v>
      </c>
      <c r="E16" s="1"/>
    </row>
    <row r="17" spans="1:5" x14ac:dyDescent="0.25">
      <c r="A17" s="1">
        <v>200</v>
      </c>
      <c r="B17" s="1" t="s">
        <v>656</v>
      </c>
      <c r="C17" s="1" t="s">
        <v>34</v>
      </c>
      <c r="D17" t="s">
        <v>1614</v>
      </c>
      <c r="E17" s="1"/>
    </row>
    <row r="18" spans="1:5" x14ac:dyDescent="0.25">
      <c r="A18" s="1">
        <v>225</v>
      </c>
      <c r="B18" s="1" t="s">
        <v>725</v>
      </c>
      <c r="C18" s="1" t="s">
        <v>34</v>
      </c>
      <c r="D18" t="s">
        <v>1679</v>
      </c>
      <c r="E18" s="1"/>
    </row>
    <row r="19" spans="1:5" x14ac:dyDescent="0.25">
      <c r="A19" s="1">
        <v>250</v>
      </c>
      <c r="B19" s="1" t="s">
        <v>800</v>
      </c>
      <c r="C19" s="1" t="s">
        <v>34</v>
      </c>
      <c r="D19" t="s">
        <v>1679</v>
      </c>
      <c r="E19" s="1"/>
    </row>
    <row r="20" spans="1:5" x14ac:dyDescent="0.25">
      <c r="A20" s="1">
        <v>300</v>
      </c>
      <c r="B20" s="1" t="s">
        <v>931</v>
      </c>
      <c r="C20" s="1" t="s">
        <v>34</v>
      </c>
      <c r="D20" t="s">
        <v>1704</v>
      </c>
      <c r="E20" s="1"/>
    </row>
    <row r="21" spans="1:5" x14ac:dyDescent="0.25">
      <c r="A21" s="1">
        <v>400</v>
      </c>
      <c r="B21" s="1" t="s">
        <v>1221</v>
      </c>
      <c r="C21" s="1" t="s">
        <v>34</v>
      </c>
      <c r="D21" t="s">
        <v>1814</v>
      </c>
      <c r="E21" s="1"/>
    </row>
    <row r="22" spans="1:5" x14ac:dyDescent="0.25">
      <c r="A22" s="1">
        <v>500</v>
      </c>
      <c r="B22" s="1" t="s">
        <v>1512</v>
      </c>
      <c r="C22" s="1" t="s">
        <v>37</v>
      </c>
      <c r="D22" t="s">
        <v>1871</v>
      </c>
      <c r="E22" s="1"/>
    </row>
    <row r="23" spans="1:5" x14ac:dyDescent="0.25">
      <c r="A23" s="1">
        <v>600</v>
      </c>
      <c r="B23" s="1" t="s">
        <v>1809</v>
      </c>
      <c r="C23" s="1" t="s">
        <v>37</v>
      </c>
      <c r="D23" t="s">
        <v>1926</v>
      </c>
      <c r="E23" s="1"/>
    </row>
    <row r="24" spans="1:5" x14ac:dyDescent="0.25">
      <c r="A24" s="1" t="s">
        <v>2021</v>
      </c>
      <c r="B24" s="1" t="s">
        <v>1969</v>
      </c>
      <c r="C24" s="1" t="s">
        <v>41</v>
      </c>
      <c r="D24" t="s">
        <v>1972</v>
      </c>
      <c r="E24" s="1"/>
    </row>
    <row r="25" spans="1:5" x14ac:dyDescent="0.25">
      <c r="A25" s="1">
        <v>800</v>
      </c>
      <c r="B25" s="1" t="s">
        <v>2042</v>
      </c>
      <c r="C25" s="1" t="s">
        <v>41</v>
      </c>
      <c r="D25" t="s">
        <v>2045</v>
      </c>
      <c r="E25" s="1"/>
    </row>
    <row r="26" spans="1:5" x14ac:dyDescent="0.25">
      <c r="A26" s="1">
        <v>1000</v>
      </c>
      <c r="B26" s="1" t="s">
        <v>2155</v>
      </c>
      <c r="C26" s="1" t="s">
        <v>17</v>
      </c>
      <c r="D26" t="s">
        <v>2161</v>
      </c>
      <c r="E26" s="1"/>
    </row>
    <row r="27" spans="1:5" x14ac:dyDescent="0.25">
      <c r="A27" s="1">
        <v>1200</v>
      </c>
      <c r="B27" s="1" t="s">
        <v>2269</v>
      </c>
      <c r="C27" s="1" t="s">
        <v>17</v>
      </c>
      <c r="D27" t="s">
        <v>2272</v>
      </c>
      <c r="E27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D26"/>
  <sheetViews>
    <sheetView workbookViewId="0">
      <selection activeCell="E43" sqref="E43"/>
    </sheetView>
  </sheetViews>
  <sheetFormatPr defaultRowHeight="15" x14ac:dyDescent="0.25"/>
  <cols>
    <col min="1" max="3" width="9.140625" style="1"/>
  </cols>
  <sheetData>
    <row r="1" spans="1:4" x14ac:dyDescent="0.25">
      <c r="A1" s="1" t="s">
        <v>2342</v>
      </c>
      <c r="B1" s="1" t="s">
        <v>2343</v>
      </c>
      <c r="C1" s="1" t="s">
        <v>2344</v>
      </c>
      <c r="D1" s="1" t="s">
        <v>11</v>
      </c>
    </row>
    <row r="2" spans="1:4" x14ac:dyDescent="0.25">
      <c r="A2" s="1">
        <v>10</v>
      </c>
      <c r="B2" s="1" t="s">
        <v>2354</v>
      </c>
      <c r="C2" s="1" t="s">
        <v>18</v>
      </c>
      <c r="D2" t="s">
        <v>186</v>
      </c>
    </row>
    <row r="3" spans="1:4" x14ac:dyDescent="0.25">
      <c r="A3" s="1">
        <v>15</v>
      </c>
      <c r="B3" s="1" t="s">
        <v>191</v>
      </c>
      <c r="C3" s="1" t="s">
        <v>18</v>
      </c>
      <c r="D3" t="s">
        <v>186</v>
      </c>
    </row>
    <row r="4" spans="1:4" x14ac:dyDescent="0.25">
      <c r="A4" s="1">
        <v>20</v>
      </c>
      <c r="B4" s="1" t="s">
        <v>2355</v>
      </c>
      <c r="C4" s="1" t="s">
        <v>18</v>
      </c>
      <c r="D4" t="s">
        <v>159</v>
      </c>
    </row>
    <row r="5" spans="1:4" x14ac:dyDescent="0.25">
      <c r="A5" s="1">
        <v>25</v>
      </c>
      <c r="B5" s="1" t="s">
        <v>487</v>
      </c>
      <c r="C5" s="1" t="s">
        <v>265</v>
      </c>
      <c r="D5" t="s">
        <v>368</v>
      </c>
    </row>
    <row r="6" spans="1:4" x14ac:dyDescent="0.25">
      <c r="A6" s="1">
        <v>32</v>
      </c>
      <c r="B6" s="1" t="s">
        <v>2356</v>
      </c>
      <c r="C6" s="1" t="s">
        <v>18</v>
      </c>
      <c r="D6" t="s">
        <v>532</v>
      </c>
    </row>
    <row r="7" spans="1:4" x14ac:dyDescent="0.25">
      <c r="A7" s="1">
        <v>40</v>
      </c>
      <c r="B7" s="1" t="s">
        <v>727</v>
      </c>
      <c r="C7" s="1" t="s">
        <v>265</v>
      </c>
      <c r="D7" t="s">
        <v>655</v>
      </c>
    </row>
    <row r="8" spans="1:4" x14ac:dyDescent="0.25">
      <c r="A8" s="1">
        <v>50</v>
      </c>
      <c r="B8" s="1" t="s">
        <v>2357</v>
      </c>
      <c r="C8" s="1" t="s">
        <v>22</v>
      </c>
      <c r="D8" t="s">
        <v>26</v>
      </c>
    </row>
    <row r="9" spans="1:4" x14ac:dyDescent="0.25">
      <c r="A9" s="1">
        <v>65</v>
      </c>
      <c r="B9" s="1" t="s">
        <v>2358</v>
      </c>
      <c r="C9" s="1" t="s">
        <v>637</v>
      </c>
      <c r="D9" t="s">
        <v>1025</v>
      </c>
    </row>
    <row r="10" spans="1:4" x14ac:dyDescent="0.25">
      <c r="A10" s="1">
        <v>80</v>
      </c>
      <c r="B10" s="1" t="s">
        <v>2359</v>
      </c>
      <c r="C10" s="1" t="s">
        <v>637</v>
      </c>
      <c r="D10" t="s">
        <v>1110</v>
      </c>
    </row>
    <row r="11" spans="1:4" x14ac:dyDescent="0.25">
      <c r="A11" s="1">
        <v>90</v>
      </c>
      <c r="B11" s="1" t="s">
        <v>2360</v>
      </c>
      <c r="C11" s="1" t="s">
        <v>26</v>
      </c>
      <c r="D11" t="s">
        <v>1167</v>
      </c>
    </row>
    <row r="12" spans="1:4" x14ac:dyDescent="0.25">
      <c r="A12" s="1">
        <v>100</v>
      </c>
      <c r="B12" s="1" t="s">
        <v>2361</v>
      </c>
      <c r="C12" s="1" t="s">
        <v>26</v>
      </c>
      <c r="D12" t="s">
        <v>1206</v>
      </c>
    </row>
    <row r="13" spans="1:4" x14ac:dyDescent="0.25">
      <c r="A13" s="1">
        <v>125</v>
      </c>
      <c r="B13" s="1" t="s">
        <v>2362</v>
      </c>
      <c r="C13" s="1" t="s">
        <v>26</v>
      </c>
      <c r="D13" t="s">
        <v>1041</v>
      </c>
    </row>
    <row r="14" spans="1:4" x14ac:dyDescent="0.25">
      <c r="A14" s="1">
        <v>150</v>
      </c>
      <c r="B14" s="1" t="s">
        <v>2363</v>
      </c>
      <c r="C14" s="1" t="s">
        <v>1037</v>
      </c>
      <c r="D14" t="s">
        <v>1427</v>
      </c>
    </row>
    <row r="15" spans="1:4" x14ac:dyDescent="0.25">
      <c r="A15" s="1">
        <v>160</v>
      </c>
      <c r="B15" s="1" t="s">
        <v>1491</v>
      </c>
      <c r="C15" s="1" t="s">
        <v>26</v>
      </c>
      <c r="D15" t="s">
        <v>1535</v>
      </c>
    </row>
    <row r="16" spans="1:4" x14ac:dyDescent="0.25">
      <c r="A16" s="1">
        <v>175</v>
      </c>
      <c r="B16" s="1" t="s">
        <v>2364</v>
      </c>
      <c r="C16" s="1" t="s">
        <v>26</v>
      </c>
      <c r="D16" t="s">
        <v>1566</v>
      </c>
    </row>
    <row r="17" spans="1:4" x14ac:dyDescent="0.25">
      <c r="A17" s="1">
        <v>200</v>
      </c>
      <c r="B17" s="1" t="s">
        <v>2365</v>
      </c>
      <c r="C17" s="1" t="s">
        <v>34</v>
      </c>
      <c r="D17" t="s">
        <v>1614</v>
      </c>
    </row>
    <row r="18" spans="1:4" x14ac:dyDescent="0.25">
      <c r="A18" s="1">
        <v>225</v>
      </c>
      <c r="B18" s="1" t="s">
        <v>1626</v>
      </c>
      <c r="C18" s="1" t="s">
        <v>34</v>
      </c>
      <c r="D18" t="s">
        <v>1679</v>
      </c>
    </row>
    <row r="19" spans="1:4" x14ac:dyDescent="0.25">
      <c r="A19" s="1">
        <v>250</v>
      </c>
      <c r="B19" s="1" t="s">
        <v>800</v>
      </c>
      <c r="C19" s="1" t="s">
        <v>34</v>
      </c>
      <c r="D19" t="s">
        <v>1679</v>
      </c>
    </row>
    <row r="20" spans="1:4" x14ac:dyDescent="0.25">
      <c r="A20" s="1">
        <v>300</v>
      </c>
      <c r="B20" s="1" t="s">
        <v>2366</v>
      </c>
      <c r="C20" s="1" t="s">
        <v>34</v>
      </c>
      <c r="D20" t="s">
        <v>1704</v>
      </c>
    </row>
    <row r="21" spans="1:4" x14ac:dyDescent="0.25">
      <c r="A21" s="1">
        <v>400</v>
      </c>
      <c r="B21" s="1" t="s">
        <v>1770</v>
      </c>
      <c r="C21" s="1" t="s">
        <v>34</v>
      </c>
      <c r="D21" t="s">
        <v>1814</v>
      </c>
    </row>
    <row r="22" spans="1:4" x14ac:dyDescent="0.25">
      <c r="A22" s="1">
        <v>500</v>
      </c>
      <c r="B22" s="1" t="s">
        <v>1450</v>
      </c>
      <c r="C22" s="1" t="s">
        <v>37</v>
      </c>
      <c r="D22" t="s">
        <v>1871</v>
      </c>
    </row>
    <row r="23" spans="1:4" x14ac:dyDescent="0.25">
      <c r="A23" s="1">
        <v>600</v>
      </c>
      <c r="B23" s="1" t="s">
        <v>2367</v>
      </c>
      <c r="C23" s="1" t="s">
        <v>37</v>
      </c>
      <c r="D23" t="s">
        <v>1926</v>
      </c>
    </row>
    <row r="24" spans="1:4" x14ac:dyDescent="0.25">
      <c r="A24" s="1">
        <v>800</v>
      </c>
      <c r="B24" s="1" t="s">
        <v>2368</v>
      </c>
      <c r="C24" s="1" t="s">
        <v>41</v>
      </c>
      <c r="D24" t="s">
        <v>1972</v>
      </c>
    </row>
    <row r="25" spans="1:4" x14ac:dyDescent="0.25">
      <c r="A25" s="1">
        <v>1000</v>
      </c>
      <c r="B25" s="1" t="s">
        <v>2369</v>
      </c>
      <c r="C25" s="1" t="s">
        <v>41</v>
      </c>
      <c r="D25" t="s">
        <v>2045</v>
      </c>
    </row>
    <row r="26" spans="1:4" x14ac:dyDescent="0.25">
      <c r="A26" s="1">
        <v>1200</v>
      </c>
      <c r="B26" s="1" t="s">
        <v>2370</v>
      </c>
      <c r="C26" s="1" t="s">
        <v>17</v>
      </c>
      <c r="D26" t="s">
        <v>2161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7CE0-6CA6-4917-9449-0D79F522F4F2}">
  <sheetPr codeName="Лист11"/>
  <dimension ref="A1:F15"/>
  <sheetViews>
    <sheetView workbookViewId="0">
      <selection activeCell="E2" sqref="E2"/>
    </sheetView>
  </sheetViews>
  <sheetFormatPr defaultRowHeight="15" x14ac:dyDescent="0.25"/>
  <cols>
    <col min="1" max="3" width="9.140625" style="1"/>
  </cols>
  <sheetData>
    <row r="1" spans="1:6" x14ac:dyDescent="0.2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25">
      <c r="A2" s="1" t="s">
        <v>17</v>
      </c>
      <c r="B2" s="1" t="s">
        <v>65</v>
      </c>
      <c r="C2" s="1" t="s">
        <v>2406</v>
      </c>
      <c r="D2">
        <v>0.115</v>
      </c>
      <c r="E2" s="1"/>
      <c r="F2" s="1"/>
    </row>
    <row r="3" spans="1:6" x14ac:dyDescent="0.25">
      <c r="A3" s="1" t="s">
        <v>61</v>
      </c>
      <c r="B3" s="1" t="s">
        <v>78</v>
      </c>
      <c r="C3" s="1" t="s">
        <v>2449</v>
      </c>
      <c r="D3">
        <v>0.18099999999999999</v>
      </c>
      <c r="E3" s="1"/>
      <c r="F3" s="1"/>
    </row>
    <row r="4" spans="1:6" x14ac:dyDescent="0.25">
      <c r="A4" s="1" t="s">
        <v>78</v>
      </c>
      <c r="B4" s="1" t="s">
        <v>93</v>
      </c>
      <c r="C4" s="1" t="s">
        <v>2451</v>
      </c>
      <c r="D4">
        <v>0.27400000000000002</v>
      </c>
      <c r="E4" s="1"/>
      <c r="F4" s="1"/>
    </row>
    <row r="5" spans="1:6" x14ac:dyDescent="0.25">
      <c r="A5" s="1" t="s">
        <v>93</v>
      </c>
      <c r="B5" s="1" t="s">
        <v>114</v>
      </c>
      <c r="C5" s="1" t="s">
        <v>2415</v>
      </c>
      <c r="D5">
        <v>0.443</v>
      </c>
      <c r="E5" s="1"/>
      <c r="F5" s="1"/>
    </row>
    <row r="6" spans="1:6" x14ac:dyDescent="0.25">
      <c r="A6" s="1" t="s">
        <v>114</v>
      </c>
      <c r="B6" s="1" t="s">
        <v>136</v>
      </c>
      <c r="C6" s="1" t="s">
        <v>2412</v>
      </c>
      <c r="D6">
        <v>0.70499999999999996</v>
      </c>
      <c r="E6" s="1"/>
      <c r="F6" s="1"/>
    </row>
    <row r="7" spans="1:6" x14ac:dyDescent="0.25">
      <c r="A7" s="1" t="s">
        <v>136</v>
      </c>
      <c r="B7" s="1" t="s">
        <v>170</v>
      </c>
      <c r="C7" s="1" t="s">
        <v>2485</v>
      </c>
      <c r="D7">
        <v>1.0959999999999999</v>
      </c>
      <c r="E7" s="1"/>
      <c r="F7" s="1"/>
    </row>
    <row r="8" spans="1:6" x14ac:dyDescent="0.25">
      <c r="A8" s="1" t="s">
        <v>170</v>
      </c>
      <c r="B8" s="1" t="s">
        <v>214</v>
      </c>
      <c r="C8" s="1" t="s">
        <v>2461</v>
      </c>
      <c r="D8">
        <v>1.74</v>
      </c>
      <c r="E8" s="1"/>
      <c r="F8" s="1"/>
    </row>
    <row r="9" spans="1:6" x14ac:dyDescent="0.25">
      <c r="A9" s="1" t="s">
        <v>221</v>
      </c>
      <c r="B9" s="1" t="s">
        <v>255</v>
      </c>
      <c r="C9" s="1" t="s">
        <v>2418</v>
      </c>
      <c r="D9">
        <v>2.4339999999999997</v>
      </c>
      <c r="E9" s="1"/>
      <c r="F9" s="1"/>
    </row>
    <row r="10" spans="1:6" x14ac:dyDescent="0.25">
      <c r="A10" s="1" t="s">
        <v>272</v>
      </c>
      <c r="B10" s="1" t="s">
        <v>302</v>
      </c>
      <c r="C10" s="1" t="s">
        <v>2467</v>
      </c>
      <c r="D10">
        <v>3.5189999999999997</v>
      </c>
      <c r="E10" s="1"/>
      <c r="F10" s="1"/>
    </row>
    <row r="11" spans="1:6" x14ac:dyDescent="0.25">
      <c r="A11" s="1" t="s">
        <v>302</v>
      </c>
      <c r="B11" s="1" t="s">
        <v>364</v>
      </c>
      <c r="C11" s="1" t="s">
        <v>17</v>
      </c>
      <c r="D11">
        <v>5.2470000000000008</v>
      </c>
      <c r="E11" s="1"/>
      <c r="F11" s="1"/>
    </row>
    <row r="12" spans="1:6" x14ac:dyDescent="0.25">
      <c r="A12" s="1" t="s">
        <v>337</v>
      </c>
      <c r="B12" s="1" t="s">
        <v>407</v>
      </c>
      <c r="C12" s="1" t="s">
        <v>2647</v>
      </c>
      <c r="D12">
        <v>6.7940000000000005</v>
      </c>
      <c r="E12" s="1"/>
      <c r="F12" s="1"/>
    </row>
    <row r="13" spans="1:6" x14ac:dyDescent="0.25">
      <c r="A13" s="1" t="s">
        <v>407</v>
      </c>
      <c r="B13" s="1" t="s">
        <v>447</v>
      </c>
      <c r="C13" s="1" t="s">
        <v>2795</v>
      </c>
      <c r="D13">
        <v>8.4829999999999988</v>
      </c>
      <c r="E13" s="1"/>
      <c r="F13" s="1"/>
    </row>
    <row r="14" spans="1:6" x14ac:dyDescent="0.25">
      <c r="A14" s="1" t="s">
        <v>473</v>
      </c>
      <c r="B14" s="1" t="s">
        <v>501</v>
      </c>
      <c r="C14" s="1" t="s">
        <v>2660</v>
      </c>
      <c r="D14">
        <v>11.135999999999999</v>
      </c>
      <c r="E14" s="1"/>
      <c r="F14" s="1"/>
    </row>
    <row r="15" spans="1:6" x14ac:dyDescent="0.25">
      <c r="A15" s="1" t="s">
        <v>501</v>
      </c>
      <c r="B15" s="1" t="s">
        <v>555</v>
      </c>
      <c r="C15" s="1" t="s">
        <v>2794</v>
      </c>
      <c r="D15">
        <v>14.075999999999999</v>
      </c>
      <c r="E15" s="1"/>
      <c r="F1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0C93-10DE-43FA-8F6F-56E8FBAF6DED}">
  <sheetPr codeName="Лист31"/>
  <dimension ref="A1:F40"/>
  <sheetViews>
    <sheetView zoomScale="115" zoomScaleNormal="115" workbookViewId="0">
      <selection activeCell="I26" sqref="I26"/>
    </sheetView>
  </sheetViews>
  <sheetFormatPr defaultRowHeight="15" x14ac:dyDescent="0.25"/>
  <cols>
    <col min="1" max="3" width="9.140625" style="1"/>
    <col min="4" max="4" width="9.140625" style="31"/>
  </cols>
  <sheetData>
    <row r="1" spans="1:6" x14ac:dyDescent="0.25">
      <c r="A1" s="1" t="s">
        <v>2760</v>
      </c>
      <c r="B1" s="1" t="s">
        <v>2343</v>
      </c>
      <c r="C1" s="1" t="s">
        <v>2761</v>
      </c>
      <c r="D1" s="31" t="s">
        <v>11</v>
      </c>
      <c r="E1" s="1" t="s">
        <v>2780</v>
      </c>
      <c r="F1" s="1" t="s">
        <v>3266</v>
      </c>
    </row>
    <row r="2" spans="1:6" x14ac:dyDescent="0.25">
      <c r="A2" s="27">
        <v>25</v>
      </c>
      <c r="B2" s="27">
        <v>25</v>
      </c>
      <c r="C2" s="28" t="s">
        <v>2406</v>
      </c>
      <c r="D2" s="32" t="s">
        <v>3315</v>
      </c>
      <c r="E2" s="27">
        <v>10</v>
      </c>
      <c r="F2" s="29">
        <v>100100251</v>
      </c>
    </row>
    <row r="3" spans="1:6" x14ac:dyDescent="0.25">
      <c r="A3" s="27">
        <v>32</v>
      </c>
      <c r="B3" s="27">
        <v>32</v>
      </c>
      <c r="C3" s="28" t="s">
        <v>2405</v>
      </c>
      <c r="D3" s="32" t="s">
        <v>3317</v>
      </c>
      <c r="E3" s="25">
        <v>10</v>
      </c>
      <c r="F3" s="29">
        <v>100100321</v>
      </c>
    </row>
    <row r="4" spans="1:6" x14ac:dyDescent="0.25">
      <c r="A4" s="27">
        <v>40</v>
      </c>
      <c r="B4" s="27">
        <v>40</v>
      </c>
      <c r="C4" s="28" t="s">
        <v>2449</v>
      </c>
      <c r="D4" s="32" t="s">
        <v>3318</v>
      </c>
      <c r="E4" s="25">
        <v>10</v>
      </c>
      <c r="F4" s="29">
        <v>100100401</v>
      </c>
    </row>
    <row r="5" spans="1:6" x14ac:dyDescent="0.25">
      <c r="A5" s="27">
        <v>50</v>
      </c>
      <c r="B5" s="27">
        <v>50</v>
      </c>
      <c r="C5" s="28" t="s">
        <v>2452</v>
      </c>
      <c r="D5" s="32" t="s">
        <v>3319</v>
      </c>
      <c r="E5" s="25">
        <v>10</v>
      </c>
      <c r="F5" s="29">
        <v>100100501</v>
      </c>
    </row>
    <row r="6" spans="1:6" x14ac:dyDescent="0.25">
      <c r="A6" s="27">
        <v>63</v>
      </c>
      <c r="B6" s="27">
        <v>63</v>
      </c>
      <c r="C6" s="28">
        <v>3</v>
      </c>
      <c r="D6" s="32" t="s">
        <v>3320</v>
      </c>
      <c r="E6" s="25">
        <v>10</v>
      </c>
      <c r="F6" s="29">
        <v>100100631</v>
      </c>
    </row>
    <row r="7" spans="1:6" x14ac:dyDescent="0.25">
      <c r="A7" s="27">
        <v>75</v>
      </c>
      <c r="B7" s="27">
        <v>75</v>
      </c>
      <c r="C7" s="28" t="s">
        <v>2458</v>
      </c>
      <c r="D7" s="32">
        <v>1.2450000000000001</v>
      </c>
      <c r="E7" s="25">
        <v>10</v>
      </c>
      <c r="F7" s="29">
        <v>100100751</v>
      </c>
    </row>
    <row r="8" spans="1:6" x14ac:dyDescent="0.25">
      <c r="A8" s="27">
        <v>90</v>
      </c>
      <c r="B8" s="27">
        <v>90</v>
      </c>
      <c r="C8" s="28" t="s">
        <v>2465</v>
      </c>
      <c r="D8" s="32">
        <v>1.784</v>
      </c>
      <c r="E8" s="25">
        <v>10</v>
      </c>
      <c r="F8" s="29">
        <v>100100901</v>
      </c>
    </row>
    <row r="9" spans="1:6" x14ac:dyDescent="0.25">
      <c r="A9" s="27">
        <v>110</v>
      </c>
      <c r="B9" s="27">
        <v>110</v>
      </c>
      <c r="C9" s="28" t="s">
        <v>3170</v>
      </c>
      <c r="D9" s="32" t="s">
        <v>3321</v>
      </c>
      <c r="E9" s="25">
        <v>10</v>
      </c>
      <c r="F9" s="29">
        <v>100101101</v>
      </c>
    </row>
    <row r="10" spans="1:6" x14ac:dyDescent="0.25">
      <c r="A10" s="27">
        <v>125</v>
      </c>
      <c r="B10" s="27">
        <v>125</v>
      </c>
      <c r="C10" s="28" t="s">
        <v>2419</v>
      </c>
      <c r="D10" s="32">
        <v>2.782</v>
      </c>
      <c r="E10" s="27">
        <v>10</v>
      </c>
      <c r="F10" s="29">
        <v>100101251</v>
      </c>
    </row>
    <row r="11" spans="1:6" x14ac:dyDescent="0.25">
      <c r="A11" s="27">
        <v>140</v>
      </c>
      <c r="B11" s="27">
        <v>140</v>
      </c>
      <c r="C11" s="28" t="s">
        <v>2469</v>
      </c>
      <c r="D11" s="32">
        <v>3.512</v>
      </c>
      <c r="E11" s="25">
        <v>10</v>
      </c>
      <c r="F11" s="29">
        <v>100101401</v>
      </c>
    </row>
    <row r="12" spans="1:6" x14ac:dyDescent="0.25">
      <c r="A12" s="27">
        <v>160</v>
      </c>
      <c r="B12" s="27">
        <v>160</v>
      </c>
      <c r="C12" s="28" t="s">
        <v>2484</v>
      </c>
      <c r="D12" s="32">
        <v>4.6070000000000002</v>
      </c>
      <c r="E12" s="25">
        <v>10</v>
      </c>
      <c r="F12" s="29">
        <v>100101601</v>
      </c>
    </row>
    <row r="13" spans="1:6" x14ac:dyDescent="0.25">
      <c r="A13" s="27">
        <v>200</v>
      </c>
      <c r="B13" s="27">
        <v>200</v>
      </c>
      <c r="C13" s="28" t="s">
        <v>2653</v>
      </c>
      <c r="D13" s="32">
        <v>7.1230000000000002</v>
      </c>
      <c r="E13" s="25">
        <v>10</v>
      </c>
      <c r="F13" s="29">
        <v>100102001</v>
      </c>
    </row>
    <row r="14" spans="1:6" x14ac:dyDescent="0.25">
      <c r="A14" s="27">
        <v>225</v>
      </c>
      <c r="B14" s="27">
        <v>225</v>
      </c>
      <c r="C14" s="28" t="s">
        <v>3146</v>
      </c>
      <c r="D14" s="32">
        <v>8.9570000000000007</v>
      </c>
      <c r="E14" s="25">
        <v>10</v>
      </c>
      <c r="F14" s="29">
        <v>100102253</v>
      </c>
    </row>
    <row r="15" spans="1:6" x14ac:dyDescent="0.25">
      <c r="A15" s="27">
        <v>250</v>
      </c>
      <c r="B15" s="27">
        <v>250</v>
      </c>
      <c r="C15" s="28" t="s">
        <v>3220</v>
      </c>
      <c r="D15" s="32">
        <v>11.19</v>
      </c>
      <c r="E15" s="25">
        <v>10</v>
      </c>
      <c r="F15" s="29">
        <v>100102503</v>
      </c>
    </row>
    <row r="16" spans="1:6" x14ac:dyDescent="0.25">
      <c r="A16" s="27">
        <v>280</v>
      </c>
      <c r="B16" s="27">
        <v>280</v>
      </c>
      <c r="C16" s="28" t="s">
        <v>2615</v>
      </c>
      <c r="D16" s="32">
        <v>14.007</v>
      </c>
      <c r="E16" s="25">
        <v>10</v>
      </c>
      <c r="F16" s="29">
        <v>100102803</v>
      </c>
    </row>
    <row r="17" spans="1:6" x14ac:dyDescent="0.25">
      <c r="A17" s="27">
        <v>315</v>
      </c>
      <c r="B17" s="27">
        <v>315</v>
      </c>
      <c r="C17" s="28" t="s">
        <v>3322</v>
      </c>
      <c r="D17" s="32">
        <v>17.404</v>
      </c>
      <c r="E17" s="25">
        <v>10</v>
      </c>
      <c r="F17" s="29">
        <v>100103153</v>
      </c>
    </row>
    <row r="18" spans="1:6" x14ac:dyDescent="0.25">
      <c r="A18" s="27">
        <v>355</v>
      </c>
      <c r="B18" s="27">
        <v>355</v>
      </c>
      <c r="C18" s="28" t="s">
        <v>3323</v>
      </c>
      <c r="D18" s="32">
        <v>22.170999999999999</v>
      </c>
      <c r="E18" s="25">
        <v>10</v>
      </c>
      <c r="F18" s="29">
        <v>100103553</v>
      </c>
    </row>
    <row r="19" spans="1:6" x14ac:dyDescent="0.25">
      <c r="A19" s="27">
        <v>400</v>
      </c>
      <c r="B19" s="27">
        <v>400</v>
      </c>
      <c r="C19" s="28" t="s">
        <v>3183</v>
      </c>
      <c r="D19" s="32">
        <v>28.013999999999999</v>
      </c>
      <c r="E19" s="25">
        <v>10</v>
      </c>
      <c r="F19" s="29">
        <v>100104003</v>
      </c>
    </row>
    <row r="20" spans="1:6" x14ac:dyDescent="0.25">
      <c r="A20" s="27">
        <v>450</v>
      </c>
      <c r="B20" s="27">
        <v>450</v>
      </c>
      <c r="C20" s="28" t="s">
        <v>3232</v>
      </c>
      <c r="D20" s="32" t="s">
        <v>3324</v>
      </c>
      <c r="E20" s="25">
        <v>10</v>
      </c>
      <c r="F20" s="29">
        <v>100104503</v>
      </c>
    </row>
    <row r="21" spans="1:6" x14ac:dyDescent="0.25">
      <c r="A21" s="27">
        <v>500</v>
      </c>
      <c r="B21" s="27">
        <v>500</v>
      </c>
      <c r="C21" s="28" t="s">
        <v>3241</v>
      </c>
      <c r="D21" s="32">
        <v>43.975999999999999</v>
      </c>
      <c r="E21" s="25">
        <v>10</v>
      </c>
      <c r="F21" s="29">
        <v>100105003</v>
      </c>
    </row>
    <row r="22" spans="1:6" x14ac:dyDescent="0.25">
      <c r="A22" s="27">
        <v>20</v>
      </c>
      <c r="B22" s="27">
        <v>20</v>
      </c>
      <c r="C22" s="30">
        <v>1.5</v>
      </c>
      <c r="D22" s="32" t="s">
        <v>3325</v>
      </c>
      <c r="E22" s="27">
        <v>16</v>
      </c>
      <c r="F22" s="29">
        <v>100160201</v>
      </c>
    </row>
    <row r="23" spans="1:6" x14ac:dyDescent="0.25">
      <c r="A23" s="25">
        <v>25</v>
      </c>
      <c r="B23" s="25">
        <v>25</v>
      </c>
      <c r="C23" s="30">
        <v>1.9</v>
      </c>
      <c r="D23" s="32" t="s">
        <v>3326</v>
      </c>
      <c r="E23" s="27">
        <v>16</v>
      </c>
      <c r="F23" s="29">
        <v>100160251</v>
      </c>
    </row>
    <row r="24" spans="1:6" x14ac:dyDescent="0.25">
      <c r="A24" s="25">
        <v>32</v>
      </c>
      <c r="B24" s="25">
        <v>32</v>
      </c>
      <c r="C24" s="30">
        <v>2.4</v>
      </c>
      <c r="D24" s="32" t="s">
        <v>3327</v>
      </c>
      <c r="E24" s="27">
        <v>16</v>
      </c>
      <c r="F24" s="29">
        <v>100160321</v>
      </c>
    </row>
    <row r="25" spans="1:6" x14ac:dyDescent="0.25">
      <c r="A25" s="25">
        <v>40</v>
      </c>
      <c r="B25" s="25">
        <v>40</v>
      </c>
      <c r="C25" s="30">
        <v>3</v>
      </c>
      <c r="D25" s="32" t="s">
        <v>3328</v>
      </c>
      <c r="E25" s="27">
        <v>16</v>
      </c>
      <c r="F25" s="29">
        <v>100160401</v>
      </c>
    </row>
    <row r="26" spans="1:6" x14ac:dyDescent="0.25">
      <c r="A26" s="25">
        <v>50</v>
      </c>
      <c r="B26" s="25">
        <v>50</v>
      </c>
      <c r="C26" s="30">
        <v>3.7</v>
      </c>
      <c r="D26" s="32" t="s">
        <v>3329</v>
      </c>
      <c r="E26" s="27">
        <v>16</v>
      </c>
      <c r="F26" s="29">
        <v>100160501</v>
      </c>
    </row>
    <row r="27" spans="1:6" x14ac:dyDescent="0.25">
      <c r="A27" s="25">
        <v>63</v>
      </c>
      <c r="B27" s="25">
        <v>63</v>
      </c>
      <c r="C27" s="30">
        <v>4.7</v>
      </c>
      <c r="D27" s="32">
        <v>1.3129999999999999</v>
      </c>
      <c r="E27" s="27">
        <v>16</v>
      </c>
      <c r="F27" s="29">
        <v>100160631</v>
      </c>
    </row>
    <row r="28" spans="1:6" x14ac:dyDescent="0.25">
      <c r="A28" s="25">
        <v>75</v>
      </c>
      <c r="B28" s="25">
        <v>75</v>
      </c>
      <c r="C28" s="30">
        <v>5.6</v>
      </c>
      <c r="D28" s="32">
        <v>1.86</v>
      </c>
      <c r="E28" s="27">
        <v>16</v>
      </c>
      <c r="F28" s="29">
        <v>100160751</v>
      </c>
    </row>
    <row r="29" spans="1:6" x14ac:dyDescent="0.25">
      <c r="A29" s="25">
        <v>90</v>
      </c>
      <c r="B29" s="25">
        <v>90</v>
      </c>
      <c r="C29" s="30">
        <v>6.7</v>
      </c>
      <c r="D29" s="32">
        <v>2.6629999999999998</v>
      </c>
      <c r="E29" s="27">
        <v>16</v>
      </c>
      <c r="F29" s="29">
        <v>100160901</v>
      </c>
    </row>
    <row r="30" spans="1:6" x14ac:dyDescent="0.25">
      <c r="A30" s="26">
        <v>110</v>
      </c>
      <c r="B30" s="26">
        <v>110</v>
      </c>
      <c r="C30" s="30">
        <v>6.6</v>
      </c>
      <c r="D30" s="32">
        <v>3.2679999999999998</v>
      </c>
      <c r="E30" s="27">
        <v>16</v>
      </c>
      <c r="F30" s="29">
        <v>100161101</v>
      </c>
    </row>
    <row r="31" spans="1:6" x14ac:dyDescent="0.25">
      <c r="A31" s="27">
        <v>125</v>
      </c>
      <c r="B31" s="27">
        <v>125</v>
      </c>
      <c r="C31" s="30">
        <v>7.4</v>
      </c>
      <c r="D31" s="32">
        <v>4.1689999999999996</v>
      </c>
      <c r="E31" s="27">
        <v>16</v>
      </c>
      <c r="F31" s="29">
        <v>100161251</v>
      </c>
    </row>
    <row r="32" spans="1:6" x14ac:dyDescent="0.25">
      <c r="A32" s="26">
        <v>140</v>
      </c>
      <c r="B32" s="26">
        <v>140</v>
      </c>
      <c r="C32" s="30">
        <v>8.3000000000000007</v>
      </c>
      <c r="D32" s="32">
        <v>5.2370000000000001</v>
      </c>
      <c r="E32" s="27">
        <v>16</v>
      </c>
      <c r="F32" s="29">
        <v>100161401</v>
      </c>
    </row>
    <row r="33" spans="1:6" x14ac:dyDescent="0.25">
      <c r="A33" s="26">
        <v>160</v>
      </c>
      <c r="B33" s="26">
        <v>160</v>
      </c>
      <c r="C33" s="30">
        <v>9.5</v>
      </c>
      <c r="D33" s="32">
        <v>6.8390000000000004</v>
      </c>
      <c r="E33" s="27">
        <v>16</v>
      </c>
      <c r="F33" s="29">
        <v>100161601</v>
      </c>
    </row>
    <row r="34" spans="1:6" x14ac:dyDescent="0.25">
      <c r="A34" s="26">
        <v>200</v>
      </c>
      <c r="B34" s="26">
        <v>200</v>
      </c>
      <c r="C34" s="30">
        <v>11.9</v>
      </c>
      <c r="D34" s="32">
        <v>10.616</v>
      </c>
      <c r="E34" s="27">
        <v>16</v>
      </c>
      <c r="F34" s="29">
        <v>100162001</v>
      </c>
    </row>
    <row r="35" spans="1:6" x14ac:dyDescent="0.25">
      <c r="A35" s="26">
        <v>225</v>
      </c>
      <c r="B35" s="26">
        <v>225</v>
      </c>
      <c r="C35" s="30">
        <v>13.4</v>
      </c>
      <c r="D35" s="32">
        <v>13.441000000000001</v>
      </c>
      <c r="E35" s="27">
        <v>16</v>
      </c>
      <c r="F35" s="29">
        <v>100162253</v>
      </c>
    </row>
    <row r="36" spans="1:6" x14ac:dyDescent="0.25">
      <c r="A36" s="26">
        <v>250</v>
      </c>
      <c r="B36" s="26">
        <v>250</v>
      </c>
      <c r="C36" s="30">
        <v>14.8</v>
      </c>
      <c r="D36" s="32">
        <v>16.524000000000001</v>
      </c>
      <c r="E36" s="27">
        <v>16</v>
      </c>
      <c r="F36" s="29">
        <v>100162503</v>
      </c>
    </row>
    <row r="37" spans="1:6" x14ac:dyDescent="0.25">
      <c r="A37" s="26">
        <v>280</v>
      </c>
      <c r="B37" s="26">
        <v>280</v>
      </c>
      <c r="C37" s="30">
        <v>16.600000000000001</v>
      </c>
      <c r="D37" s="32">
        <v>20.423999999999999</v>
      </c>
      <c r="E37" s="27">
        <v>16</v>
      </c>
      <c r="F37" s="29">
        <v>100162803</v>
      </c>
    </row>
    <row r="38" spans="1:6" x14ac:dyDescent="0.25">
      <c r="A38" s="26">
        <v>315</v>
      </c>
      <c r="B38" s="26">
        <v>315</v>
      </c>
      <c r="C38" s="30">
        <v>18.7</v>
      </c>
      <c r="D38" s="32">
        <v>26.815000000000001</v>
      </c>
      <c r="E38" s="27">
        <v>16</v>
      </c>
      <c r="F38" s="29">
        <v>100163153</v>
      </c>
    </row>
    <row r="39" spans="1:6" x14ac:dyDescent="0.25">
      <c r="A39" s="26">
        <v>355</v>
      </c>
      <c r="B39" s="26">
        <v>355</v>
      </c>
      <c r="C39" s="30">
        <v>21.1</v>
      </c>
      <c r="D39" s="32">
        <v>33.634999999999998</v>
      </c>
      <c r="E39" s="27">
        <v>16</v>
      </c>
      <c r="F39" s="29">
        <v>100163553</v>
      </c>
    </row>
    <row r="40" spans="1:6" x14ac:dyDescent="0.25">
      <c r="A40" s="26">
        <v>400</v>
      </c>
      <c r="B40" s="26">
        <v>400</v>
      </c>
      <c r="C40" s="30">
        <v>23.7</v>
      </c>
      <c r="D40" s="32">
        <v>42.811999999999998</v>
      </c>
      <c r="E40" s="27">
        <v>16</v>
      </c>
      <c r="F40" s="29">
        <v>100164003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B52-8F07-4459-B61E-48E3ACF57B51}">
  <sheetPr codeName="Лист22"/>
  <dimension ref="A1:H181"/>
  <sheetViews>
    <sheetView workbookViewId="0">
      <selection activeCell="L14" sqref="L14"/>
    </sheetView>
  </sheetViews>
  <sheetFormatPr defaultRowHeight="15" x14ac:dyDescent="0.25"/>
  <sheetData>
    <row r="1" spans="1:8" ht="18.75" customHeight="1" x14ac:dyDescent="0.25">
      <c r="A1" s="11" t="s">
        <v>2381</v>
      </c>
      <c r="B1" s="11" t="s">
        <v>12</v>
      </c>
      <c r="C1" s="11" t="s">
        <v>3144</v>
      </c>
      <c r="D1" s="11" t="s">
        <v>2982</v>
      </c>
      <c r="E1" s="11" t="s">
        <v>2387</v>
      </c>
      <c r="F1" s="11" t="s">
        <v>3150</v>
      </c>
      <c r="G1" s="11" t="s">
        <v>3356</v>
      </c>
      <c r="H1" t="s">
        <v>3406</v>
      </c>
    </row>
    <row r="2" spans="1:8" ht="19.5" x14ac:dyDescent="0.25">
      <c r="A2" s="33">
        <v>20</v>
      </c>
      <c r="B2" s="33">
        <v>20</v>
      </c>
      <c r="C2" s="35">
        <v>11</v>
      </c>
      <c r="D2" s="34">
        <v>16</v>
      </c>
      <c r="E2" s="34" t="s">
        <v>3348</v>
      </c>
      <c r="F2" s="34">
        <v>90</v>
      </c>
      <c r="G2" s="34" t="s">
        <v>3383</v>
      </c>
      <c r="H2" s="37">
        <v>16</v>
      </c>
    </row>
    <row r="3" spans="1:8" ht="19.5" x14ac:dyDescent="0.25">
      <c r="A3" s="33">
        <v>25</v>
      </c>
      <c r="B3" s="33">
        <v>25</v>
      </c>
      <c r="C3" s="36">
        <v>13.5</v>
      </c>
      <c r="D3" s="34">
        <v>16</v>
      </c>
      <c r="E3" s="34" t="s">
        <v>3349</v>
      </c>
      <c r="F3" s="34">
        <v>90</v>
      </c>
      <c r="G3" s="34" t="s">
        <v>3330</v>
      </c>
      <c r="H3" s="34">
        <v>18.5</v>
      </c>
    </row>
    <row r="4" spans="1:8" ht="19.5" x14ac:dyDescent="0.25">
      <c r="A4" s="33">
        <v>32</v>
      </c>
      <c r="B4" s="33">
        <v>32</v>
      </c>
      <c r="C4" s="35">
        <v>17</v>
      </c>
      <c r="D4" s="34">
        <v>16</v>
      </c>
      <c r="E4" s="34" t="s">
        <v>3349</v>
      </c>
      <c r="F4" s="34">
        <v>90</v>
      </c>
      <c r="G4" s="34" t="s">
        <v>3331</v>
      </c>
      <c r="H4" s="37">
        <v>22</v>
      </c>
    </row>
    <row r="5" spans="1:8" ht="19.5" x14ac:dyDescent="0.25">
      <c r="A5" s="33">
        <v>40</v>
      </c>
      <c r="B5" s="33">
        <v>40</v>
      </c>
      <c r="C5" s="35">
        <v>21</v>
      </c>
      <c r="D5" s="34">
        <v>16</v>
      </c>
      <c r="E5" s="34" t="s">
        <v>3350</v>
      </c>
      <c r="F5" s="34">
        <v>90</v>
      </c>
      <c r="G5" s="34" t="s">
        <v>3332</v>
      </c>
      <c r="H5" s="37">
        <v>26</v>
      </c>
    </row>
    <row r="6" spans="1:8" ht="19.5" x14ac:dyDescent="0.25">
      <c r="A6" s="33">
        <v>50</v>
      </c>
      <c r="B6" s="33">
        <v>50</v>
      </c>
      <c r="C6" s="35">
        <v>26</v>
      </c>
      <c r="D6" s="34">
        <v>16</v>
      </c>
      <c r="E6" s="34" t="s">
        <v>3351</v>
      </c>
      <c r="F6" s="34">
        <v>90</v>
      </c>
      <c r="G6" s="34" t="s">
        <v>3333</v>
      </c>
      <c r="H6" s="37">
        <v>31</v>
      </c>
    </row>
    <row r="7" spans="1:8" ht="19.5" x14ac:dyDescent="0.25">
      <c r="A7" s="33">
        <v>63</v>
      </c>
      <c r="B7" s="33">
        <v>63</v>
      </c>
      <c r="C7" s="36">
        <v>32.5</v>
      </c>
      <c r="D7" s="34">
        <v>16</v>
      </c>
      <c r="E7" s="34" t="s">
        <v>3352</v>
      </c>
      <c r="F7" s="34">
        <v>90</v>
      </c>
      <c r="G7" s="34" t="s">
        <v>3334</v>
      </c>
      <c r="H7" s="37">
        <v>38</v>
      </c>
    </row>
    <row r="8" spans="1:8" ht="19.5" x14ac:dyDescent="0.25">
      <c r="A8" s="33">
        <v>75</v>
      </c>
      <c r="B8" s="33">
        <v>75</v>
      </c>
      <c r="C8" s="36">
        <v>38.5</v>
      </c>
      <c r="D8" s="34">
        <v>16</v>
      </c>
      <c r="E8" s="34" t="s">
        <v>3353</v>
      </c>
      <c r="F8" s="34">
        <v>90</v>
      </c>
      <c r="G8" s="34" t="s">
        <v>3335</v>
      </c>
      <c r="H8" s="34">
        <v>43.5</v>
      </c>
    </row>
    <row r="9" spans="1:8" ht="19.5" x14ac:dyDescent="0.25">
      <c r="A9" s="33">
        <v>90</v>
      </c>
      <c r="B9" s="33">
        <v>90</v>
      </c>
      <c r="C9" s="35">
        <v>46</v>
      </c>
      <c r="D9" s="34">
        <v>16</v>
      </c>
      <c r="E9" s="34" t="s">
        <v>3354</v>
      </c>
      <c r="F9" s="34">
        <v>90</v>
      </c>
      <c r="G9" s="34" t="s">
        <v>3336</v>
      </c>
      <c r="H9" s="37">
        <v>51</v>
      </c>
    </row>
    <row r="10" spans="1:8" ht="19.5" x14ac:dyDescent="0.25">
      <c r="A10" s="33">
        <v>110</v>
      </c>
      <c r="B10" s="33">
        <v>110</v>
      </c>
      <c r="C10" s="35">
        <v>56</v>
      </c>
      <c r="D10" s="34">
        <v>16</v>
      </c>
      <c r="E10" s="34" t="s">
        <v>3355</v>
      </c>
      <c r="F10" s="34">
        <v>90</v>
      </c>
      <c r="G10" s="34" t="s">
        <v>3337</v>
      </c>
      <c r="H10" s="37">
        <v>61</v>
      </c>
    </row>
    <row r="11" spans="1:8" ht="19.5" x14ac:dyDescent="0.25">
      <c r="A11" s="33">
        <v>125</v>
      </c>
      <c r="B11" s="33">
        <v>125</v>
      </c>
      <c r="C11" s="36">
        <v>63.5</v>
      </c>
      <c r="D11" s="34">
        <v>16</v>
      </c>
      <c r="E11" s="34">
        <v>1.1499999999999999</v>
      </c>
      <c r="F11" s="34">
        <v>90</v>
      </c>
      <c r="G11" s="34" t="s">
        <v>3338</v>
      </c>
      <c r="H11" s="34">
        <v>68.5</v>
      </c>
    </row>
    <row r="12" spans="1:8" ht="19.5" x14ac:dyDescent="0.25">
      <c r="A12" s="33">
        <v>140</v>
      </c>
      <c r="B12" s="33">
        <v>140</v>
      </c>
      <c r="C12" s="35">
        <v>71</v>
      </c>
      <c r="D12" s="34">
        <v>16</v>
      </c>
      <c r="E12" s="34">
        <v>1.53</v>
      </c>
      <c r="F12" s="34">
        <v>90</v>
      </c>
      <c r="G12" s="34" t="s">
        <v>3339</v>
      </c>
      <c r="H12" s="37">
        <v>76</v>
      </c>
    </row>
    <row r="13" spans="1:8" ht="19.5" x14ac:dyDescent="0.25">
      <c r="A13" s="33">
        <v>160</v>
      </c>
      <c r="B13" s="33">
        <v>160</v>
      </c>
      <c r="C13" s="35">
        <v>81</v>
      </c>
      <c r="D13" s="34">
        <v>16</v>
      </c>
      <c r="E13" s="34">
        <v>2.25</v>
      </c>
      <c r="F13" s="34">
        <v>90</v>
      </c>
      <c r="G13" s="34" t="s">
        <v>3340</v>
      </c>
      <c r="H13" s="37">
        <v>86</v>
      </c>
    </row>
    <row r="14" spans="1:8" ht="19.5" x14ac:dyDescent="0.25">
      <c r="A14" s="33">
        <v>200</v>
      </c>
      <c r="B14" s="33">
        <v>200</v>
      </c>
      <c r="C14" s="36">
        <v>101</v>
      </c>
      <c r="D14" s="34">
        <v>16</v>
      </c>
      <c r="E14" s="34">
        <v>4.6500000000000004</v>
      </c>
      <c r="F14" s="34">
        <v>90</v>
      </c>
      <c r="G14" s="34" t="s">
        <v>3341</v>
      </c>
      <c r="H14" s="34">
        <v>106</v>
      </c>
    </row>
    <row r="15" spans="1:8" ht="19.5" x14ac:dyDescent="0.25">
      <c r="A15" s="33">
        <v>225</v>
      </c>
      <c r="B15" s="33">
        <v>225</v>
      </c>
      <c r="C15" s="35">
        <v>114</v>
      </c>
      <c r="D15" s="34">
        <v>10</v>
      </c>
      <c r="E15" s="34">
        <v>4.83</v>
      </c>
      <c r="F15" s="34">
        <v>90</v>
      </c>
      <c r="G15" s="34" t="s">
        <v>3342</v>
      </c>
      <c r="H15" s="34">
        <v>118.5</v>
      </c>
    </row>
    <row r="16" spans="1:8" ht="19.5" x14ac:dyDescent="0.25">
      <c r="A16" s="33">
        <v>250</v>
      </c>
      <c r="B16" s="33">
        <v>250</v>
      </c>
      <c r="C16" s="36">
        <v>131</v>
      </c>
      <c r="D16" s="34">
        <v>10</v>
      </c>
      <c r="E16" s="34">
        <v>6.97</v>
      </c>
      <c r="F16" s="34">
        <v>90</v>
      </c>
      <c r="G16" s="34" t="s">
        <v>3343</v>
      </c>
      <c r="H16" s="34">
        <v>131</v>
      </c>
    </row>
    <row r="17" spans="1:8" ht="19.5" x14ac:dyDescent="0.25">
      <c r="A17" s="33">
        <v>280</v>
      </c>
      <c r="B17" s="33">
        <v>280</v>
      </c>
      <c r="C17" s="36">
        <v>141</v>
      </c>
      <c r="D17" s="34">
        <v>10</v>
      </c>
      <c r="E17" s="34">
        <v>8.5500000000000007</v>
      </c>
      <c r="F17" s="34">
        <v>90</v>
      </c>
      <c r="G17" s="34" t="s">
        <v>3344</v>
      </c>
      <c r="H17" s="34">
        <v>146</v>
      </c>
    </row>
    <row r="18" spans="1:8" ht="19.5" x14ac:dyDescent="0.25">
      <c r="A18" s="33">
        <v>315</v>
      </c>
      <c r="B18" s="33">
        <v>315</v>
      </c>
      <c r="C18" s="36">
        <v>163</v>
      </c>
      <c r="D18" s="34">
        <v>10</v>
      </c>
      <c r="E18" s="34">
        <v>12.3</v>
      </c>
      <c r="F18" s="34">
        <v>90</v>
      </c>
      <c r="G18" s="34" t="s">
        <v>3345</v>
      </c>
      <c r="H18" s="34">
        <v>163.5</v>
      </c>
    </row>
    <row r="19" spans="1:8" ht="19.5" x14ac:dyDescent="0.25">
      <c r="A19" s="33">
        <v>355</v>
      </c>
      <c r="B19" s="33">
        <v>355</v>
      </c>
      <c r="C19" s="36">
        <v>184</v>
      </c>
      <c r="D19" s="34">
        <v>10</v>
      </c>
      <c r="E19" s="34">
        <v>17.5</v>
      </c>
      <c r="F19" s="34">
        <v>90</v>
      </c>
      <c r="G19" s="34" t="s">
        <v>3346</v>
      </c>
      <c r="H19" s="34">
        <v>183.5</v>
      </c>
    </row>
    <row r="20" spans="1:8" ht="19.5" x14ac:dyDescent="0.25">
      <c r="A20" s="33">
        <v>400</v>
      </c>
      <c r="B20" s="33">
        <v>400</v>
      </c>
      <c r="C20" s="36">
        <v>206</v>
      </c>
      <c r="D20" s="34">
        <v>10</v>
      </c>
      <c r="E20" s="34">
        <v>23.5</v>
      </c>
      <c r="F20" s="34">
        <v>90</v>
      </c>
      <c r="G20" s="34" t="s">
        <v>3347</v>
      </c>
      <c r="H20" s="34">
        <v>206</v>
      </c>
    </row>
    <row r="21" spans="1:8" ht="19.5" x14ac:dyDescent="0.25">
      <c r="A21" s="33">
        <v>20</v>
      </c>
      <c r="B21" s="33">
        <v>20</v>
      </c>
      <c r="C21" s="35">
        <v>5</v>
      </c>
      <c r="D21" s="34">
        <v>16</v>
      </c>
      <c r="E21" s="37" t="s">
        <v>3348</v>
      </c>
      <c r="F21" s="34">
        <v>45</v>
      </c>
      <c r="G21" s="37" t="s">
        <v>3357</v>
      </c>
      <c r="H21" s="37">
        <v>16</v>
      </c>
    </row>
    <row r="22" spans="1:8" ht="19.5" x14ac:dyDescent="0.25">
      <c r="A22" s="33">
        <v>25</v>
      </c>
      <c r="B22" s="33">
        <v>25</v>
      </c>
      <c r="C22" s="35">
        <v>6</v>
      </c>
      <c r="D22" s="34">
        <v>16</v>
      </c>
      <c r="E22" s="37" t="s">
        <v>3348</v>
      </c>
      <c r="F22" s="34">
        <v>45</v>
      </c>
      <c r="G22" s="37" t="s">
        <v>3358</v>
      </c>
      <c r="H22" s="34">
        <v>18.5</v>
      </c>
    </row>
    <row r="23" spans="1:8" ht="19.5" x14ac:dyDescent="0.25">
      <c r="A23" s="33">
        <v>32</v>
      </c>
      <c r="B23" s="33">
        <v>32</v>
      </c>
      <c r="C23" s="36">
        <v>7.5</v>
      </c>
      <c r="D23" s="34">
        <v>16</v>
      </c>
      <c r="E23" s="37" t="s">
        <v>3349</v>
      </c>
      <c r="F23" s="34">
        <v>45</v>
      </c>
      <c r="G23" s="37" t="s">
        <v>3359</v>
      </c>
      <c r="H23" s="37">
        <v>22</v>
      </c>
    </row>
    <row r="24" spans="1:8" ht="15" customHeight="1" x14ac:dyDescent="0.25">
      <c r="A24" s="33">
        <v>40</v>
      </c>
      <c r="B24" s="33">
        <v>40</v>
      </c>
      <c r="C24" s="36">
        <v>9.5</v>
      </c>
      <c r="D24" s="34">
        <v>16</v>
      </c>
      <c r="E24" s="37" t="s">
        <v>3375</v>
      </c>
      <c r="F24" s="34">
        <v>45</v>
      </c>
      <c r="G24" s="37" t="s">
        <v>3360</v>
      </c>
      <c r="H24" s="37">
        <v>26</v>
      </c>
    </row>
    <row r="25" spans="1:8" ht="19.5" x14ac:dyDescent="0.25">
      <c r="A25" s="33">
        <v>50</v>
      </c>
      <c r="B25" s="33">
        <v>50</v>
      </c>
      <c r="C25" s="36">
        <v>11.5</v>
      </c>
      <c r="D25" s="34">
        <v>16</v>
      </c>
      <c r="E25" s="37" t="s">
        <v>3376</v>
      </c>
      <c r="F25" s="34">
        <v>45</v>
      </c>
      <c r="G25" s="37" t="s">
        <v>3361</v>
      </c>
      <c r="H25" s="37">
        <v>31</v>
      </c>
    </row>
    <row r="26" spans="1:8" ht="19.5" x14ac:dyDescent="0.25">
      <c r="A26" s="33">
        <v>63</v>
      </c>
      <c r="B26" s="33">
        <v>63</v>
      </c>
      <c r="C26" s="35">
        <v>14</v>
      </c>
      <c r="D26" s="34">
        <v>16</v>
      </c>
      <c r="E26" s="37" t="s">
        <v>3377</v>
      </c>
      <c r="F26" s="34">
        <v>45</v>
      </c>
      <c r="G26" s="37" t="s">
        <v>3362</v>
      </c>
      <c r="H26" s="37">
        <v>38</v>
      </c>
    </row>
    <row r="27" spans="1:8" ht="19.5" x14ac:dyDescent="0.25">
      <c r="A27" s="33">
        <v>75</v>
      </c>
      <c r="B27" s="33">
        <v>75</v>
      </c>
      <c r="C27" s="36">
        <v>16.5</v>
      </c>
      <c r="D27" s="34">
        <v>16</v>
      </c>
      <c r="E27" s="37" t="s">
        <v>3378</v>
      </c>
      <c r="F27" s="34">
        <v>45</v>
      </c>
      <c r="G27" s="37" t="s">
        <v>3363</v>
      </c>
      <c r="H27" s="34">
        <v>43.5</v>
      </c>
    </row>
    <row r="28" spans="1:8" ht="19.5" x14ac:dyDescent="0.25">
      <c r="A28" s="33">
        <v>90</v>
      </c>
      <c r="B28" s="33">
        <v>90</v>
      </c>
      <c r="C28" s="36">
        <v>19.5</v>
      </c>
      <c r="D28" s="34">
        <v>16</v>
      </c>
      <c r="E28" s="37" t="s">
        <v>3379</v>
      </c>
      <c r="F28" s="34">
        <v>45</v>
      </c>
      <c r="G28" s="37" t="s">
        <v>3364</v>
      </c>
      <c r="H28" s="37">
        <v>51</v>
      </c>
    </row>
    <row r="29" spans="1:8" ht="19.5" x14ac:dyDescent="0.25">
      <c r="A29" s="33">
        <v>110</v>
      </c>
      <c r="B29" s="33">
        <v>110</v>
      </c>
      <c r="C29" s="35">
        <v>24</v>
      </c>
      <c r="D29" s="34">
        <v>16</v>
      </c>
      <c r="E29" s="37" t="s">
        <v>3380</v>
      </c>
      <c r="F29" s="34">
        <v>45</v>
      </c>
      <c r="G29" s="37" t="s">
        <v>3365</v>
      </c>
      <c r="H29" s="37">
        <v>61</v>
      </c>
    </row>
    <row r="30" spans="1:8" ht="19.5" x14ac:dyDescent="0.25">
      <c r="A30" s="33">
        <v>125</v>
      </c>
      <c r="B30" s="33">
        <v>125</v>
      </c>
      <c r="C30" s="35">
        <v>27</v>
      </c>
      <c r="D30" s="34">
        <v>16</v>
      </c>
      <c r="E30" s="37" t="s">
        <v>3381</v>
      </c>
      <c r="F30" s="34">
        <v>45</v>
      </c>
      <c r="G30" s="37" t="s">
        <v>3366</v>
      </c>
      <c r="H30" s="34">
        <v>68.5</v>
      </c>
    </row>
    <row r="31" spans="1:8" ht="19.5" x14ac:dyDescent="0.25">
      <c r="A31" s="33">
        <v>140</v>
      </c>
      <c r="B31" s="33">
        <v>140</v>
      </c>
      <c r="C31" s="35">
        <v>30</v>
      </c>
      <c r="D31" s="34">
        <v>16</v>
      </c>
      <c r="E31" s="37">
        <v>1.35</v>
      </c>
      <c r="F31" s="34">
        <v>45</v>
      </c>
      <c r="G31" s="37" t="s">
        <v>3367</v>
      </c>
      <c r="H31" s="37">
        <v>76</v>
      </c>
    </row>
    <row r="32" spans="1:8" ht="19.5" x14ac:dyDescent="0.25">
      <c r="A32" s="33">
        <v>160</v>
      </c>
      <c r="B32" s="33">
        <v>160</v>
      </c>
      <c r="C32" s="35">
        <v>34</v>
      </c>
      <c r="D32" s="34">
        <v>16</v>
      </c>
      <c r="E32" s="37">
        <v>2</v>
      </c>
      <c r="F32" s="34">
        <v>45</v>
      </c>
      <c r="G32" s="37" t="s">
        <v>3368</v>
      </c>
      <c r="H32" s="37">
        <v>86</v>
      </c>
    </row>
    <row r="33" spans="1:8" ht="19.5" x14ac:dyDescent="0.25">
      <c r="A33" s="33">
        <v>200</v>
      </c>
      <c r="B33" s="33">
        <v>200</v>
      </c>
      <c r="C33" s="35">
        <v>43</v>
      </c>
      <c r="D33" s="34">
        <v>10</v>
      </c>
      <c r="E33" s="37">
        <v>3.7</v>
      </c>
      <c r="F33" s="34">
        <v>45</v>
      </c>
      <c r="G33" s="37" t="s">
        <v>3369</v>
      </c>
      <c r="H33" s="34">
        <v>106</v>
      </c>
    </row>
    <row r="34" spans="1:8" ht="19.5" x14ac:dyDescent="0.25">
      <c r="A34" s="33">
        <v>225</v>
      </c>
      <c r="B34" s="33">
        <v>225</v>
      </c>
      <c r="C34" s="35">
        <v>48</v>
      </c>
      <c r="D34" s="34">
        <v>10</v>
      </c>
      <c r="E34" s="37">
        <v>4</v>
      </c>
      <c r="F34" s="34">
        <v>45</v>
      </c>
      <c r="G34" s="37" t="s">
        <v>3370</v>
      </c>
      <c r="H34" s="34">
        <v>118.5</v>
      </c>
    </row>
    <row r="35" spans="1:8" ht="19.5" x14ac:dyDescent="0.25">
      <c r="A35" s="33">
        <v>250</v>
      </c>
      <c r="B35" s="33">
        <v>250</v>
      </c>
      <c r="C35" s="35">
        <v>53</v>
      </c>
      <c r="D35" s="34">
        <v>10</v>
      </c>
      <c r="E35" s="37">
        <v>5.47</v>
      </c>
      <c r="F35" s="34">
        <v>45</v>
      </c>
      <c r="G35" s="37" t="s">
        <v>3371</v>
      </c>
      <c r="H35" s="34">
        <v>131</v>
      </c>
    </row>
    <row r="36" spans="1:8" ht="19.5" x14ac:dyDescent="0.25">
      <c r="A36" s="33">
        <v>280</v>
      </c>
      <c r="B36" s="33">
        <v>280</v>
      </c>
      <c r="C36" s="35">
        <v>59</v>
      </c>
      <c r="D36" s="34">
        <v>10</v>
      </c>
      <c r="E36" s="37">
        <v>7.51</v>
      </c>
      <c r="F36" s="34">
        <v>45</v>
      </c>
      <c r="G36" s="37" t="s">
        <v>3382</v>
      </c>
      <c r="H36" s="34">
        <v>146</v>
      </c>
    </row>
    <row r="37" spans="1:8" ht="19.5" x14ac:dyDescent="0.25">
      <c r="A37" s="33">
        <v>315</v>
      </c>
      <c r="B37" s="33">
        <v>315</v>
      </c>
      <c r="C37" s="35">
        <v>63</v>
      </c>
      <c r="D37" s="34">
        <v>10</v>
      </c>
      <c r="E37" s="37">
        <v>9.1999999999999993</v>
      </c>
      <c r="F37" s="34">
        <v>45</v>
      </c>
      <c r="G37" s="37" t="s">
        <v>3372</v>
      </c>
      <c r="H37" s="34">
        <v>163.5</v>
      </c>
    </row>
    <row r="38" spans="1:8" ht="19.5" x14ac:dyDescent="0.25">
      <c r="A38" s="33">
        <v>355</v>
      </c>
      <c r="B38" s="33">
        <v>355</v>
      </c>
      <c r="C38" s="35">
        <v>67</v>
      </c>
      <c r="D38" s="34">
        <v>10</v>
      </c>
      <c r="E38" s="37">
        <v>9.65</v>
      </c>
      <c r="F38" s="34">
        <v>45</v>
      </c>
      <c r="G38" s="37" t="s">
        <v>3373</v>
      </c>
      <c r="H38" s="34">
        <v>183.5</v>
      </c>
    </row>
    <row r="39" spans="1:8" ht="19.5" x14ac:dyDescent="0.25">
      <c r="A39" s="33">
        <v>400</v>
      </c>
      <c r="B39" s="33">
        <v>400</v>
      </c>
      <c r="C39" s="35">
        <v>72</v>
      </c>
      <c r="D39" s="34">
        <v>10</v>
      </c>
      <c r="E39" s="37">
        <v>5</v>
      </c>
      <c r="F39" s="34">
        <v>45</v>
      </c>
      <c r="G39" s="37" t="s">
        <v>3374</v>
      </c>
      <c r="H39" s="34">
        <v>206</v>
      </c>
    </row>
    <row r="40" spans="1:8" x14ac:dyDescent="0.25">
      <c r="A40" s="11"/>
      <c r="C40" s="11"/>
      <c r="E40" s="11"/>
    </row>
    <row r="41" spans="1:8" x14ac:dyDescent="0.25">
      <c r="A41" s="11"/>
      <c r="C41" s="11"/>
      <c r="E41" s="11"/>
    </row>
    <row r="42" spans="1:8" x14ac:dyDescent="0.25">
      <c r="A42" s="11"/>
      <c r="C42" s="11"/>
      <c r="E42" s="11"/>
    </row>
    <row r="43" spans="1:8" x14ac:dyDescent="0.25">
      <c r="A43" s="11"/>
      <c r="C43" s="11"/>
      <c r="E43" s="11"/>
    </row>
    <row r="44" spans="1:8" x14ac:dyDescent="0.25">
      <c r="A44" s="11"/>
      <c r="C44" s="11"/>
      <c r="E44" s="11"/>
    </row>
    <row r="45" spans="1:8" x14ac:dyDescent="0.25">
      <c r="A45" s="11"/>
      <c r="C45" s="11"/>
      <c r="E45" s="11"/>
    </row>
    <row r="46" spans="1:8" x14ac:dyDescent="0.25">
      <c r="A46" s="11"/>
      <c r="C46" s="11"/>
      <c r="E46" s="11"/>
    </row>
    <row r="47" spans="1:8" x14ac:dyDescent="0.25">
      <c r="A47" s="11"/>
      <c r="C47" s="11"/>
      <c r="E47" s="11"/>
    </row>
    <row r="48" spans="1:8" x14ac:dyDescent="0.25">
      <c r="A48" s="11"/>
      <c r="C48" s="11"/>
      <c r="E48" s="11"/>
    </row>
    <row r="49" spans="1:5" x14ac:dyDescent="0.25">
      <c r="A49" s="11"/>
      <c r="C49" s="11"/>
      <c r="E49" s="11"/>
    </row>
    <row r="50" spans="1:5" x14ac:dyDescent="0.25">
      <c r="A50" s="11"/>
      <c r="C50" s="11"/>
      <c r="E50" s="11"/>
    </row>
    <row r="51" spans="1:5" x14ac:dyDescent="0.25">
      <c r="A51" s="11"/>
      <c r="C51" s="11"/>
      <c r="E51" s="11"/>
    </row>
    <row r="52" spans="1:5" x14ac:dyDescent="0.25">
      <c r="A52" s="11"/>
      <c r="C52" s="11"/>
      <c r="E52" s="11"/>
    </row>
    <row r="53" spans="1:5" x14ac:dyDescent="0.25">
      <c r="A53" s="11"/>
      <c r="C53" s="11"/>
      <c r="E53" s="11"/>
    </row>
    <row r="54" spans="1:5" x14ac:dyDescent="0.25">
      <c r="A54" s="11"/>
      <c r="C54" s="11"/>
      <c r="E54" s="11"/>
    </row>
    <row r="55" spans="1:5" x14ac:dyDescent="0.25">
      <c r="A55" s="11"/>
      <c r="C55" s="11"/>
      <c r="E55" s="11"/>
    </row>
    <row r="56" spans="1:5" x14ac:dyDescent="0.25">
      <c r="A56" s="11"/>
      <c r="C56" s="11"/>
      <c r="E56" s="11"/>
    </row>
    <row r="57" spans="1:5" x14ac:dyDescent="0.25">
      <c r="A57" s="11"/>
      <c r="C57" s="11"/>
      <c r="E57" s="11"/>
    </row>
    <row r="58" spans="1:5" x14ac:dyDescent="0.25">
      <c r="A58" s="11"/>
      <c r="C58" s="11"/>
      <c r="E58" s="11"/>
    </row>
    <row r="59" spans="1:5" ht="15" customHeight="1" x14ac:dyDescent="0.25">
      <c r="A59" s="11"/>
      <c r="C59" s="11"/>
      <c r="E59" s="11"/>
    </row>
    <row r="60" spans="1:5" x14ac:dyDescent="0.25">
      <c r="A60" s="11"/>
      <c r="C60" s="11"/>
      <c r="E60" s="11"/>
    </row>
    <row r="61" spans="1:5" x14ac:dyDescent="0.25">
      <c r="A61" s="11"/>
      <c r="C61" s="11"/>
      <c r="E61" s="11"/>
    </row>
    <row r="62" spans="1:5" x14ac:dyDescent="0.25">
      <c r="A62" s="11"/>
      <c r="C62" s="11"/>
      <c r="E62" s="11"/>
    </row>
    <row r="63" spans="1:5" x14ac:dyDescent="0.25">
      <c r="A63" s="11"/>
      <c r="C63" s="11"/>
      <c r="E63" s="11"/>
    </row>
    <row r="64" spans="1:5" x14ac:dyDescent="0.25">
      <c r="A64" s="11"/>
      <c r="C64" s="11"/>
      <c r="E64" s="11"/>
    </row>
    <row r="65" spans="1:5" x14ac:dyDescent="0.25">
      <c r="A65" s="11"/>
      <c r="C65" s="11"/>
      <c r="E65" s="11"/>
    </row>
    <row r="66" spans="1:5" x14ac:dyDescent="0.25">
      <c r="A66" s="11"/>
      <c r="C66" s="11"/>
      <c r="E66" s="11"/>
    </row>
    <row r="67" spans="1:5" x14ac:dyDescent="0.25">
      <c r="A67" s="11"/>
      <c r="C67" s="11"/>
      <c r="E67" s="11"/>
    </row>
    <row r="68" spans="1:5" x14ac:dyDescent="0.25">
      <c r="A68" s="11"/>
      <c r="C68" s="11"/>
      <c r="E68" s="11"/>
    </row>
    <row r="69" spans="1:5" x14ac:dyDescent="0.25">
      <c r="A69" s="11"/>
      <c r="C69" s="11"/>
      <c r="E69" s="11"/>
    </row>
    <row r="70" spans="1:5" x14ac:dyDescent="0.25">
      <c r="A70" s="11"/>
      <c r="C70" s="11"/>
      <c r="E70" s="11"/>
    </row>
    <row r="71" spans="1:5" x14ac:dyDescent="0.25">
      <c r="A71" s="11"/>
      <c r="C71" s="11"/>
      <c r="E71" s="11"/>
    </row>
    <row r="72" spans="1:5" x14ac:dyDescent="0.25">
      <c r="A72" s="11"/>
      <c r="C72" s="11"/>
      <c r="E72" s="11"/>
    </row>
    <row r="73" spans="1:5" x14ac:dyDescent="0.25">
      <c r="A73" s="11"/>
      <c r="C73" s="11"/>
      <c r="E73" s="11"/>
    </row>
    <row r="74" spans="1:5" x14ac:dyDescent="0.25">
      <c r="A74" s="11"/>
      <c r="C74" s="11"/>
      <c r="E74" s="11"/>
    </row>
    <row r="75" spans="1:5" x14ac:dyDescent="0.25">
      <c r="A75" s="11"/>
      <c r="C75" s="11"/>
      <c r="E75" s="11"/>
    </row>
    <row r="76" spans="1:5" x14ac:dyDescent="0.25">
      <c r="A76" s="11"/>
      <c r="C76" s="11"/>
      <c r="E76" s="11"/>
    </row>
    <row r="77" spans="1:5" x14ac:dyDescent="0.25">
      <c r="A77" s="11"/>
      <c r="C77" s="11"/>
      <c r="E77" s="11"/>
    </row>
    <row r="78" spans="1:5" x14ac:dyDescent="0.25">
      <c r="A78" s="11"/>
      <c r="C78" s="11"/>
      <c r="E78" s="11"/>
    </row>
    <row r="79" spans="1:5" x14ac:dyDescent="0.25">
      <c r="A79" s="11"/>
      <c r="C79" s="11"/>
      <c r="E79" s="11"/>
    </row>
    <row r="80" spans="1:5" x14ac:dyDescent="0.25">
      <c r="A80" s="11"/>
      <c r="C80" s="11"/>
      <c r="E80" s="11"/>
    </row>
    <row r="81" spans="1:5" x14ac:dyDescent="0.25">
      <c r="A81" s="11"/>
      <c r="C81" s="11"/>
      <c r="E81" s="11"/>
    </row>
    <row r="82" spans="1:5" x14ac:dyDescent="0.25">
      <c r="A82" s="11"/>
      <c r="C82" s="11"/>
      <c r="E82" s="11"/>
    </row>
    <row r="83" spans="1:5" x14ac:dyDescent="0.25">
      <c r="A83" s="11"/>
      <c r="C83" s="11"/>
      <c r="E83" s="11"/>
    </row>
    <row r="84" spans="1:5" x14ac:dyDescent="0.25">
      <c r="A84" s="11"/>
      <c r="C84" s="11"/>
      <c r="E84" s="11"/>
    </row>
    <row r="85" spans="1:5" x14ac:dyDescent="0.25">
      <c r="A85" s="11"/>
      <c r="C85" s="11"/>
      <c r="E85" s="11"/>
    </row>
    <row r="86" spans="1:5" x14ac:dyDescent="0.25">
      <c r="A86" s="11"/>
      <c r="C86" s="11"/>
      <c r="E86" s="11"/>
    </row>
    <row r="87" spans="1:5" x14ac:dyDescent="0.25">
      <c r="A87" s="11"/>
      <c r="C87" s="11"/>
      <c r="E87" s="11"/>
    </row>
    <row r="88" spans="1:5" x14ac:dyDescent="0.25">
      <c r="A88" s="11"/>
      <c r="C88" s="11"/>
      <c r="E88" s="11"/>
    </row>
    <row r="89" spans="1:5" x14ac:dyDescent="0.25">
      <c r="A89" s="11"/>
      <c r="C89" s="11"/>
      <c r="E89" s="11"/>
    </row>
    <row r="90" spans="1:5" x14ac:dyDescent="0.25">
      <c r="A90" s="11"/>
      <c r="C90" s="11"/>
      <c r="E90" s="11"/>
    </row>
    <row r="91" spans="1:5" x14ac:dyDescent="0.25">
      <c r="A91" s="11"/>
      <c r="C91" s="11"/>
      <c r="E91" s="11"/>
    </row>
    <row r="92" spans="1:5" x14ac:dyDescent="0.25">
      <c r="A92" s="11"/>
      <c r="C92" s="11"/>
      <c r="E92" s="11"/>
    </row>
    <row r="93" spans="1:5" x14ac:dyDescent="0.25">
      <c r="A93" s="11"/>
      <c r="C93" s="11"/>
      <c r="E93" s="11"/>
    </row>
    <row r="94" spans="1:5" x14ac:dyDescent="0.25">
      <c r="A94" s="11"/>
      <c r="C94" s="11"/>
      <c r="E94" s="11"/>
    </row>
    <row r="95" spans="1:5" x14ac:dyDescent="0.25">
      <c r="A95" s="11"/>
      <c r="C95" s="11"/>
      <c r="E95" s="11"/>
    </row>
    <row r="96" spans="1:5" x14ac:dyDescent="0.25">
      <c r="A96" s="11"/>
      <c r="C96" s="11"/>
      <c r="E96" s="11"/>
    </row>
    <row r="97" spans="1:5" x14ac:dyDescent="0.25">
      <c r="A97" s="11"/>
      <c r="C97" s="11"/>
      <c r="E97" s="11"/>
    </row>
    <row r="98" spans="1:5" x14ac:dyDescent="0.25">
      <c r="A98" s="11"/>
      <c r="C98" s="11"/>
      <c r="E98" s="11"/>
    </row>
    <row r="99" spans="1:5" x14ac:dyDescent="0.25">
      <c r="A99" s="11"/>
      <c r="C99" s="11"/>
      <c r="E99" s="11"/>
    </row>
    <row r="100" spans="1:5" x14ac:dyDescent="0.25">
      <c r="A100" s="11"/>
      <c r="C100" s="11"/>
      <c r="E100" s="11"/>
    </row>
    <row r="101" spans="1:5" x14ac:dyDescent="0.25">
      <c r="A101" s="11"/>
      <c r="C101" s="11"/>
      <c r="E101" s="11"/>
    </row>
    <row r="102" spans="1:5" x14ac:dyDescent="0.25">
      <c r="A102" s="11"/>
      <c r="C102" s="11"/>
      <c r="E102" s="11"/>
    </row>
    <row r="103" spans="1:5" x14ac:dyDescent="0.25">
      <c r="A103" s="11"/>
      <c r="C103" s="11"/>
      <c r="E103" s="11"/>
    </row>
    <row r="104" spans="1:5" x14ac:dyDescent="0.25">
      <c r="A104" s="11"/>
      <c r="C104" s="11"/>
      <c r="E104" s="11"/>
    </row>
    <row r="105" spans="1:5" x14ac:dyDescent="0.25">
      <c r="A105" s="11"/>
      <c r="C105" s="11"/>
      <c r="E105" s="11"/>
    </row>
    <row r="106" spans="1:5" x14ac:dyDescent="0.25">
      <c r="A106" s="11"/>
      <c r="C106" s="11"/>
      <c r="E106" s="11"/>
    </row>
    <row r="107" spans="1:5" x14ac:dyDescent="0.25">
      <c r="A107" s="11"/>
      <c r="C107" s="11"/>
      <c r="E107" s="11"/>
    </row>
    <row r="108" spans="1:5" x14ac:dyDescent="0.25">
      <c r="A108" s="11"/>
      <c r="C108" s="11"/>
      <c r="E108" s="11"/>
    </row>
    <row r="109" spans="1:5" x14ac:dyDescent="0.25">
      <c r="A109" s="11"/>
      <c r="C109" s="11"/>
      <c r="E109" s="11"/>
    </row>
    <row r="110" spans="1:5" x14ac:dyDescent="0.25">
      <c r="A110" s="11"/>
      <c r="C110" s="11"/>
      <c r="E110" s="11"/>
    </row>
    <row r="111" spans="1:5" x14ac:dyDescent="0.25">
      <c r="A111" s="11"/>
      <c r="C111" s="11"/>
      <c r="E111" s="11"/>
    </row>
    <row r="112" spans="1:5" x14ac:dyDescent="0.25">
      <c r="A112" s="11"/>
      <c r="C112" s="11"/>
      <c r="E112" s="11"/>
    </row>
    <row r="113" spans="1:5" x14ac:dyDescent="0.25">
      <c r="A113" s="11"/>
      <c r="C113" s="11"/>
      <c r="E113" s="11"/>
    </row>
    <row r="114" spans="1:5" x14ac:dyDescent="0.25">
      <c r="A114" s="11"/>
      <c r="C114" s="11"/>
      <c r="E114" s="11"/>
    </row>
    <row r="115" spans="1:5" x14ac:dyDescent="0.25">
      <c r="A115" s="11"/>
      <c r="C115" s="11"/>
      <c r="E115" s="11"/>
    </row>
    <row r="116" spans="1:5" x14ac:dyDescent="0.25">
      <c r="A116" s="11"/>
      <c r="C116" s="11"/>
      <c r="E116" s="11"/>
    </row>
    <row r="117" spans="1:5" x14ac:dyDescent="0.25">
      <c r="A117" s="11"/>
      <c r="C117" s="11"/>
      <c r="E117" s="11"/>
    </row>
    <row r="118" spans="1:5" x14ac:dyDescent="0.25">
      <c r="A118" s="11"/>
      <c r="C118" s="11"/>
      <c r="E118" s="11"/>
    </row>
    <row r="119" spans="1:5" x14ac:dyDescent="0.25">
      <c r="A119" s="11"/>
      <c r="C119" s="11"/>
      <c r="E119" s="11"/>
    </row>
    <row r="120" spans="1:5" x14ac:dyDescent="0.25">
      <c r="A120" s="13"/>
      <c r="C120" s="13"/>
      <c r="E120" s="13"/>
    </row>
    <row r="121" spans="1:5" x14ac:dyDescent="0.25">
      <c r="A121" s="13"/>
      <c r="C121" s="13"/>
      <c r="E121" s="13"/>
    </row>
    <row r="122" spans="1:5" x14ac:dyDescent="0.25">
      <c r="A122" s="11"/>
      <c r="C122" s="11"/>
      <c r="E122" s="11"/>
    </row>
    <row r="123" spans="1:5" x14ac:dyDescent="0.25">
      <c r="A123" s="11"/>
      <c r="C123" s="11"/>
      <c r="E123" s="11"/>
    </row>
    <row r="124" spans="1:5" x14ac:dyDescent="0.25">
      <c r="A124" s="11"/>
      <c r="C124" s="11"/>
      <c r="E124" s="11"/>
    </row>
    <row r="125" spans="1:5" x14ac:dyDescent="0.25">
      <c r="A125" s="11"/>
      <c r="C125" s="11"/>
      <c r="E125" s="11"/>
    </row>
    <row r="126" spans="1:5" x14ac:dyDescent="0.25">
      <c r="A126" s="11"/>
      <c r="C126" s="11"/>
      <c r="E126" s="11"/>
    </row>
    <row r="127" spans="1:5" x14ac:dyDescent="0.25">
      <c r="A127" s="11"/>
      <c r="C127" s="11"/>
      <c r="E127" s="11"/>
    </row>
    <row r="128" spans="1:5" x14ac:dyDescent="0.25">
      <c r="A128" s="11"/>
      <c r="C128" s="11"/>
      <c r="E128" s="11"/>
    </row>
    <row r="129" spans="1:5" x14ac:dyDescent="0.25">
      <c r="A129" s="11"/>
      <c r="C129" s="11"/>
      <c r="E129" s="11"/>
    </row>
    <row r="130" spans="1:5" x14ac:dyDescent="0.25">
      <c r="A130" s="11"/>
      <c r="C130" s="11"/>
      <c r="E130" s="11"/>
    </row>
    <row r="131" spans="1:5" ht="15" customHeight="1" x14ac:dyDescent="0.25">
      <c r="A131" s="11"/>
      <c r="C131" s="11"/>
      <c r="E131" s="11"/>
    </row>
    <row r="132" spans="1:5" x14ac:dyDescent="0.25">
      <c r="A132" s="11"/>
      <c r="C132" s="11"/>
      <c r="E132" s="11"/>
    </row>
    <row r="133" spans="1:5" x14ac:dyDescent="0.25">
      <c r="A133" s="11"/>
      <c r="C133" s="11"/>
      <c r="E133" s="11"/>
    </row>
    <row r="134" spans="1:5" x14ac:dyDescent="0.25">
      <c r="A134" s="11"/>
      <c r="C134" s="11"/>
      <c r="E134" s="11"/>
    </row>
    <row r="135" spans="1:5" x14ac:dyDescent="0.25">
      <c r="A135" s="11"/>
      <c r="C135" s="11"/>
      <c r="E135" s="11"/>
    </row>
    <row r="136" spans="1:5" x14ac:dyDescent="0.25">
      <c r="A136" s="11"/>
      <c r="C136" s="11"/>
      <c r="E136" s="11"/>
    </row>
    <row r="137" spans="1:5" x14ac:dyDescent="0.25">
      <c r="A137" s="11"/>
      <c r="C137" s="11"/>
      <c r="E137" s="11"/>
    </row>
    <row r="138" spans="1:5" x14ac:dyDescent="0.25">
      <c r="A138" s="11"/>
      <c r="C138" s="11"/>
      <c r="E138" s="11"/>
    </row>
    <row r="139" spans="1:5" x14ac:dyDescent="0.25">
      <c r="A139" s="11"/>
      <c r="C139" s="11"/>
      <c r="E139" s="11"/>
    </row>
    <row r="140" spans="1:5" x14ac:dyDescent="0.25">
      <c r="A140" s="11"/>
      <c r="C140" s="11"/>
      <c r="E140" s="11"/>
    </row>
    <row r="141" spans="1:5" x14ac:dyDescent="0.25">
      <c r="A141" s="11"/>
      <c r="C141" s="11"/>
      <c r="E141" s="11"/>
    </row>
    <row r="142" spans="1:5" x14ac:dyDescent="0.25">
      <c r="A142" s="11"/>
      <c r="C142" s="11"/>
      <c r="E142" s="11"/>
    </row>
    <row r="143" spans="1:5" x14ac:dyDescent="0.25">
      <c r="A143" s="11"/>
      <c r="C143" s="11"/>
      <c r="E143" s="11"/>
    </row>
    <row r="144" spans="1:5" x14ac:dyDescent="0.25">
      <c r="A144" s="11"/>
      <c r="C144" s="11"/>
      <c r="E144" s="11"/>
    </row>
    <row r="145" spans="1:5" x14ac:dyDescent="0.25">
      <c r="A145" s="11"/>
      <c r="C145" s="11"/>
      <c r="E145" s="11"/>
    </row>
    <row r="146" spans="1:5" x14ac:dyDescent="0.25">
      <c r="A146" s="11"/>
      <c r="C146" s="11"/>
      <c r="E146" s="11"/>
    </row>
    <row r="147" spans="1:5" x14ac:dyDescent="0.25">
      <c r="A147" s="11"/>
      <c r="C147" s="11"/>
      <c r="E147" s="11"/>
    </row>
    <row r="148" spans="1:5" x14ac:dyDescent="0.25">
      <c r="A148" s="11"/>
      <c r="C148" s="11"/>
      <c r="E148" s="11"/>
    </row>
    <row r="149" spans="1:5" x14ac:dyDescent="0.25">
      <c r="A149" s="11"/>
      <c r="C149" s="11"/>
      <c r="E149" s="11"/>
    </row>
    <row r="150" spans="1:5" x14ac:dyDescent="0.25">
      <c r="A150" s="11"/>
      <c r="C150" s="11"/>
      <c r="E150" s="11"/>
    </row>
    <row r="151" spans="1:5" x14ac:dyDescent="0.25">
      <c r="A151" s="11"/>
      <c r="C151" s="11"/>
      <c r="E151" s="11"/>
    </row>
    <row r="152" spans="1:5" x14ac:dyDescent="0.25">
      <c r="A152" s="11"/>
      <c r="C152" s="11"/>
      <c r="E152" s="11"/>
    </row>
    <row r="153" spans="1:5" x14ac:dyDescent="0.25">
      <c r="A153" s="11"/>
      <c r="C153" s="11"/>
      <c r="E153" s="11"/>
    </row>
    <row r="154" spans="1:5" x14ac:dyDescent="0.25">
      <c r="A154" s="11"/>
      <c r="C154" s="13"/>
      <c r="E154" s="11"/>
    </row>
    <row r="155" spans="1:5" x14ac:dyDescent="0.25">
      <c r="A155" s="11"/>
      <c r="C155" s="11"/>
      <c r="E155" s="11"/>
    </row>
    <row r="156" spans="1:5" x14ac:dyDescent="0.25">
      <c r="A156" s="11"/>
      <c r="C156" s="11"/>
      <c r="E156" s="11"/>
    </row>
    <row r="157" spans="1:5" x14ac:dyDescent="0.25">
      <c r="A157" s="11"/>
      <c r="C157" s="11"/>
      <c r="E157" s="11"/>
    </row>
    <row r="158" spans="1:5" x14ac:dyDescent="0.25">
      <c r="A158" s="11"/>
      <c r="C158" s="11"/>
      <c r="E158" s="11"/>
    </row>
    <row r="159" spans="1:5" x14ac:dyDescent="0.25">
      <c r="A159" s="11"/>
      <c r="C159" s="11"/>
      <c r="E159" s="11"/>
    </row>
    <row r="160" spans="1:5" x14ac:dyDescent="0.25">
      <c r="A160" s="11"/>
      <c r="C160" s="11"/>
      <c r="E160" s="11"/>
    </row>
    <row r="161" spans="1:5" x14ac:dyDescent="0.25">
      <c r="A161" s="11"/>
      <c r="C161" s="11"/>
      <c r="E161" s="11"/>
    </row>
    <row r="162" spans="1:5" x14ac:dyDescent="0.25">
      <c r="A162" s="11"/>
      <c r="C162" s="11"/>
      <c r="E162" s="11"/>
    </row>
    <row r="163" spans="1:5" x14ac:dyDescent="0.25">
      <c r="A163" s="11"/>
      <c r="C163" s="11"/>
      <c r="E163" s="11"/>
    </row>
    <row r="164" spans="1:5" x14ac:dyDescent="0.25">
      <c r="A164" s="11"/>
      <c r="C164" s="11"/>
      <c r="E164" s="11"/>
    </row>
    <row r="165" spans="1:5" x14ac:dyDescent="0.25">
      <c r="A165" s="11"/>
      <c r="C165" s="11"/>
      <c r="E165" s="11"/>
    </row>
    <row r="166" spans="1:5" x14ac:dyDescent="0.25">
      <c r="A166" s="11"/>
      <c r="C166" s="11"/>
      <c r="E166" s="11"/>
    </row>
    <row r="167" spans="1:5" x14ac:dyDescent="0.25">
      <c r="A167" s="11"/>
      <c r="C167" s="11"/>
      <c r="E167" s="11"/>
    </row>
    <row r="168" spans="1:5" x14ac:dyDescent="0.25">
      <c r="A168" s="11"/>
      <c r="C168" s="11"/>
      <c r="E168" s="11"/>
    </row>
    <row r="169" spans="1:5" x14ac:dyDescent="0.25">
      <c r="A169" s="11"/>
      <c r="C169" s="11"/>
      <c r="E169" s="11"/>
    </row>
    <row r="170" spans="1:5" x14ac:dyDescent="0.25">
      <c r="A170" s="11"/>
      <c r="C170" s="11"/>
      <c r="E170" s="11"/>
    </row>
    <row r="171" spans="1:5" x14ac:dyDescent="0.25">
      <c r="A171" s="11"/>
      <c r="C171" s="11"/>
      <c r="E171" s="11"/>
    </row>
    <row r="172" spans="1:5" x14ac:dyDescent="0.25">
      <c r="A172" s="11"/>
      <c r="C172" s="11"/>
      <c r="E172" s="11"/>
    </row>
    <row r="173" spans="1:5" x14ac:dyDescent="0.25">
      <c r="A173" s="11"/>
      <c r="C173" s="11"/>
      <c r="E173" s="11"/>
    </row>
    <row r="174" spans="1:5" x14ac:dyDescent="0.25">
      <c r="A174" s="11"/>
      <c r="C174" s="11"/>
      <c r="E174" s="11"/>
    </row>
    <row r="175" spans="1:5" x14ac:dyDescent="0.25">
      <c r="A175" s="11"/>
      <c r="C175" s="11"/>
      <c r="E175" s="11"/>
    </row>
    <row r="176" spans="1:5" x14ac:dyDescent="0.25">
      <c r="A176" s="11"/>
      <c r="C176" s="11"/>
      <c r="E176" s="11"/>
    </row>
    <row r="177" spans="1:5" x14ac:dyDescent="0.25">
      <c r="A177" s="11"/>
      <c r="C177" s="11"/>
      <c r="E177" s="11"/>
    </row>
    <row r="178" spans="1:5" x14ac:dyDescent="0.25">
      <c r="A178" s="11"/>
      <c r="C178" s="11"/>
      <c r="E178" s="11"/>
    </row>
    <row r="179" spans="1:5" x14ac:dyDescent="0.25">
      <c r="A179" s="11"/>
      <c r="C179" s="11"/>
      <c r="E179" s="11"/>
    </row>
    <row r="180" spans="1:5" x14ac:dyDescent="0.25">
      <c r="A180" s="11"/>
      <c r="C180" s="11"/>
      <c r="E180" s="11"/>
    </row>
    <row r="181" spans="1:5" x14ac:dyDescent="0.25">
      <c r="A181" s="11"/>
      <c r="C181" s="11"/>
      <c r="E181" s="11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B922-C9C8-472F-A4E2-6A4025E45F8A}">
  <sheetPr codeName="Лист32"/>
  <dimension ref="A1:S225"/>
  <sheetViews>
    <sheetView zoomScale="85" zoomScaleNormal="85" workbookViewId="0">
      <selection activeCell="L38" sqref="L38"/>
    </sheetView>
  </sheetViews>
  <sheetFormatPr defaultRowHeight="15" x14ac:dyDescent="0.25"/>
  <cols>
    <col min="8" max="8" width="29.5703125" customWidth="1"/>
  </cols>
  <sheetData>
    <row r="1" spans="1:9" ht="50.25" customHeight="1" x14ac:dyDescent="0.25">
      <c r="A1" s="11" t="s">
        <v>2381</v>
      </c>
      <c r="B1" t="s">
        <v>12</v>
      </c>
      <c r="C1" t="s">
        <v>2383</v>
      </c>
      <c r="D1" t="s">
        <v>2392</v>
      </c>
      <c r="E1" t="s">
        <v>2386</v>
      </c>
      <c r="F1" s="13" t="s">
        <v>2982</v>
      </c>
      <c r="G1" s="11" t="s">
        <v>2387</v>
      </c>
      <c r="H1" t="s">
        <v>3356</v>
      </c>
      <c r="I1" t="s">
        <v>3406</v>
      </c>
    </row>
    <row r="2" spans="1:9" ht="15" customHeight="1" x14ac:dyDescent="0.25">
      <c r="A2" s="33">
        <v>20</v>
      </c>
      <c r="B2" s="33">
        <v>20</v>
      </c>
      <c r="C2" s="33">
        <v>20</v>
      </c>
      <c r="D2">
        <v>22</v>
      </c>
      <c r="E2">
        <v>2</v>
      </c>
      <c r="F2" s="34">
        <v>16</v>
      </c>
      <c r="G2" s="37" t="s">
        <v>3349</v>
      </c>
      <c r="H2" s="37" t="s">
        <v>3389</v>
      </c>
      <c r="I2" s="37">
        <v>16</v>
      </c>
    </row>
    <row r="3" spans="1:9" x14ac:dyDescent="0.25">
      <c r="A3" s="33">
        <v>25</v>
      </c>
      <c r="B3" s="33">
        <v>25</v>
      </c>
      <c r="C3" s="33">
        <v>25</v>
      </c>
      <c r="D3">
        <v>27</v>
      </c>
      <c r="E3">
        <v>2</v>
      </c>
      <c r="F3" s="34">
        <v>16</v>
      </c>
      <c r="G3" s="37" t="s">
        <v>3375</v>
      </c>
      <c r="H3" s="37" t="s">
        <v>3390</v>
      </c>
      <c r="I3" s="34">
        <v>18.5</v>
      </c>
    </row>
    <row r="4" spans="1:9" x14ac:dyDescent="0.25">
      <c r="A4" s="33">
        <v>32</v>
      </c>
      <c r="B4" s="33">
        <v>32</v>
      </c>
      <c r="C4" s="33">
        <v>32</v>
      </c>
      <c r="D4">
        <v>34</v>
      </c>
      <c r="E4">
        <v>2</v>
      </c>
      <c r="F4" s="34">
        <v>16</v>
      </c>
      <c r="G4" s="37" t="s">
        <v>3376</v>
      </c>
      <c r="H4" s="37" t="s">
        <v>3391</v>
      </c>
      <c r="I4" s="37">
        <v>22</v>
      </c>
    </row>
    <row r="5" spans="1:9" x14ac:dyDescent="0.25">
      <c r="A5" s="33">
        <v>40</v>
      </c>
      <c r="B5" s="33">
        <v>40</v>
      </c>
      <c r="C5" s="33">
        <v>40</v>
      </c>
      <c r="D5">
        <v>42</v>
      </c>
      <c r="E5">
        <v>2</v>
      </c>
      <c r="F5" s="34">
        <v>16</v>
      </c>
      <c r="G5" s="37" t="s">
        <v>3384</v>
      </c>
      <c r="H5" s="37" t="s">
        <v>3392</v>
      </c>
      <c r="I5" s="37">
        <v>26</v>
      </c>
    </row>
    <row r="6" spans="1:9" ht="15" customHeight="1" x14ac:dyDescent="0.25">
      <c r="A6" s="33">
        <v>50</v>
      </c>
      <c r="B6" s="33">
        <v>50</v>
      </c>
      <c r="C6" s="33">
        <v>50</v>
      </c>
      <c r="D6">
        <v>52</v>
      </c>
      <c r="E6">
        <v>2</v>
      </c>
      <c r="F6" s="34">
        <v>16</v>
      </c>
      <c r="G6" s="37" t="s">
        <v>3385</v>
      </c>
      <c r="H6" s="37" t="s">
        <v>3393</v>
      </c>
      <c r="I6" s="37">
        <v>31</v>
      </c>
    </row>
    <row r="7" spans="1:9" x14ac:dyDescent="0.25">
      <c r="A7" s="33">
        <v>63</v>
      </c>
      <c r="B7" s="33">
        <v>63</v>
      </c>
      <c r="C7" s="33">
        <v>63</v>
      </c>
      <c r="D7">
        <v>65</v>
      </c>
      <c r="E7">
        <v>2</v>
      </c>
      <c r="F7" s="34">
        <v>16</v>
      </c>
      <c r="G7" s="37" t="s">
        <v>3386</v>
      </c>
      <c r="H7" s="37" t="s">
        <v>3394</v>
      </c>
      <c r="I7" s="37">
        <v>38</v>
      </c>
    </row>
    <row r="8" spans="1:9" ht="15" customHeight="1" x14ac:dyDescent="0.25">
      <c r="A8" s="33">
        <v>75</v>
      </c>
      <c r="B8" s="33">
        <v>75</v>
      </c>
      <c r="C8" s="33">
        <v>75</v>
      </c>
      <c r="D8">
        <v>77</v>
      </c>
      <c r="E8">
        <v>2</v>
      </c>
      <c r="F8" s="34">
        <v>16</v>
      </c>
      <c r="G8" s="37" t="s">
        <v>3387</v>
      </c>
      <c r="H8" s="37" t="s">
        <v>3395</v>
      </c>
      <c r="I8" s="34">
        <v>43.5</v>
      </c>
    </row>
    <row r="9" spans="1:9" x14ac:dyDescent="0.25">
      <c r="A9" s="33">
        <v>90</v>
      </c>
      <c r="B9" s="33">
        <v>90</v>
      </c>
      <c r="C9" s="33">
        <v>90</v>
      </c>
      <c r="D9">
        <v>92</v>
      </c>
      <c r="E9">
        <v>2</v>
      </c>
      <c r="F9" s="34">
        <v>16</v>
      </c>
      <c r="G9" s="37" t="s">
        <v>3388</v>
      </c>
      <c r="H9" s="37" t="s">
        <v>3396</v>
      </c>
      <c r="I9" s="37">
        <v>51</v>
      </c>
    </row>
    <row r="10" spans="1:9" ht="15" customHeight="1" x14ac:dyDescent="0.25">
      <c r="A10" s="33">
        <v>110</v>
      </c>
      <c r="B10" s="33">
        <v>110</v>
      </c>
      <c r="C10" s="33">
        <v>110</v>
      </c>
      <c r="D10">
        <v>112</v>
      </c>
      <c r="E10">
        <v>2</v>
      </c>
      <c r="F10" s="34">
        <v>16</v>
      </c>
      <c r="G10" s="37">
        <v>1.05</v>
      </c>
      <c r="H10" s="37" t="s">
        <v>3397</v>
      </c>
      <c r="I10" s="37">
        <v>61</v>
      </c>
    </row>
    <row r="11" spans="1:9" x14ac:dyDescent="0.25">
      <c r="A11" s="33">
        <v>125</v>
      </c>
      <c r="B11" s="33">
        <v>125</v>
      </c>
      <c r="C11" s="33">
        <v>125</v>
      </c>
      <c r="D11">
        <v>127</v>
      </c>
      <c r="E11">
        <v>2</v>
      </c>
      <c r="F11" s="34">
        <v>16</v>
      </c>
      <c r="G11" s="37">
        <v>2.09</v>
      </c>
      <c r="H11" s="37" t="s">
        <v>3398</v>
      </c>
      <c r="I11" s="34">
        <v>68.5</v>
      </c>
    </row>
    <row r="12" spans="1:9" x14ac:dyDescent="0.25">
      <c r="A12" s="33">
        <v>140</v>
      </c>
      <c r="B12" s="33">
        <v>140</v>
      </c>
      <c r="C12" s="33">
        <v>140</v>
      </c>
      <c r="D12">
        <v>142</v>
      </c>
      <c r="E12">
        <v>2</v>
      </c>
      <c r="F12" s="34">
        <v>16</v>
      </c>
      <c r="G12" s="37">
        <v>2.1800000000000002</v>
      </c>
      <c r="H12" s="37" t="s">
        <v>3399</v>
      </c>
      <c r="I12" s="37">
        <v>76</v>
      </c>
    </row>
    <row r="13" spans="1:9" x14ac:dyDescent="0.25">
      <c r="A13" s="33">
        <v>160</v>
      </c>
      <c r="B13" s="33">
        <v>160</v>
      </c>
      <c r="C13" s="33">
        <v>160</v>
      </c>
      <c r="D13">
        <v>162</v>
      </c>
      <c r="E13">
        <v>2</v>
      </c>
      <c r="F13" s="34">
        <v>16</v>
      </c>
      <c r="G13" s="37">
        <v>3.3</v>
      </c>
      <c r="H13" s="37" t="s">
        <v>3400</v>
      </c>
      <c r="I13" s="37">
        <v>86</v>
      </c>
    </row>
    <row r="14" spans="1:9" ht="15" customHeight="1" x14ac:dyDescent="0.25">
      <c r="A14" s="33">
        <v>200</v>
      </c>
      <c r="B14" s="33">
        <v>200</v>
      </c>
      <c r="C14" s="33">
        <v>200</v>
      </c>
      <c r="D14">
        <v>202</v>
      </c>
      <c r="E14">
        <v>2</v>
      </c>
      <c r="F14" s="34">
        <v>16</v>
      </c>
      <c r="G14" s="37">
        <v>4.57</v>
      </c>
      <c r="H14" s="37" t="s">
        <v>3401</v>
      </c>
      <c r="I14" s="34">
        <v>106</v>
      </c>
    </row>
    <row r="15" spans="1:9" x14ac:dyDescent="0.25">
      <c r="A15" s="33">
        <v>225</v>
      </c>
      <c r="B15" s="33">
        <v>225</v>
      </c>
      <c r="C15" s="33">
        <v>225</v>
      </c>
      <c r="D15">
        <v>228</v>
      </c>
      <c r="E15">
        <v>3</v>
      </c>
      <c r="F15" s="34">
        <v>10</v>
      </c>
      <c r="G15" s="37">
        <v>6.5</v>
      </c>
      <c r="H15" s="37" t="s">
        <v>3402</v>
      </c>
      <c r="I15" s="34">
        <v>118.5</v>
      </c>
    </row>
    <row r="16" spans="1:9" ht="15" customHeight="1" x14ac:dyDescent="0.25">
      <c r="A16" s="33">
        <v>250</v>
      </c>
      <c r="B16" s="33">
        <v>250</v>
      </c>
      <c r="C16" s="33">
        <v>250</v>
      </c>
      <c r="D16">
        <v>252</v>
      </c>
      <c r="E16">
        <v>2</v>
      </c>
      <c r="F16" s="34">
        <v>10</v>
      </c>
      <c r="G16" s="37">
        <v>8.92</v>
      </c>
      <c r="H16" s="37" t="s">
        <v>3403</v>
      </c>
      <c r="I16" s="34">
        <v>131</v>
      </c>
    </row>
    <row r="17" spans="1:19" x14ac:dyDescent="0.25">
      <c r="A17" s="33">
        <v>280</v>
      </c>
      <c r="B17" s="33">
        <v>280</v>
      </c>
      <c r="C17" s="33">
        <v>280</v>
      </c>
      <c r="D17">
        <v>282</v>
      </c>
      <c r="E17">
        <v>2</v>
      </c>
      <c r="F17" s="34">
        <v>10</v>
      </c>
      <c r="G17" s="37">
        <v>11.3</v>
      </c>
      <c r="H17" s="37" t="s">
        <v>3404</v>
      </c>
      <c r="I17" s="34">
        <v>146</v>
      </c>
    </row>
    <row r="18" spans="1:19" ht="15" customHeight="1" x14ac:dyDescent="0.25">
      <c r="A18" s="33">
        <v>315</v>
      </c>
      <c r="B18" s="33">
        <v>315</v>
      </c>
      <c r="C18" s="33">
        <v>315</v>
      </c>
      <c r="D18">
        <v>318</v>
      </c>
      <c r="E18">
        <v>3</v>
      </c>
      <c r="F18" s="34">
        <v>10</v>
      </c>
      <c r="G18" s="37">
        <v>16.399999999999999</v>
      </c>
      <c r="H18" s="37" t="s">
        <v>3405</v>
      </c>
      <c r="I18" s="34">
        <v>163.5</v>
      </c>
    </row>
    <row r="19" spans="1:19" ht="15" customHeight="1" x14ac:dyDescent="0.25">
      <c r="A19" s="33">
        <v>355</v>
      </c>
      <c r="B19" s="33">
        <v>355</v>
      </c>
      <c r="C19" s="33">
        <v>355</v>
      </c>
      <c r="D19">
        <f>183.5*2</f>
        <v>367</v>
      </c>
      <c r="E19">
        <f>184-A19/2</f>
        <v>6.5</v>
      </c>
      <c r="F19" s="34">
        <v>10</v>
      </c>
      <c r="G19" s="37">
        <v>23.6</v>
      </c>
      <c r="H19" s="37" t="s">
        <v>3460</v>
      </c>
      <c r="I19" s="25">
        <v>184</v>
      </c>
    </row>
    <row r="20" spans="1:19" ht="15" customHeight="1" x14ac:dyDescent="0.25">
      <c r="A20" s="33">
        <v>400</v>
      </c>
      <c r="B20" s="33">
        <v>400</v>
      </c>
      <c r="C20" s="33">
        <v>400</v>
      </c>
      <c r="D20">
        <f>206*2</f>
        <v>412</v>
      </c>
      <c r="E20">
        <f>206-A20/2</f>
        <v>6</v>
      </c>
      <c r="F20" s="34">
        <v>10</v>
      </c>
      <c r="G20" s="37">
        <v>28.1</v>
      </c>
      <c r="H20" s="37" t="s">
        <v>3461</v>
      </c>
      <c r="I20" s="25">
        <v>206</v>
      </c>
    </row>
    <row r="21" spans="1:19" x14ac:dyDescent="0.25">
      <c r="A21" s="38">
        <v>32</v>
      </c>
      <c r="B21" s="38">
        <v>32</v>
      </c>
      <c r="C21" s="39">
        <v>20</v>
      </c>
      <c r="D21" s="42">
        <v>28</v>
      </c>
      <c r="E21" s="13">
        <v>3</v>
      </c>
      <c r="F21" s="41">
        <v>16</v>
      </c>
      <c r="G21" s="41" t="s">
        <v>3413</v>
      </c>
      <c r="H21" s="41" t="s">
        <v>3407</v>
      </c>
      <c r="I21">
        <v>22</v>
      </c>
      <c r="J21" s="42"/>
      <c r="N21" s="42"/>
      <c r="O21" s="41"/>
      <c r="P21" s="41"/>
      <c r="Q21" s="41"/>
      <c r="R21" s="41"/>
      <c r="S21" s="43"/>
    </row>
    <row r="22" spans="1:19" ht="15" customHeight="1" x14ac:dyDescent="0.25">
      <c r="A22" s="38">
        <v>32</v>
      </c>
      <c r="B22" s="38">
        <v>32</v>
      </c>
      <c r="C22" s="39">
        <v>25</v>
      </c>
      <c r="D22" s="42">
        <v>28</v>
      </c>
      <c r="E22" s="13">
        <v>3</v>
      </c>
      <c r="F22" s="41">
        <v>16</v>
      </c>
      <c r="G22" s="41" t="s">
        <v>3413</v>
      </c>
      <c r="H22" s="41" t="s">
        <v>3408</v>
      </c>
      <c r="I22">
        <v>22</v>
      </c>
      <c r="J22" s="42"/>
      <c r="N22" s="42"/>
      <c r="O22" s="41"/>
      <c r="P22" s="41"/>
      <c r="Q22" s="41"/>
      <c r="R22" s="41"/>
      <c r="S22" s="43"/>
    </row>
    <row r="23" spans="1:19" x14ac:dyDescent="0.25">
      <c r="A23" s="38">
        <v>32</v>
      </c>
      <c r="B23" s="38">
        <v>32</v>
      </c>
      <c r="C23" s="39">
        <v>50</v>
      </c>
      <c r="D23" s="42">
        <v>28</v>
      </c>
      <c r="E23" s="13">
        <v>3</v>
      </c>
      <c r="F23" s="41">
        <v>16</v>
      </c>
      <c r="G23" s="41" t="s">
        <v>3414</v>
      </c>
      <c r="H23" s="41" t="s">
        <v>3409</v>
      </c>
      <c r="I23">
        <v>22</v>
      </c>
      <c r="J23" s="42"/>
      <c r="N23" s="42"/>
      <c r="O23" s="41"/>
      <c r="P23" s="41"/>
      <c r="Q23" s="41"/>
      <c r="R23" s="41"/>
      <c r="S23" s="43"/>
    </row>
    <row r="24" spans="1:19" ht="15" customHeight="1" x14ac:dyDescent="0.25">
      <c r="A24" s="38">
        <v>40</v>
      </c>
      <c r="B24" s="38">
        <v>40</v>
      </c>
      <c r="C24" s="39">
        <v>20</v>
      </c>
      <c r="D24" s="42">
        <v>34</v>
      </c>
      <c r="E24" s="13">
        <v>6</v>
      </c>
      <c r="F24" s="41">
        <v>16</v>
      </c>
      <c r="G24" s="41" t="s">
        <v>3415</v>
      </c>
      <c r="H24" s="41" t="s">
        <v>3410</v>
      </c>
      <c r="I24">
        <v>26</v>
      </c>
      <c r="J24" s="42"/>
      <c r="N24" s="42"/>
      <c r="O24" s="41"/>
      <c r="P24" s="41"/>
      <c r="Q24" s="41"/>
      <c r="R24" s="41"/>
      <c r="S24" s="43"/>
    </row>
    <row r="25" spans="1:19" x14ac:dyDescent="0.25">
      <c r="A25" s="38">
        <v>40</v>
      </c>
      <c r="B25" s="38">
        <v>40</v>
      </c>
      <c r="C25" s="39">
        <v>25</v>
      </c>
      <c r="D25" s="42">
        <v>34</v>
      </c>
      <c r="E25" s="13">
        <v>6</v>
      </c>
      <c r="F25" s="41">
        <v>16</v>
      </c>
      <c r="G25" s="41" t="s">
        <v>3415</v>
      </c>
      <c r="H25" s="41" t="s">
        <v>3411</v>
      </c>
      <c r="I25">
        <v>26</v>
      </c>
      <c r="J25" s="42"/>
      <c r="N25" s="42"/>
      <c r="O25" s="41"/>
      <c r="P25" s="41"/>
      <c r="Q25" s="41"/>
      <c r="R25" s="41"/>
      <c r="S25" s="43"/>
    </row>
    <row r="26" spans="1:19" x14ac:dyDescent="0.25">
      <c r="A26" s="38">
        <v>40</v>
      </c>
      <c r="B26" s="38">
        <v>40</v>
      </c>
      <c r="C26" s="39">
        <v>32</v>
      </c>
      <c r="D26" s="42">
        <v>34</v>
      </c>
      <c r="E26" s="13">
        <v>6</v>
      </c>
      <c r="F26" s="41">
        <v>16</v>
      </c>
      <c r="G26" s="41" t="s">
        <v>3415</v>
      </c>
      <c r="H26" s="41" t="s">
        <v>3412</v>
      </c>
      <c r="I26">
        <v>26</v>
      </c>
      <c r="J26" s="42"/>
      <c r="N26" s="42"/>
      <c r="O26" s="41"/>
      <c r="P26" s="41"/>
      <c r="Q26" s="41"/>
      <c r="R26" s="41"/>
      <c r="S26" s="43"/>
    </row>
    <row r="27" spans="1:19" ht="15" customHeight="1" x14ac:dyDescent="0.25">
      <c r="A27" s="38">
        <v>50</v>
      </c>
      <c r="B27" s="38">
        <v>50</v>
      </c>
      <c r="C27" s="40">
        <v>20</v>
      </c>
      <c r="D27" s="13">
        <v>62</v>
      </c>
      <c r="E27" s="13">
        <v>3</v>
      </c>
      <c r="F27" s="40">
        <v>16</v>
      </c>
      <c r="G27" s="40" t="s">
        <v>3450</v>
      </c>
      <c r="H27" s="40" t="s">
        <v>3416</v>
      </c>
      <c r="I27" s="40">
        <v>28</v>
      </c>
    </row>
    <row r="28" spans="1:19" x14ac:dyDescent="0.25">
      <c r="A28" s="38">
        <v>50</v>
      </c>
      <c r="B28" s="38">
        <v>50</v>
      </c>
      <c r="C28" s="40">
        <v>25</v>
      </c>
      <c r="D28" s="13">
        <v>62</v>
      </c>
      <c r="E28" s="13">
        <v>3</v>
      </c>
      <c r="F28" s="40">
        <v>16</v>
      </c>
      <c r="G28" s="40" t="s">
        <v>3450</v>
      </c>
      <c r="H28" s="40" t="s">
        <v>3417</v>
      </c>
      <c r="I28" s="40">
        <v>28</v>
      </c>
    </row>
    <row r="29" spans="1:19" ht="15" customHeight="1" x14ac:dyDescent="0.25">
      <c r="A29" s="38">
        <v>50</v>
      </c>
      <c r="B29" s="38">
        <v>50</v>
      </c>
      <c r="C29" s="40">
        <v>32</v>
      </c>
      <c r="D29" s="13">
        <v>62</v>
      </c>
      <c r="E29" s="13">
        <v>3</v>
      </c>
      <c r="F29" s="40">
        <v>16</v>
      </c>
      <c r="G29" s="40" t="s">
        <v>3450</v>
      </c>
      <c r="H29" s="40" t="s">
        <v>3418</v>
      </c>
      <c r="I29" s="40">
        <v>28</v>
      </c>
    </row>
    <row r="30" spans="1:19" x14ac:dyDescent="0.25">
      <c r="A30" s="38">
        <v>50</v>
      </c>
      <c r="B30" s="38">
        <v>50</v>
      </c>
      <c r="C30" s="40">
        <v>40</v>
      </c>
      <c r="D30" s="13">
        <v>62</v>
      </c>
      <c r="E30" s="13">
        <v>3</v>
      </c>
      <c r="F30" s="40">
        <v>16</v>
      </c>
      <c r="G30" s="40" t="s">
        <v>3450</v>
      </c>
      <c r="H30" s="40" t="s">
        <v>3419</v>
      </c>
      <c r="I30" s="40">
        <v>28</v>
      </c>
    </row>
    <row r="31" spans="1:19" x14ac:dyDescent="0.25">
      <c r="A31" s="38">
        <v>63</v>
      </c>
      <c r="B31" s="38">
        <v>63</v>
      </c>
      <c r="C31" s="40">
        <v>25</v>
      </c>
      <c r="D31" s="13">
        <v>76</v>
      </c>
      <c r="E31" s="13">
        <v>3.5</v>
      </c>
      <c r="F31" s="40">
        <v>16</v>
      </c>
      <c r="G31" s="40" t="s">
        <v>3451</v>
      </c>
      <c r="H31" s="40" t="s">
        <v>3420</v>
      </c>
      <c r="I31" s="40">
        <v>28</v>
      </c>
    </row>
    <row r="32" spans="1:19" x14ac:dyDescent="0.25">
      <c r="A32" s="38">
        <v>63</v>
      </c>
      <c r="B32" s="38">
        <v>63</v>
      </c>
      <c r="C32" s="40">
        <v>32</v>
      </c>
      <c r="D32" s="13">
        <v>76</v>
      </c>
      <c r="E32" s="13">
        <v>3.5</v>
      </c>
      <c r="F32" s="40">
        <v>16</v>
      </c>
      <c r="G32" s="40" t="s">
        <v>3451</v>
      </c>
      <c r="H32" s="40" t="s">
        <v>3421</v>
      </c>
      <c r="I32" s="40">
        <v>35</v>
      </c>
    </row>
    <row r="33" spans="1:9" x14ac:dyDescent="0.25">
      <c r="A33" s="38">
        <v>63</v>
      </c>
      <c r="B33" s="38">
        <v>63</v>
      </c>
      <c r="C33" s="40">
        <v>40</v>
      </c>
      <c r="D33" s="13">
        <v>76</v>
      </c>
      <c r="E33" s="13">
        <v>3.5</v>
      </c>
      <c r="F33" s="40">
        <v>16</v>
      </c>
      <c r="G33" s="40" t="s">
        <v>3452</v>
      </c>
      <c r="H33" s="40" t="s">
        <v>3422</v>
      </c>
      <c r="I33" s="40">
        <v>35</v>
      </c>
    </row>
    <row r="34" spans="1:9" x14ac:dyDescent="0.25">
      <c r="A34" s="38">
        <v>63</v>
      </c>
      <c r="B34" s="38">
        <v>63</v>
      </c>
      <c r="C34" s="40">
        <v>50</v>
      </c>
      <c r="D34" s="13">
        <v>76</v>
      </c>
      <c r="E34" s="13">
        <v>3.5</v>
      </c>
      <c r="F34" s="40">
        <v>16</v>
      </c>
      <c r="G34" s="40" t="s">
        <v>3453</v>
      </c>
      <c r="H34" s="40" t="s">
        <v>3423</v>
      </c>
      <c r="I34" s="40">
        <v>35</v>
      </c>
    </row>
    <row r="35" spans="1:9" x14ac:dyDescent="0.25">
      <c r="A35" s="38">
        <v>75</v>
      </c>
      <c r="B35" s="38">
        <v>75</v>
      </c>
      <c r="C35" s="40">
        <v>32</v>
      </c>
      <c r="D35" s="13">
        <v>87</v>
      </c>
      <c r="E35" s="13">
        <v>1</v>
      </c>
      <c r="F35" s="40">
        <v>16</v>
      </c>
      <c r="G35" s="45"/>
      <c r="H35" s="44" t="s">
        <v>3424</v>
      </c>
      <c r="I35" s="39">
        <v>38.5</v>
      </c>
    </row>
    <row r="36" spans="1:9" x14ac:dyDescent="0.25">
      <c r="A36" s="38">
        <v>75</v>
      </c>
      <c r="B36" s="38">
        <v>75</v>
      </c>
      <c r="C36" s="40">
        <v>63</v>
      </c>
      <c r="D36" s="13">
        <v>87</v>
      </c>
      <c r="E36" s="13">
        <v>1</v>
      </c>
      <c r="F36" s="40">
        <v>16</v>
      </c>
      <c r="G36" s="40" t="s">
        <v>3454</v>
      </c>
      <c r="H36" s="44" t="s">
        <v>3425</v>
      </c>
      <c r="I36" s="39">
        <v>38.5</v>
      </c>
    </row>
    <row r="37" spans="1:9" x14ac:dyDescent="0.25">
      <c r="A37" s="38">
        <v>90</v>
      </c>
      <c r="B37" s="38">
        <v>90</v>
      </c>
      <c r="C37" s="40">
        <v>63</v>
      </c>
      <c r="D37" s="13">
        <v>102</v>
      </c>
      <c r="E37" s="13">
        <v>1</v>
      </c>
      <c r="F37" s="40">
        <v>16</v>
      </c>
      <c r="G37" s="40" t="s">
        <v>3455</v>
      </c>
      <c r="H37" s="44" t="s">
        <v>3426</v>
      </c>
      <c r="I37" s="40">
        <v>46</v>
      </c>
    </row>
    <row r="38" spans="1:9" ht="15" customHeight="1" x14ac:dyDescent="0.25">
      <c r="A38" s="38">
        <v>90</v>
      </c>
      <c r="B38" s="38">
        <v>90</v>
      </c>
      <c r="C38" s="40">
        <v>75</v>
      </c>
      <c r="D38" s="13">
        <v>102</v>
      </c>
      <c r="E38" s="13">
        <v>1</v>
      </c>
      <c r="F38" s="40">
        <v>16</v>
      </c>
      <c r="G38" s="40" t="s">
        <v>3456</v>
      </c>
      <c r="H38" s="44" t="s">
        <v>3427</v>
      </c>
      <c r="I38" s="40">
        <v>46</v>
      </c>
    </row>
    <row r="39" spans="1:9" x14ac:dyDescent="0.25">
      <c r="A39" s="38">
        <v>110</v>
      </c>
      <c r="B39" s="38">
        <v>110</v>
      </c>
      <c r="C39" s="40">
        <v>50</v>
      </c>
      <c r="D39" s="13">
        <v>122</v>
      </c>
      <c r="E39" s="13">
        <v>1</v>
      </c>
      <c r="F39" s="40">
        <v>16</v>
      </c>
      <c r="G39" s="45"/>
      <c r="H39" s="40" t="s">
        <v>3428</v>
      </c>
      <c r="I39" s="40">
        <v>56</v>
      </c>
    </row>
    <row r="40" spans="1:9" x14ac:dyDescent="0.25">
      <c r="A40" s="38">
        <v>110</v>
      </c>
      <c r="B40" s="38">
        <v>110</v>
      </c>
      <c r="C40" s="40">
        <v>63</v>
      </c>
      <c r="D40" s="13">
        <v>122</v>
      </c>
      <c r="E40" s="13">
        <v>1</v>
      </c>
      <c r="F40" s="40">
        <v>16</v>
      </c>
      <c r="G40" s="40" t="s">
        <v>3457</v>
      </c>
      <c r="H40" s="40" t="s">
        <v>3429</v>
      </c>
      <c r="I40" s="40">
        <v>56</v>
      </c>
    </row>
    <row r="41" spans="1:9" x14ac:dyDescent="0.25">
      <c r="A41" s="38">
        <v>110</v>
      </c>
      <c r="B41" s="38">
        <v>110</v>
      </c>
      <c r="C41" s="40">
        <v>75</v>
      </c>
      <c r="D41" s="13">
        <v>122</v>
      </c>
      <c r="E41" s="13">
        <v>1</v>
      </c>
      <c r="F41" s="40">
        <v>16</v>
      </c>
      <c r="G41" s="40" t="s">
        <v>3458</v>
      </c>
      <c r="H41" s="40" t="s">
        <v>3430</v>
      </c>
      <c r="I41" s="40">
        <v>56</v>
      </c>
    </row>
    <row r="42" spans="1:9" ht="15" customHeight="1" x14ac:dyDescent="0.25">
      <c r="A42" s="38">
        <v>110</v>
      </c>
      <c r="B42" s="38">
        <v>110</v>
      </c>
      <c r="C42" s="40">
        <v>90</v>
      </c>
      <c r="D42" s="13">
        <v>122</v>
      </c>
      <c r="E42" s="13">
        <v>1</v>
      </c>
      <c r="F42" s="40">
        <v>16</v>
      </c>
      <c r="G42" s="40" t="s">
        <v>3459</v>
      </c>
      <c r="H42" s="40" t="s">
        <v>3431</v>
      </c>
      <c r="I42" s="40">
        <v>56</v>
      </c>
    </row>
    <row r="43" spans="1:9" x14ac:dyDescent="0.25">
      <c r="A43" s="38">
        <v>125</v>
      </c>
      <c r="B43" s="38">
        <v>125</v>
      </c>
      <c r="C43" s="40">
        <v>63</v>
      </c>
      <c r="D43" s="13">
        <v>137</v>
      </c>
      <c r="E43" s="13">
        <v>1.5</v>
      </c>
      <c r="F43" s="40">
        <v>16</v>
      </c>
      <c r="G43" s="40">
        <v>1.26</v>
      </c>
      <c r="H43" s="44" t="s">
        <v>3432</v>
      </c>
      <c r="I43" s="40">
        <v>64</v>
      </c>
    </row>
    <row r="44" spans="1:9" x14ac:dyDescent="0.25">
      <c r="A44" s="38">
        <v>125</v>
      </c>
      <c r="B44" s="38">
        <v>125</v>
      </c>
      <c r="C44" s="40">
        <v>90</v>
      </c>
      <c r="D44" s="13">
        <v>137</v>
      </c>
      <c r="E44" s="13">
        <v>1.5</v>
      </c>
      <c r="F44" s="40">
        <v>16</v>
      </c>
      <c r="G44" s="40">
        <v>1.58</v>
      </c>
      <c r="H44" s="44" t="s">
        <v>3433</v>
      </c>
      <c r="I44" s="40">
        <v>64</v>
      </c>
    </row>
    <row r="45" spans="1:9" x14ac:dyDescent="0.25">
      <c r="A45" s="38">
        <v>125</v>
      </c>
      <c r="B45" s="38">
        <v>125</v>
      </c>
      <c r="C45" s="39">
        <v>110</v>
      </c>
      <c r="D45" s="13">
        <v>137</v>
      </c>
      <c r="E45" s="13">
        <v>1.5</v>
      </c>
      <c r="F45" s="40">
        <v>16</v>
      </c>
      <c r="G45" s="40">
        <v>1.59</v>
      </c>
      <c r="H45" s="40" t="s">
        <v>3434</v>
      </c>
      <c r="I45" s="40">
        <v>64</v>
      </c>
    </row>
    <row r="46" spans="1:9" x14ac:dyDescent="0.25">
      <c r="A46" s="38">
        <v>140</v>
      </c>
      <c r="B46" s="38">
        <v>140</v>
      </c>
      <c r="C46" s="39">
        <v>110</v>
      </c>
      <c r="D46" s="13">
        <v>152</v>
      </c>
      <c r="E46" s="13">
        <v>2</v>
      </c>
      <c r="F46" s="40">
        <v>16</v>
      </c>
      <c r="G46" s="40">
        <v>2.27</v>
      </c>
      <c r="H46" s="40" t="s">
        <v>3435</v>
      </c>
      <c r="I46" s="40">
        <v>72</v>
      </c>
    </row>
    <row r="47" spans="1:9" x14ac:dyDescent="0.25">
      <c r="A47" s="38">
        <v>160</v>
      </c>
      <c r="B47" s="38">
        <v>160</v>
      </c>
      <c r="C47" s="39">
        <v>110</v>
      </c>
      <c r="D47" s="13">
        <v>172</v>
      </c>
      <c r="E47" s="13">
        <v>1</v>
      </c>
      <c r="F47" s="40">
        <v>16</v>
      </c>
      <c r="G47" s="40">
        <v>2.4300000000000002</v>
      </c>
      <c r="H47" s="40" t="s">
        <v>3436</v>
      </c>
      <c r="I47" s="40">
        <v>81</v>
      </c>
    </row>
    <row r="48" spans="1:9" ht="15" customHeight="1" x14ac:dyDescent="0.25">
      <c r="A48" s="38">
        <v>200</v>
      </c>
      <c r="B48" s="38">
        <v>200</v>
      </c>
      <c r="C48" s="39">
        <v>110</v>
      </c>
      <c r="D48" s="13">
        <v>212</v>
      </c>
      <c r="E48" s="11">
        <v>7</v>
      </c>
      <c r="F48" s="40">
        <v>16</v>
      </c>
      <c r="G48" s="40">
        <v>4.03</v>
      </c>
      <c r="H48" s="40" t="s">
        <v>3437</v>
      </c>
      <c r="I48" s="39">
        <v>107</v>
      </c>
    </row>
    <row r="49" spans="1:10" x14ac:dyDescent="0.25">
      <c r="A49" s="38">
        <v>200</v>
      </c>
      <c r="B49" s="38">
        <v>200</v>
      </c>
      <c r="C49" s="39">
        <v>160</v>
      </c>
      <c r="D49" s="13">
        <v>212</v>
      </c>
      <c r="E49" s="13">
        <v>7</v>
      </c>
      <c r="F49" s="40">
        <v>16</v>
      </c>
      <c r="G49" s="40">
        <v>4.4000000000000004</v>
      </c>
      <c r="H49" s="44" t="s">
        <v>3438</v>
      </c>
      <c r="I49" s="39">
        <v>107</v>
      </c>
    </row>
    <row r="50" spans="1:10" x14ac:dyDescent="0.25">
      <c r="A50" s="38">
        <v>225</v>
      </c>
      <c r="B50" s="38">
        <v>225</v>
      </c>
      <c r="C50" s="39">
        <v>110</v>
      </c>
      <c r="D50" s="13">
        <v>237</v>
      </c>
      <c r="E50" s="13">
        <v>7.5</v>
      </c>
      <c r="F50" s="40">
        <v>10</v>
      </c>
      <c r="G50" s="40">
        <v>4.32</v>
      </c>
      <c r="H50" s="40" t="s">
        <v>3439</v>
      </c>
      <c r="I50" s="39">
        <v>120</v>
      </c>
    </row>
    <row r="51" spans="1:10" x14ac:dyDescent="0.25">
      <c r="A51" s="38">
        <v>225</v>
      </c>
      <c r="B51" s="38">
        <v>225</v>
      </c>
      <c r="C51" s="39">
        <v>160</v>
      </c>
      <c r="D51" s="13">
        <v>237</v>
      </c>
      <c r="E51" s="13">
        <v>7.5</v>
      </c>
      <c r="F51" s="40">
        <v>10</v>
      </c>
      <c r="G51" s="40">
        <v>4.58</v>
      </c>
      <c r="H51" s="44" t="s">
        <v>3440</v>
      </c>
      <c r="I51" s="39">
        <v>120</v>
      </c>
    </row>
    <row r="52" spans="1:10" x14ac:dyDescent="0.25">
      <c r="A52" s="38">
        <v>250</v>
      </c>
      <c r="B52" s="38">
        <v>250</v>
      </c>
      <c r="C52" s="39">
        <v>110</v>
      </c>
      <c r="D52" s="13">
        <v>262</v>
      </c>
      <c r="E52" s="13">
        <v>7</v>
      </c>
      <c r="F52" s="40">
        <v>10</v>
      </c>
      <c r="G52" s="40">
        <v>7.75</v>
      </c>
      <c r="H52" s="40" t="s">
        <v>3441</v>
      </c>
      <c r="I52" s="39">
        <v>132</v>
      </c>
    </row>
    <row r="53" spans="1:10" ht="15" customHeight="1" x14ac:dyDescent="0.25">
      <c r="A53" s="38">
        <v>250</v>
      </c>
      <c r="B53" s="38">
        <v>250</v>
      </c>
      <c r="C53" s="39">
        <v>160</v>
      </c>
      <c r="D53" s="13">
        <v>262</v>
      </c>
      <c r="E53" s="13">
        <v>7</v>
      </c>
      <c r="F53" s="40">
        <v>10</v>
      </c>
      <c r="G53" s="40">
        <v>7.95</v>
      </c>
      <c r="H53" s="44" t="s">
        <v>3442</v>
      </c>
      <c r="I53" s="39">
        <v>132</v>
      </c>
    </row>
    <row r="54" spans="1:10" x14ac:dyDescent="0.25">
      <c r="A54" s="38">
        <v>250</v>
      </c>
      <c r="B54" s="38">
        <v>250</v>
      </c>
      <c r="C54" s="39">
        <v>200</v>
      </c>
      <c r="D54" s="13">
        <v>262</v>
      </c>
      <c r="E54" s="13">
        <v>7</v>
      </c>
      <c r="F54" s="40">
        <v>10</v>
      </c>
      <c r="G54" s="40">
        <v>8.15</v>
      </c>
      <c r="H54" s="44" t="s">
        <v>3443</v>
      </c>
      <c r="I54" s="39">
        <v>132</v>
      </c>
    </row>
    <row r="55" spans="1:10" x14ac:dyDescent="0.25">
      <c r="A55" s="38">
        <v>280</v>
      </c>
      <c r="B55" s="38">
        <v>280</v>
      </c>
      <c r="C55" s="39">
        <v>110</v>
      </c>
      <c r="D55" s="13">
        <v>292</v>
      </c>
      <c r="E55" s="13">
        <v>6</v>
      </c>
      <c r="F55" s="40">
        <v>10</v>
      </c>
      <c r="G55" s="40">
        <v>8.15</v>
      </c>
      <c r="H55" s="40" t="s">
        <v>3444</v>
      </c>
      <c r="I55" s="39">
        <v>146</v>
      </c>
    </row>
    <row r="56" spans="1:10" x14ac:dyDescent="0.25">
      <c r="A56" s="38">
        <v>280</v>
      </c>
      <c r="B56" s="38">
        <v>280</v>
      </c>
      <c r="C56" s="39">
        <v>160</v>
      </c>
      <c r="D56" s="13">
        <v>292</v>
      </c>
      <c r="E56" s="13">
        <v>6</v>
      </c>
      <c r="F56" s="40">
        <v>10</v>
      </c>
      <c r="G56" s="40">
        <v>8.15</v>
      </c>
      <c r="H56" s="44" t="s">
        <v>3445</v>
      </c>
      <c r="I56" s="39">
        <v>146</v>
      </c>
    </row>
    <row r="57" spans="1:10" x14ac:dyDescent="0.25">
      <c r="A57" s="38">
        <v>280</v>
      </c>
      <c r="B57" s="38">
        <v>280</v>
      </c>
      <c r="C57" s="39">
        <v>225</v>
      </c>
      <c r="D57" s="13">
        <v>292</v>
      </c>
      <c r="E57" s="13">
        <v>6</v>
      </c>
      <c r="F57" s="40">
        <v>10</v>
      </c>
      <c r="G57" s="40">
        <v>8.15</v>
      </c>
      <c r="H57" s="44" t="s">
        <v>3446</v>
      </c>
      <c r="I57" s="39">
        <v>146</v>
      </c>
    </row>
    <row r="58" spans="1:10" x14ac:dyDescent="0.25">
      <c r="A58" s="38">
        <v>315</v>
      </c>
      <c r="B58" s="38">
        <v>315</v>
      </c>
      <c r="C58" s="39">
        <v>110</v>
      </c>
      <c r="D58" s="13">
        <v>292</v>
      </c>
      <c r="E58" s="13">
        <v>10.5</v>
      </c>
      <c r="F58" s="40">
        <v>10</v>
      </c>
      <c r="G58" s="40">
        <v>14.2</v>
      </c>
      <c r="H58" s="40" t="s">
        <v>3447</v>
      </c>
      <c r="I58" s="39">
        <v>146</v>
      </c>
    </row>
    <row r="59" spans="1:10" ht="15" customHeight="1" x14ac:dyDescent="0.25">
      <c r="A59" s="38">
        <v>315</v>
      </c>
      <c r="B59" s="38">
        <v>315</v>
      </c>
      <c r="C59" s="39">
        <v>160</v>
      </c>
      <c r="D59" s="13">
        <v>327</v>
      </c>
      <c r="E59" s="13">
        <v>10.5</v>
      </c>
      <c r="F59" s="40">
        <v>10</v>
      </c>
      <c r="G59" s="40">
        <v>13.5</v>
      </c>
      <c r="H59" s="40" t="s">
        <v>3448</v>
      </c>
      <c r="I59" s="39">
        <v>168</v>
      </c>
    </row>
    <row r="60" spans="1:10" x14ac:dyDescent="0.25">
      <c r="A60" s="38">
        <v>315</v>
      </c>
      <c r="B60" s="38">
        <v>315</v>
      </c>
      <c r="C60" s="39">
        <v>225</v>
      </c>
      <c r="D60" s="13">
        <v>327</v>
      </c>
      <c r="E60" s="11">
        <v>10.5</v>
      </c>
      <c r="F60" s="40">
        <v>10</v>
      </c>
      <c r="G60" s="40">
        <v>14.1</v>
      </c>
      <c r="H60" s="40" t="s">
        <v>3449</v>
      </c>
      <c r="I60" s="39">
        <v>168</v>
      </c>
    </row>
    <row r="61" spans="1:10" ht="15" customHeight="1" x14ac:dyDescent="0.25">
      <c r="A61" s="47">
        <v>315</v>
      </c>
      <c r="B61" s="47">
        <v>315</v>
      </c>
      <c r="C61" s="50">
        <v>160</v>
      </c>
      <c r="D61" s="13">
        <v>336</v>
      </c>
      <c r="E61" s="11">
        <v>10.5</v>
      </c>
      <c r="F61" s="13">
        <v>10</v>
      </c>
      <c r="G61" t="s">
        <v>3462</v>
      </c>
      <c r="H61" t="s">
        <v>3468</v>
      </c>
      <c r="I61" s="54">
        <v>164</v>
      </c>
      <c r="J61" s="52"/>
    </row>
    <row r="62" spans="1:10" x14ac:dyDescent="0.25">
      <c r="A62" s="48">
        <v>315</v>
      </c>
      <c r="B62" s="48">
        <v>315</v>
      </c>
      <c r="C62" s="51">
        <v>225</v>
      </c>
      <c r="D62" s="13">
        <v>336</v>
      </c>
      <c r="E62" s="11">
        <v>10.5</v>
      </c>
      <c r="F62" s="13">
        <v>10</v>
      </c>
      <c r="G62" s="11" t="s">
        <v>3463</v>
      </c>
      <c r="H62" t="s">
        <v>3469</v>
      </c>
      <c r="I62" s="55">
        <v>164</v>
      </c>
      <c r="J62" s="53"/>
    </row>
    <row r="63" spans="1:10" x14ac:dyDescent="0.25">
      <c r="A63" s="47">
        <v>315</v>
      </c>
      <c r="B63" s="47">
        <v>315</v>
      </c>
      <c r="C63" s="50">
        <v>250</v>
      </c>
      <c r="D63" s="13">
        <v>336</v>
      </c>
      <c r="E63" s="11">
        <v>10.5</v>
      </c>
      <c r="F63" s="11">
        <v>10</v>
      </c>
      <c r="G63" s="11" t="s">
        <v>3464</v>
      </c>
      <c r="H63" t="s">
        <v>3470</v>
      </c>
      <c r="I63" s="54">
        <v>164</v>
      </c>
      <c r="J63" s="52"/>
    </row>
    <row r="64" spans="1:10" x14ac:dyDescent="0.25">
      <c r="A64" s="48">
        <v>315</v>
      </c>
      <c r="B64" s="48">
        <v>315</v>
      </c>
      <c r="C64" s="51">
        <v>280</v>
      </c>
      <c r="D64" s="13">
        <v>336</v>
      </c>
      <c r="E64" s="11">
        <v>10.5</v>
      </c>
      <c r="F64" s="11">
        <v>10</v>
      </c>
      <c r="G64" s="11" t="s">
        <v>3465</v>
      </c>
      <c r="H64" t="s">
        <v>3471</v>
      </c>
      <c r="I64" s="55">
        <v>164</v>
      </c>
      <c r="J64" s="53"/>
    </row>
    <row r="65" spans="1:10" ht="15" customHeight="1" x14ac:dyDescent="0.25">
      <c r="A65" s="49">
        <v>355</v>
      </c>
      <c r="B65" s="49">
        <v>355</v>
      </c>
      <c r="C65" s="50">
        <v>280</v>
      </c>
      <c r="D65" s="13">
        <v>336</v>
      </c>
      <c r="E65" s="11">
        <v>10.5</v>
      </c>
      <c r="F65" s="11">
        <v>10</v>
      </c>
      <c r="G65" s="11" t="s">
        <v>1532</v>
      </c>
      <c r="H65" t="s">
        <v>3472</v>
      </c>
      <c r="I65" s="54">
        <v>164</v>
      </c>
      <c r="J65" s="52"/>
    </row>
    <row r="66" spans="1:10" x14ac:dyDescent="0.25">
      <c r="A66" s="48">
        <v>355</v>
      </c>
      <c r="B66" s="48">
        <v>355</v>
      </c>
      <c r="C66" s="51">
        <v>315</v>
      </c>
      <c r="D66" s="13">
        <v>304</v>
      </c>
      <c r="E66" s="11">
        <v>10.5</v>
      </c>
      <c r="F66" s="11">
        <v>10</v>
      </c>
      <c r="G66" s="11" t="s">
        <v>3466</v>
      </c>
      <c r="H66" t="s">
        <v>3473</v>
      </c>
      <c r="I66" s="55">
        <v>184</v>
      </c>
      <c r="J66" s="53"/>
    </row>
    <row r="67" spans="1:10" x14ac:dyDescent="0.25">
      <c r="A67" s="49">
        <v>400</v>
      </c>
      <c r="B67" s="49">
        <v>400</v>
      </c>
      <c r="C67" s="50">
        <v>280</v>
      </c>
      <c r="D67" s="13">
        <v>350</v>
      </c>
      <c r="E67" s="11">
        <v>10.5</v>
      </c>
      <c r="F67" s="11">
        <v>10</v>
      </c>
      <c r="G67" s="11" t="s">
        <v>3467</v>
      </c>
      <c r="H67" t="s">
        <v>3474</v>
      </c>
      <c r="I67" s="54">
        <v>184</v>
      </c>
      <c r="J67" s="52"/>
    </row>
    <row r="68" spans="1:10" x14ac:dyDescent="0.25">
      <c r="A68" s="48">
        <v>400</v>
      </c>
      <c r="B68" s="48">
        <v>400</v>
      </c>
      <c r="C68" s="51">
        <v>315</v>
      </c>
      <c r="D68" s="13">
        <v>304</v>
      </c>
      <c r="E68" s="11">
        <v>10.5</v>
      </c>
      <c r="F68" s="11">
        <v>10</v>
      </c>
      <c r="G68" s="11">
        <v>43</v>
      </c>
      <c r="H68" t="s">
        <v>3475</v>
      </c>
      <c r="I68" s="55">
        <v>206</v>
      </c>
      <c r="J68" s="53"/>
    </row>
    <row r="69" spans="1:10" x14ac:dyDescent="0.25">
      <c r="A69" s="49">
        <v>400</v>
      </c>
      <c r="B69" s="49">
        <v>400</v>
      </c>
      <c r="C69" s="50">
        <v>355</v>
      </c>
      <c r="D69" s="13">
        <v>350</v>
      </c>
      <c r="E69" s="11">
        <v>10.5</v>
      </c>
      <c r="F69" s="13">
        <v>10</v>
      </c>
      <c r="G69" s="11" t="s">
        <v>1617</v>
      </c>
      <c r="H69" t="s">
        <v>3476</v>
      </c>
      <c r="I69" s="54">
        <v>206</v>
      </c>
      <c r="J69" s="52"/>
    </row>
    <row r="70" spans="1:10" x14ac:dyDescent="0.25">
      <c r="A70" s="11"/>
      <c r="D70" s="13"/>
      <c r="E70" s="13"/>
      <c r="F70" s="13"/>
      <c r="G70" s="11"/>
    </row>
    <row r="71" spans="1:10" ht="15" customHeight="1" x14ac:dyDescent="0.25">
      <c r="A71" s="11"/>
      <c r="D71" s="13"/>
      <c r="E71" s="13"/>
      <c r="F71" s="13"/>
      <c r="G71" s="11"/>
    </row>
    <row r="72" spans="1:10" x14ac:dyDescent="0.25">
      <c r="A72" s="11"/>
      <c r="D72" s="13"/>
      <c r="E72" s="13"/>
      <c r="F72" s="13"/>
      <c r="G72" s="11"/>
    </row>
    <row r="73" spans="1:10" ht="15" customHeight="1" x14ac:dyDescent="0.25">
      <c r="A73" s="11"/>
      <c r="D73" s="13"/>
      <c r="E73" s="13"/>
      <c r="F73" s="13"/>
      <c r="G73" s="11"/>
    </row>
    <row r="74" spans="1:10" x14ac:dyDescent="0.25">
      <c r="A74" s="11"/>
      <c r="D74" s="13"/>
      <c r="E74" s="13"/>
      <c r="F74" s="13"/>
      <c r="G74" s="11"/>
    </row>
    <row r="75" spans="1:10" ht="15" customHeight="1" x14ac:dyDescent="0.25">
      <c r="A75" s="11"/>
      <c r="D75" s="13"/>
      <c r="E75" s="13"/>
      <c r="F75" s="13"/>
      <c r="G75" s="11"/>
    </row>
    <row r="76" spans="1:10" x14ac:dyDescent="0.25">
      <c r="A76" s="11"/>
      <c r="D76" s="13"/>
      <c r="E76" s="13"/>
      <c r="F76" s="11"/>
      <c r="G76" s="11"/>
    </row>
    <row r="77" spans="1:10" x14ac:dyDescent="0.25">
      <c r="A77" s="11"/>
      <c r="D77" s="13"/>
      <c r="E77" s="13"/>
      <c r="F77" s="11"/>
      <c r="G77" s="13"/>
    </row>
    <row r="78" spans="1:10" x14ac:dyDescent="0.25">
      <c r="A78" s="11"/>
      <c r="D78" s="13"/>
      <c r="E78" s="13"/>
      <c r="F78" s="13"/>
      <c r="G78" s="11"/>
    </row>
    <row r="79" spans="1:10" x14ac:dyDescent="0.25">
      <c r="A79" s="11"/>
      <c r="D79" s="13"/>
      <c r="E79" s="13"/>
      <c r="F79" s="13"/>
      <c r="G79" s="13"/>
    </row>
    <row r="80" spans="1:10" x14ac:dyDescent="0.25">
      <c r="A80" s="11"/>
      <c r="D80" s="13"/>
      <c r="E80" s="13"/>
      <c r="F80" s="13"/>
      <c r="G80" s="11"/>
    </row>
    <row r="81" spans="1:7" x14ac:dyDescent="0.25">
      <c r="A81" s="11"/>
      <c r="D81" s="13"/>
      <c r="E81" s="13"/>
      <c r="F81" s="13"/>
      <c r="G81" s="11"/>
    </row>
    <row r="82" spans="1:7" x14ac:dyDescent="0.25">
      <c r="A82" s="11"/>
      <c r="D82" s="13"/>
      <c r="E82" s="13"/>
      <c r="F82" s="13"/>
      <c r="G82" s="11"/>
    </row>
    <row r="83" spans="1:7" x14ac:dyDescent="0.25">
      <c r="A83" s="11"/>
      <c r="D83" s="13"/>
      <c r="E83" s="13"/>
      <c r="F83" s="11"/>
      <c r="G83" s="11"/>
    </row>
    <row r="84" spans="1:7" x14ac:dyDescent="0.25">
      <c r="A84" s="11"/>
      <c r="D84" s="13"/>
      <c r="E84" s="13"/>
      <c r="F84" s="11"/>
      <c r="G84" s="11"/>
    </row>
    <row r="85" spans="1:7" ht="15" customHeight="1" x14ac:dyDescent="0.25">
      <c r="A85" s="11"/>
      <c r="D85" s="13"/>
      <c r="E85" s="13"/>
      <c r="F85" s="11"/>
      <c r="G85" s="11"/>
    </row>
    <row r="86" spans="1:7" x14ac:dyDescent="0.25">
      <c r="A86" s="11"/>
      <c r="D86" s="13"/>
      <c r="E86" s="13"/>
      <c r="F86" s="11"/>
      <c r="G86" s="11"/>
    </row>
    <row r="87" spans="1:7" ht="15" customHeight="1" x14ac:dyDescent="0.25">
      <c r="A87" s="11"/>
      <c r="D87" s="13"/>
      <c r="E87" s="13"/>
      <c r="F87" s="11"/>
      <c r="G87" s="11"/>
    </row>
    <row r="88" spans="1:7" x14ac:dyDescent="0.25">
      <c r="A88" s="11"/>
      <c r="D88" s="13"/>
      <c r="E88" s="13"/>
      <c r="F88" s="11"/>
      <c r="G88" s="11"/>
    </row>
    <row r="89" spans="1:7" x14ac:dyDescent="0.25">
      <c r="A89" s="11"/>
      <c r="D89" s="13"/>
      <c r="E89" s="13"/>
      <c r="F89" s="11"/>
      <c r="G89" s="11"/>
    </row>
    <row r="90" spans="1:7" x14ac:dyDescent="0.25">
      <c r="A90" s="11"/>
      <c r="D90" s="13"/>
      <c r="E90" s="13"/>
      <c r="F90" s="13"/>
      <c r="G90" s="11"/>
    </row>
    <row r="91" spans="1:7" ht="15" customHeight="1" x14ac:dyDescent="0.25">
      <c r="A91" s="11"/>
      <c r="D91" s="13"/>
      <c r="E91" s="13"/>
      <c r="F91" s="13"/>
      <c r="G91" s="11"/>
    </row>
    <row r="92" spans="1:7" x14ac:dyDescent="0.25">
      <c r="A92" s="11"/>
      <c r="D92" s="13"/>
      <c r="E92" s="13"/>
      <c r="F92" s="13"/>
      <c r="G92" s="11"/>
    </row>
    <row r="93" spans="1:7" x14ac:dyDescent="0.25">
      <c r="A93" s="11"/>
      <c r="D93" s="13"/>
      <c r="E93" s="13"/>
      <c r="F93" s="13"/>
      <c r="G93" s="11"/>
    </row>
    <row r="94" spans="1:7" x14ac:dyDescent="0.25">
      <c r="A94" s="11"/>
      <c r="D94" s="13"/>
      <c r="E94" s="13"/>
      <c r="F94" s="13"/>
      <c r="G94" s="11"/>
    </row>
    <row r="95" spans="1:7" x14ac:dyDescent="0.25">
      <c r="A95" s="11"/>
      <c r="D95" s="13"/>
      <c r="E95" s="13"/>
      <c r="F95" s="13"/>
      <c r="G95" s="11"/>
    </row>
    <row r="96" spans="1:7" ht="15" customHeight="1" x14ac:dyDescent="0.25">
      <c r="A96" s="11"/>
      <c r="D96" s="13"/>
      <c r="E96" s="13"/>
      <c r="F96" s="13"/>
      <c r="G96" s="13"/>
    </row>
    <row r="97" spans="1:7" x14ac:dyDescent="0.25">
      <c r="A97" s="11"/>
      <c r="D97" s="13"/>
      <c r="E97" s="11"/>
      <c r="F97" s="13"/>
      <c r="G97" s="11"/>
    </row>
    <row r="98" spans="1:7" x14ac:dyDescent="0.25">
      <c r="A98" s="11"/>
      <c r="D98" s="13"/>
      <c r="E98" s="11"/>
      <c r="F98" s="13"/>
      <c r="G98" s="11"/>
    </row>
    <row r="99" spans="1:7" x14ac:dyDescent="0.25">
      <c r="A99" s="11"/>
      <c r="D99" s="13"/>
      <c r="E99" s="13"/>
      <c r="F99" s="13"/>
      <c r="G99" s="13"/>
    </row>
    <row r="100" spans="1:7" ht="15" customHeight="1" x14ac:dyDescent="0.25">
      <c r="A100" s="11"/>
      <c r="D100" s="13"/>
      <c r="E100" s="13"/>
      <c r="F100" s="13"/>
      <c r="G100" s="11"/>
    </row>
    <row r="101" spans="1:7" x14ac:dyDescent="0.25">
      <c r="A101" s="11"/>
      <c r="D101" s="13"/>
      <c r="E101" s="13"/>
      <c r="F101" s="11"/>
      <c r="G101" s="11"/>
    </row>
    <row r="102" spans="1:7" x14ac:dyDescent="0.25">
      <c r="A102" s="11"/>
      <c r="D102" s="13"/>
      <c r="E102" s="13"/>
      <c r="F102" s="11"/>
      <c r="G102" s="13"/>
    </row>
    <row r="103" spans="1:7" x14ac:dyDescent="0.25">
      <c r="A103" s="11"/>
      <c r="D103" s="13"/>
      <c r="E103" s="13"/>
      <c r="F103" s="11"/>
      <c r="G103" s="11"/>
    </row>
    <row r="104" spans="1:7" x14ac:dyDescent="0.25">
      <c r="A104" s="11"/>
      <c r="D104" s="13"/>
      <c r="E104" s="13"/>
      <c r="F104" s="11"/>
      <c r="G104" s="11"/>
    </row>
    <row r="105" spans="1:7" x14ac:dyDescent="0.25">
      <c r="A105" s="11"/>
      <c r="D105" s="13"/>
      <c r="E105" s="13"/>
      <c r="F105" s="11"/>
      <c r="G105" s="11"/>
    </row>
    <row r="106" spans="1:7" x14ac:dyDescent="0.25">
      <c r="A106" s="11"/>
      <c r="D106" s="13"/>
      <c r="E106" s="13"/>
      <c r="F106" s="11"/>
      <c r="G106" s="11"/>
    </row>
    <row r="107" spans="1:7" x14ac:dyDescent="0.25">
      <c r="A107" s="11"/>
      <c r="D107" s="13"/>
      <c r="E107" s="13"/>
      <c r="F107" s="13"/>
      <c r="G107" s="11"/>
    </row>
    <row r="108" spans="1:7" x14ac:dyDescent="0.25">
      <c r="A108" s="11"/>
      <c r="D108" s="13"/>
      <c r="E108" s="13"/>
      <c r="F108" s="13"/>
      <c r="G108" s="11"/>
    </row>
    <row r="109" spans="1:7" ht="15" customHeight="1" x14ac:dyDescent="0.25">
      <c r="A109" s="11"/>
      <c r="D109" s="13"/>
      <c r="E109" s="13"/>
      <c r="F109" s="13"/>
      <c r="G109" s="13"/>
    </row>
    <row r="110" spans="1:7" x14ac:dyDescent="0.25">
      <c r="A110" s="11"/>
      <c r="D110" s="13"/>
      <c r="E110" s="13"/>
      <c r="F110" s="13"/>
      <c r="G110" s="11"/>
    </row>
    <row r="111" spans="1:7" x14ac:dyDescent="0.25">
      <c r="A111" s="11"/>
      <c r="D111" s="13"/>
      <c r="E111" s="13"/>
      <c r="F111" s="11"/>
      <c r="G111" s="11"/>
    </row>
    <row r="112" spans="1:7" x14ac:dyDescent="0.25">
      <c r="A112" s="11"/>
      <c r="D112" s="13"/>
      <c r="E112" s="13"/>
      <c r="F112" s="11"/>
      <c r="G112" s="13"/>
    </row>
    <row r="113" spans="1:7" x14ac:dyDescent="0.25">
      <c r="A113" s="11"/>
      <c r="D113" s="13"/>
      <c r="E113" s="13"/>
      <c r="F113" s="11"/>
      <c r="G113" s="11"/>
    </row>
    <row r="114" spans="1:7" x14ac:dyDescent="0.25">
      <c r="A114" s="11"/>
      <c r="D114" s="13"/>
      <c r="E114" s="13"/>
      <c r="F114" s="11"/>
      <c r="G114" s="13"/>
    </row>
    <row r="115" spans="1:7" x14ac:dyDescent="0.25">
      <c r="A115" s="11"/>
      <c r="D115" s="13"/>
      <c r="E115" s="13"/>
      <c r="F115" s="11"/>
      <c r="G115" s="11"/>
    </row>
    <row r="116" spans="1:7" x14ac:dyDescent="0.25">
      <c r="A116" s="11"/>
      <c r="D116" s="13"/>
      <c r="E116" s="13"/>
      <c r="F116" s="11"/>
      <c r="G116" s="13"/>
    </row>
    <row r="117" spans="1:7" x14ac:dyDescent="0.25">
      <c r="A117" s="11"/>
      <c r="D117" s="13"/>
      <c r="E117" s="13"/>
      <c r="F117" s="11"/>
      <c r="G117" s="11"/>
    </row>
    <row r="118" spans="1:7" ht="15" customHeight="1" x14ac:dyDescent="0.25">
      <c r="A118" s="11"/>
      <c r="D118" s="13"/>
      <c r="E118" s="13"/>
      <c r="F118" s="11"/>
      <c r="G118" s="13"/>
    </row>
    <row r="119" spans="1:7" x14ac:dyDescent="0.25">
      <c r="A119" s="11"/>
      <c r="D119" s="13"/>
      <c r="E119" s="13"/>
      <c r="F119" s="11"/>
      <c r="G119" s="11"/>
    </row>
    <row r="120" spans="1:7" ht="15" customHeight="1" x14ac:dyDescent="0.25">
      <c r="A120" s="11"/>
      <c r="D120" s="13"/>
      <c r="E120" s="13"/>
      <c r="F120" s="11"/>
      <c r="G120" s="13"/>
    </row>
    <row r="121" spans="1:7" x14ac:dyDescent="0.25">
      <c r="A121" s="11"/>
      <c r="D121" s="13"/>
      <c r="E121" s="13"/>
      <c r="F121" s="11"/>
      <c r="G121" s="13"/>
    </row>
    <row r="122" spans="1:7" x14ac:dyDescent="0.25">
      <c r="A122" s="11"/>
      <c r="D122" s="13"/>
      <c r="E122" s="13"/>
      <c r="F122" s="11"/>
      <c r="G122" s="11"/>
    </row>
    <row r="123" spans="1:7" x14ac:dyDescent="0.25">
      <c r="A123" s="11"/>
      <c r="D123" s="13"/>
      <c r="E123" s="13"/>
      <c r="F123" s="11"/>
      <c r="G123" s="13"/>
    </row>
    <row r="124" spans="1:7" x14ac:dyDescent="0.25">
      <c r="A124" s="11"/>
      <c r="D124" s="13"/>
      <c r="E124" s="13"/>
      <c r="F124" s="11"/>
      <c r="G124" s="13"/>
    </row>
    <row r="125" spans="1:7" x14ac:dyDescent="0.25">
      <c r="A125" s="11"/>
      <c r="D125" s="13"/>
      <c r="E125" s="13"/>
      <c r="F125" s="11"/>
      <c r="G125" s="11"/>
    </row>
    <row r="126" spans="1:7" x14ac:dyDescent="0.25">
      <c r="A126" s="11"/>
      <c r="D126" s="13"/>
      <c r="E126" s="13"/>
      <c r="F126" s="11"/>
      <c r="G126" s="13"/>
    </row>
    <row r="127" spans="1:7" x14ac:dyDescent="0.25">
      <c r="A127" s="11"/>
      <c r="D127" s="13"/>
      <c r="E127" s="13"/>
      <c r="F127" s="11"/>
      <c r="G127" s="11"/>
    </row>
    <row r="128" spans="1:7" x14ac:dyDescent="0.25">
      <c r="A128" s="11"/>
      <c r="D128" s="13"/>
      <c r="E128" s="13"/>
      <c r="F128" s="11"/>
      <c r="G128" s="13"/>
    </row>
    <row r="129" spans="1:7" x14ac:dyDescent="0.25">
      <c r="A129" s="11"/>
      <c r="D129" s="13"/>
      <c r="E129" s="13"/>
      <c r="F129" s="11"/>
      <c r="G129" s="11"/>
    </row>
    <row r="130" spans="1:7" ht="15" customHeight="1" x14ac:dyDescent="0.25">
      <c r="A130" s="11"/>
      <c r="D130" s="13"/>
      <c r="E130" s="13"/>
      <c r="F130" s="11"/>
      <c r="G130" s="13"/>
    </row>
    <row r="131" spans="1:7" x14ac:dyDescent="0.25">
      <c r="A131" s="11"/>
      <c r="D131" s="13"/>
      <c r="E131" s="13"/>
      <c r="F131" s="11"/>
      <c r="G131" s="11"/>
    </row>
    <row r="132" spans="1:7" x14ac:dyDescent="0.25">
      <c r="A132" s="11"/>
      <c r="D132" s="13"/>
      <c r="E132" s="13"/>
      <c r="F132" s="11"/>
      <c r="G132" s="13"/>
    </row>
    <row r="133" spans="1:7" x14ac:dyDescent="0.25">
      <c r="A133" s="11"/>
      <c r="D133" s="13"/>
      <c r="E133" s="13"/>
      <c r="F133" s="11"/>
      <c r="G133" s="11"/>
    </row>
    <row r="134" spans="1:7" x14ac:dyDescent="0.25">
      <c r="A134" s="11"/>
      <c r="D134" s="13"/>
      <c r="E134" s="13"/>
      <c r="F134" s="11"/>
      <c r="G134" s="13"/>
    </row>
    <row r="135" spans="1:7" x14ac:dyDescent="0.25">
      <c r="A135" s="11"/>
      <c r="D135" s="13"/>
      <c r="E135" s="13"/>
      <c r="F135" s="11"/>
      <c r="G135" s="11"/>
    </row>
    <row r="136" spans="1:7" x14ac:dyDescent="0.25">
      <c r="A136" s="11"/>
      <c r="D136" s="13"/>
      <c r="E136" s="13"/>
      <c r="F136" s="11"/>
      <c r="G136" s="13"/>
    </row>
    <row r="137" spans="1:7" x14ac:dyDescent="0.25">
      <c r="A137" s="11"/>
      <c r="D137" s="13"/>
      <c r="E137" s="13"/>
      <c r="F137" s="11"/>
      <c r="G137" s="11"/>
    </row>
    <row r="138" spans="1:7" x14ac:dyDescent="0.25">
      <c r="A138" s="11"/>
      <c r="D138" s="13"/>
      <c r="E138" s="13"/>
      <c r="F138" s="11"/>
      <c r="G138" s="11"/>
    </row>
    <row r="139" spans="1:7" x14ac:dyDescent="0.25">
      <c r="A139" s="11"/>
      <c r="D139" s="13"/>
      <c r="E139" s="13"/>
      <c r="F139" s="11"/>
      <c r="G139" s="13"/>
    </row>
    <row r="140" spans="1:7" x14ac:dyDescent="0.25">
      <c r="A140" s="11"/>
      <c r="D140" s="13"/>
      <c r="E140" s="13"/>
      <c r="F140" s="11"/>
      <c r="G140" s="11"/>
    </row>
    <row r="141" spans="1:7" x14ac:dyDescent="0.25">
      <c r="A141" s="11"/>
      <c r="D141" s="11"/>
      <c r="E141" s="13"/>
      <c r="F141" s="11"/>
      <c r="G141" s="11"/>
    </row>
    <row r="142" spans="1:7" x14ac:dyDescent="0.25">
      <c r="A142" s="11"/>
      <c r="D142" s="13"/>
      <c r="E142" s="13"/>
      <c r="F142" s="11"/>
      <c r="G142" s="13"/>
    </row>
    <row r="143" spans="1:7" x14ac:dyDescent="0.25">
      <c r="A143" s="11"/>
      <c r="D143" s="13"/>
      <c r="E143" s="13"/>
      <c r="F143" s="11"/>
      <c r="G143" s="13"/>
    </row>
    <row r="144" spans="1:7" ht="15" customHeight="1" x14ac:dyDescent="0.25">
      <c r="A144" s="11"/>
      <c r="D144" s="13"/>
      <c r="E144" s="13"/>
      <c r="F144" s="11"/>
      <c r="G144" s="11"/>
    </row>
    <row r="145" spans="1:7" x14ac:dyDescent="0.25">
      <c r="A145" s="11"/>
      <c r="D145" s="13"/>
      <c r="E145" s="13"/>
      <c r="F145" s="11"/>
      <c r="G145" s="13"/>
    </row>
    <row r="146" spans="1:7" x14ac:dyDescent="0.25">
      <c r="A146" s="11"/>
      <c r="D146" s="13"/>
      <c r="E146" s="13"/>
      <c r="F146" s="13"/>
      <c r="G146" s="13"/>
    </row>
    <row r="147" spans="1:7" x14ac:dyDescent="0.25">
      <c r="A147" s="11"/>
      <c r="D147" s="13"/>
      <c r="E147" s="13"/>
      <c r="F147" s="13"/>
      <c r="G147" s="11"/>
    </row>
    <row r="148" spans="1:7" x14ac:dyDescent="0.25">
      <c r="A148" s="11"/>
      <c r="D148" s="13"/>
      <c r="E148" s="13"/>
      <c r="F148" s="13"/>
      <c r="G148" s="13"/>
    </row>
    <row r="149" spans="1:7" x14ac:dyDescent="0.25">
      <c r="A149" s="11"/>
      <c r="D149" s="13"/>
      <c r="E149" s="11"/>
      <c r="F149" s="13"/>
      <c r="G149" s="11"/>
    </row>
    <row r="150" spans="1:7" x14ac:dyDescent="0.25">
      <c r="A150" s="11"/>
      <c r="D150" s="13"/>
      <c r="E150" s="11"/>
      <c r="F150" s="11"/>
      <c r="G150" s="11"/>
    </row>
    <row r="151" spans="1:7" ht="15" customHeight="1" x14ac:dyDescent="0.25">
      <c r="A151" s="11"/>
      <c r="D151" s="13"/>
      <c r="E151" s="13"/>
      <c r="F151" s="11"/>
      <c r="G151" s="13"/>
    </row>
    <row r="152" spans="1:7" x14ac:dyDescent="0.25">
      <c r="A152" s="11"/>
      <c r="D152" s="13"/>
      <c r="E152" s="13"/>
      <c r="F152" s="11"/>
      <c r="G152" s="11"/>
    </row>
    <row r="153" spans="1:7" x14ac:dyDescent="0.25">
      <c r="A153" s="11"/>
      <c r="D153" s="13"/>
      <c r="E153" s="13"/>
      <c r="F153" s="11"/>
      <c r="G153" s="13"/>
    </row>
    <row r="154" spans="1:7" x14ac:dyDescent="0.25">
      <c r="A154" s="11"/>
      <c r="D154" s="13"/>
      <c r="E154" s="13"/>
      <c r="F154" s="11"/>
      <c r="G154" s="11"/>
    </row>
    <row r="155" spans="1:7" x14ac:dyDescent="0.25">
      <c r="A155" s="11"/>
      <c r="D155" s="13"/>
      <c r="E155" s="13"/>
      <c r="F155" s="11"/>
      <c r="G155" s="13"/>
    </row>
    <row r="156" spans="1:7" x14ac:dyDescent="0.25">
      <c r="A156" s="11"/>
      <c r="D156" s="13"/>
      <c r="E156" s="13"/>
      <c r="F156" s="11"/>
      <c r="G156" s="11"/>
    </row>
    <row r="157" spans="1:7" x14ac:dyDescent="0.25">
      <c r="A157" s="11"/>
      <c r="D157" s="13"/>
      <c r="E157" s="13"/>
      <c r="F157" s="11"/>
      <c r="G157" s="13"/>
    </row>
    <row r="158" spans="1:7" x14ac:dyDescent="0.25">
      <c r="A158" s="11"/>
      <c r="D158" s="13"/>
      <c r="E158" s="13"/>
      <c r="F158" s="11"/>
      <c r="G158" s="11"/>
    </row>
    <row r="159" spans="1:7" x14ac:dyDescent="0.25">
      <c r="A159" s="11"/>
      <c r="D159" s="13"/>
      <c r="E159" s="13"/>
      <c r="F159" s="11"/>
      <c r="G159" s="13"/>
    </row>
    <row r="160" spans="1:7" x14ac:dyDescent="0.25">
      <c r="A160" s="11"/>
      <c r="D160" s="13"/>
      <c r="E160" s="13"/>
      <c r="F160" s="11"/>
      <c r="G160" s="13"/>
    </row>
    <row r="161" spans="1:7" x14ac:dyDescent="0.25">
      <c r="A161" s="11"/>
      <c r="D161" s="13"/>
      <c r="E161" s="13"/>
      <c r="F161" s="11"/>
      <c r="G161" s="11"/>
    </row>
    <row r="162" spans="1:7" x14ac:dyDescent="0.25">
      <c r="A162" s="11"/>
      <c r="D162" s="13"/>
      <c r="E162" s="13"/>
      <c r="F162" s="11"/>
      <c r="G162" s="13"/>
    </row>
    <row r="163" spans="1:7" x14ac:dyDescent="0.25">
      <c r="A163" s="11"/>
      <c r="D163" s="13"/>
      <c r="E163" s="13"/>
      <c r="F163" s="11"/>
      <c r="G163" s="13"/>
    </row>
    <row r="164" spans="1:7" x14ac:dyDescent="0.25">
      <c r="A164" s="11"/>
      <c r="D164" s="13"/>
      <c r="E164" s="13"/>
      <c r="F164" s="11"/>
      <c r="G164" s="11"/>
    </row>
    <row r="165" spans="1:7" x14ac:dyDescent="0.25">
      <c r="A165" s="11"/>
      <c r="D165" s="13"/>
      <c r="E165" s="13"/>
      <c r="F165" s="11"/>
      <c r="G165" s="13"/>
    </row>
    <row r="166" spans="1:7" x14ac:dyDescent="0.25">
      <c r="A166" s="11"/>
      <c r="D166" s="13"/>
      <c r="E166" s="13"/>
      <c r="F166" s="11"/>
      <c r="G166" s="13"/>
    </row>
    <row r="167" spans="1:7" ht="15" customHeight="1" x14ac:dyDescent="0.25">
      <c r="A167" s="11"/>
      <c r="D167" s="13"/>
      <c r="E167" s="13"/>
      <c r="F167" s="11"/>
      <c r="G167" s="11"/>
    </row>
    <row r="168" spans="1:7" x14ac:dyDescent="0.25">
      <c r="A168" s="11"/>
      <c r="D168" s="13"/>
      <c r="E168" s="13"/>
      <c r="F168" s="11"/>
      <c r="G168" s="13"/>
    </row>
    <row r="169" spans="1:7" x14ac:dyDescent="0.25">
      <c r="A169" s="11"/>
      <c r="D169" s="13"/>
      <c r="E169" s="13"/>
      <c r="F169" s="11"/>
      <c r="G169" s="11"/>
    </row>
    <row r="170" spans="1:7" x14ac:dyDescent="0.25">
      <c r="A170" s="11"/>
      <c r="D170" s="13"/>
      <c r="E170" s="13"/>
      <c r="F170" s="11"/>
      <c r="G170" s="11"/>
    </row>
    <row r="171" spans="1:7" ht="15" customHeight="1" x14ac:dyDescent="0.25">
      <c r="A171" s="11"/>
      <c r="D171" s="13"/>
      <c r="E171" s="13"/>
      <c r="F171" s="13"/>
      <c r="G171" s="13"/>
    </row>
    <row r="172" spans="1:7" x14ac:dyDescent="0.25">
      <c r="A172" s="11"/>
      <c r="D172" s="13"/>
      <c r="E172" s="13"/>
      <c r="F172" s="13"/>
      <c r="G172" s="13"/>
    </row>
    <row r="173" spans="1:7" x14ac:dyDescent="0.25">
      <c r="A173" s="11"/>
      <c r="D173" s="13"/>
      <c r="E173" s="13"/>
      <c r="F173" s="13"/>
      <c r="G173" s="11"/>
    </row>
    <row r="174" spans="1:7" x14ac:dyDescent="0.25">
      <c r="A174" s="11"/>
      <c r="D174" s="13"/>
      <c r="E174" s="13"/>
      <c r="F174" s="13"/>
      <c r="G174" s="11"/>
    </row>
    <row r="175" spans="1:7" x14ac:dyDescent="0.25">
      <c r="A175" s="11"/>
      <c r="D175" s="13"/>
      <c r="E175" s="13"/>
      <c r="F175" s="13"/>
      <c r="G175" s="11"/>
    </row>
    <row r="176" spans="1:7" x14ac:dyDescent="0.25">
      <c r="A176" s="11"/>
      <c r="D176" s="13"/>
      <c r="E176" s="13"/>
      <c r="F176" s="11"/>
      <c r="G176" s="11"/>
    </row>
    <row r="177" spans="1:7" x14ac:dyDescent="0.25">
      <c r="A177" s="11"/>
      <c r="D177" s="13"/>
      <c r="E177" s="13"/>
      <c r="F177" s="11"/>
      <c r="G177" s="11"/>
    </row>
    <row r="178" spans="1:7" x14ac:dyDescent="0.25">
      <c r="A178" s="11"/>
      <c r="D178" s="13"/>
      <c r="E178" s="13"/>
      <c r="F178" s="11"/>
      <c r="G178" s="11"/>
    </row>
    <row r="179" spans="1:7" x14ac:dyDescent="0.25">
      <c r="A179" s="11"/>
      <c r="D179" s="13"/>
      <c r="E179" s="13"/>
      <c r="F179" s="11"/>
      <c r="G179" s="11"/>
    </row>
    <row r="180" spans="1:7" x14ac:dyDescent="0.25">
      <c r="A180" s="11"/>
      <c r="D180" s="13"/>
      <c r="E180" s="13"/>
      <c r="F180" s="11"/>
      <c r="G180" s="11"/>
    </row>
    <row r="181" spans="1:7" ht="15" customHeight="1" x14ac:dyDescent="0.25">
      <c r="A181" s="11"/>
      <c r="D181" s="13"/>
      <c r="E181" s="13"/>
      <c r="F181" s="11"/>
      <c r="G181" s="11"/>
    </row>
    <row r="182" spans="1:7" x14ac:dyDescent="0.25">
      <c r="A182" s="11"/>
      <c r="D182" s="13"/>
      <c r="E182" s="13"/>
      <c r="F182" s="11"/>
      <c r="G182" s="11"/>
    </row>
    <row r="183" spans="1:7" x14ac:dyDescent="0.25">
      <c r="A183" s="11"/>
      <c r="D183" s="13"/>
      <c r="E183" s="13"/>
      <c r="F183" s="11"/>
      <c r="G183" s="11"/>
    </row>
    <row r="184" spans="1:7" x14ac:dyDescent="0.25">
      <c r="A184" s="11"/>
      <c r="D184" s="13"/>
      <c r="E184" s="13"/>
      <c r="F184" s="11"/>
      <c r="G184" s="11"/>
    </row>
    <row r="185" spans="1:7" x14ac:dyDescent="0.25">
      <c r="A185" s="11"/>
      <c r="D185" s="13"/>
      <c r="E185" s="13"/>
      <c r="F185" s="11"/>
      <c r="G185" s="11"/>
    </row>
    <row r="186" spans="1:7" x14ac:dyDescent="0.25">
      <c r="A186" s="11"/>
      <c r="D186" s="13"/>
      <c r="E186" s="13"/>
      <c r="F186" s="11"/>
      <c r="G186" s="13"/>
    </row>
    <row r="187" spans="1:7" x14ac:dyDescent="0.25">
      <c r="A187" s="11"/>
      <c r="D187" s="13"/>
      <c r="E187" s="13"/>
      <c r="F187" s="11"/>
      <c r="G187" s="13"/>
    </row>
    <row r="188" spans="1:7" x14ac:dyDescent="0.25">
      <c r="A188" s="11"/>
      <c r="D188" s="13"/>
      <c r="E188" s="13"/>
      <c r="F188" s="11"/>
      <c r="G188" s="11"/>
    </row>
    <row r="189" spans="1:7" x14ac:dyDescent="0.25">
      <c r="A189" s="11"/>
      <c r="D189" s="13"/>
      <c r="E189" s="13"/>
      <c r="F189" s="11"/>
      <c r="G189" s="13"/>
    </row>
    <row r="190" spans="1:7" x14ac:dyDescent="0.25">
      <c r="A190" s="11"/>
      <c r="D190" s="13"/>
      <c r="E190" s="13"/>
      <c r="F190" s="11"/>
      <c r="G190" s="13"/>
    </row>
    <row r="191" spans="1:7" x14ac:dyDescent="0.25">
      <c r="A191" s="11"/>
      <c r="D191" s="13"/>
      <c r="E191" s="13"/>
      <c r="F191" s="11"/>
      <c r="G191" s="11"/>
    </row>
    <row r="192" spans="1:7" ht="15" customHeight="1" x14ac:dyDescent="0.25">
      <c r="A192" s="11"/>
      <c r="D192" s="13"/>
      <c r="E192" s="13"/>
      <c r="F192" s="11"/>
      <c r="G192" s="13"/>
    </row>
    <row r="193" spans="1:7" x14ac:dyDescent="0.25">
      <c r="A193" s="11"/>
      <c r="D193" s="13"/>
      <c r="E193" s="13"/>
      <c r="F193" s="11"/>
      <c r="G193" s="13"/>
    </row>
    <row r="194" spans="1:7" x14ac:dyDescent="0.25">
      <c r="A194" s="11"/>
      <c r="D194" s="13"/>
      <c r="E194" s="13"/>
      <c r="F194" s="11"/>
      <c r="G194" s="11"/>
    </row>
    <row r="195" spans="1:7" ht="15" customHeight="1" x14ac:dyDescent="0.25">
      <c r="A195" s="11"/>
      <c r="D195" s="13"/>
      <c r="E195" s="13"/>
      <c r="F195" s="11"/>
      <c r="G195" s="13"/>
    </row>
    <row r="196" spans="1:7" x14ac:dyDescent="0.25">
      <c r="A196" s="11"/>
      <c r="D196" s="13"/>
      <c r="E196" s="13"/>
      <c r="F196" s="13"/>
      <c r="G196" s="11"/>
    </row>
    <row r="197" spans="1:7" x14ac:dyDescent="0.25">
      <c r="A197" s="11"/>
      <c r="D197" s="13"/>
      <c r="E197" s="13"/>
      <c r="F197" s="13"/>
      <c r="G197" s="11"/>
    </row>
    <row r="198" spans="1:7" x14ac:dyDescent="0.25">
      <c r="A198" s="11"/>
      <c r="D198" s="11"/>
      <c r="E198" s="13"/>
      <c r="F198" s="13"/>
      <c r="G198" s="11"/>
    </row>
    <row r="199" spans="1:7" x14ac:dyDescent="0.25">
      <c r="A199" s="11"/>
      <c r="D199" s="13"/>
      <c r="E199" s="13"/>
      <c r="F199" s="13"/>
      <c r="G199" s="11"/>
    </row>
    <row r="200" spans="1:7" x14ac:dyDescent="0.25">
      <c r="A200" s="11"/>
      <c r="D200" s="13"/>
      <c r="E200" s="13"/>
      <c r="F200" s="13"/>
      <c r="G200" s="11"/>
    </row>
    <row r="201" spans="1:7" x14ac:dyDescent="0.25">
      <c r="A201" s="11"/>
      <c r="D201" s="13"/>
      <c r="E201" s="13"/>
      <c r="F201" s="13"/>
      <c r="G201" s="11"/>
    </row>
    <row r="202" spans="1:7" x14ac:dyDescent="0.25">
      <c r="A202" s="11"/>
      <c r="D202" s="13"/>
      <c r="E202" s="13"/>
      <c r="F202" s="11"/>
      <c r="G202" s="11"/>
    </row>
    <row r="203" spans="1:7" x14ac:dyDescent="0.25">
      <c r="A203" s="11"/>
      <c r="D203" s="13"/>
      <c r="E203" s="13"/>
      <c r="F203" s="11"/>
      <c r="G203" s="11"/>
    </row>
    <row r="204" spans="1:7" x14ac:dyDescent="0.25">
      <c r="A204" s="11"/>
      <c r="D204" s="13"/>
      <c r="E204" s="13"/>
      <c r="F204" s="11"/>
      <c r="G204" s="11"/>
    </row>
    <row r="205" spans="1:7" x14ac:dyDescent="0.25">
      <c r="A205" s="11"/>
      <c r="D205" s="13"/>
      <c r="E205" s="13"/>
      <c r="F205" s="11"/>
      <c r="G205" s="11"/>
    </row>
    <row r="206" spans="1:7" x14ac:dyDescent="0.25">
      <c r="A206" s="11"/>
      <c r="D206" s="13"/>
      <c r="E206" s="13"/>
      <c r="F206" s="11"/>
      <c r="G206" s="11"/>
    </row>
    <row r="207" spans="1:7" x14ac:dyDescent="0.25">
      <c r="A207" s="11"/>
      <c r="D207" s="13"/>
      <c r="E207" s="13"/>
      <c r="F207" s="11"/>
      <c r="G207" s="11"/>
    </row>
    <row r="208" spans="1:7" x14ac:dyDescent="0.25">
      <c r="A208" s="11"/>
      <c r="D208" s="13"/>
      <c r="E208" s="13"/>
      <c r="F208" s="11"/>
      <c r="G208" s="13"/>
    </row>
    <row r="209" spans="1:7" x14ac:dyDescent="0.25">
      <c r="A209" s="11"/>
      <c r="D209" s="13"/>
      <c r="E209" s="13"/>
      <c r="F209" s="11"/>
      <c r="G209" s="13"/>
    </row>
    <row r="210" spans="1:7" x14ac:dyDescent="0.25">
      <c r="A210" s="11"/>
      <c r="D210" s="13"/>
      <c r="E210" s="13"/>
      <c r="F210" s="11"/>
      <c r="G210" s="13"/>
    </row>
    <row r="211" spans="1:7" ht="15" customHeight="1" x14ac:dyDescent="0.25">
      <c r="A211" s="11"/>
      <c r="D211" s="13"/>
      <c r="E211" s="13"/>
      <c r="F211" s="11"/>
      <c r="G211" s="13"/>
    </row>
    <row r="212" spans="1:7" x14ac:dyDescent="0.25">
      <c r="A212" s="11"/>
      <c r="D212" s="13"/>
      <c r="E212" s="13"/>
      <c r="F212" s="11"/>
      <c r="G212" s="13"/>
    </row>
    <row r="213" spans="1:7" x14ac:dyDescent="0.25">
      <c r="A213" s="11"/>
      <c r="D213" s="13"/>
      <c r="E213" s="13"/>
      <c r="F213" s="11"/>
      <c r="G213" s="11"/>
    </row>
    <row r="214" spans="1:7" x14ac:dyDescent="0.25">
      <c r="A214" s="11"/>
      <c r="D214" s="13"/>
      <c r="E214" s="13"/>
      <c r="F214" s="11"/>
      <c r="G214" s="13"/>
    </row>
    <row r="215" spans="1:7" x14ac:dyDescent="0.25">
      <c r="A215" s="11"/>
      <c r="D215" s="13"/>
      <c r="E215" s="13"/>
      <c r="F215" s="11"/>
      <c r="G215" s="13"/>
    </row>
    <row r="216" spans="1:7" x14ac:dyDescent="0.25">
      <c r="A216" s="11"/>
      <c r="D216" s="13"/>
      <c r="E216" s="13"/>
      <c r="F216" s="11"/>
      <c r="G216" s="11"/>
    </row>
    <row r="217" spans="1:7" ht="15" customHeight="1" x14ac:dyDescent="0.25">
      <c r="A217" s="11"/>
      <c r="D217" s="13"/>
      <c r="E217" s="13"/>
      <c r="F217" s="11"/>
      <c r="G217" s="13"/>
    </row>
    <row r="218" spans="1:7" x14ac:dyDescent="0.25">
      <c r="A218" s="11"/>
      <c r="D218" s="13"/>
      <c r="E218" s="13"/>
      <c r="F218" s="11"/>
      <c r="G218" s="13"/>
    </row>
    <row r="219" spans="1:7" x14ac:dyDescent="0.25">
      <c r="A219" s="11"/>
      <c r="D219" s="13"/>
      <c r="E219" s="13"/>
      <c r="F219" s="11"/>
      <c r="G219" s="11"/>
    </row>
    <row r="220" spans="1:7" ht="15" customHeight="1" x14ac:dyDescent="0.25">
      <c r="A220" s="11"/>
      <c r="D220" s="13"/>
      <c r="E220" s="13"/>
      <c r="F220" s="11"/>
      <c r="G220" s="13"/>
    </row>
    <row r="221" spans="1:7" x14ac:dyDescent="0.25">
      <c r="A221" s="11"/>
      <c r="D221" s="13"/>
      <c r="E221" s="13"/>
      <c r="F221" s="11"/>
      <c r="G221" s="11"/>
    </row>
    <row r="222" spans="1:7" x14ac:dyDescent="0.25">
      <c r="A222" s="11"/>
      <c r="D222" s="13"/>
      <c r="E222" s="13"/>
      <c r="F222" s="11"/>
      <c r="G222" s="13"/>
    </row>
    <row r="223" spans="1:7" ht="15" customHeight="1" x14ac:dyDescent="0.25">
      <c r="A223" s="11"/>
      <c r="D223" s="13"/>
      <c r="E223" s="13"/>
      <c r="F223" s="11"/>
      <c r="G223" s="13"/>
    </row>
    <row r="224" spans="1:7" x14ac:dyDescent="0.25">
      <c r="A224" s="11"/>
      <c r="D224" s="13"/>
      <c r="E224" s="13"/>
      <c r="F224" s="11"/>
      <c r="G224" s="11"/>
    </row>
    <row r="225" spans="1:7" x14ac:dyDescent="0.25">
      <c r="A225" s="11"/>
      <c r="D225" s="13"/>
      <c r="E225" s="13"/>
      <c r="F225" s="11"/>
      <c r="G225" s="13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182F-5D40-48CA-9C2D-8E6F79DDBE00}">
  <sheetPr codeName="Лист33"/>
  <dimension ref="A1:J190"/>
  <sheetViews>
    <sheetView workbookViewId="0">
      <selection activeCell="M45" sqref="M45"/>
    </sheetView>
  </sheetViews>
  <sheetFormatPr defaultRowHeight="15" x14ac:dyDescent="0.25"/>
  <sheetData>
    <row r="1" spans="1:10" ht="75" x14ac:dyDescent="0.2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  <c r="I1" s="11" t="s">
        <v>3356</v>
      </c>
      <c r="J1" s="11" t="s">
        <v>2387</v>
      </c>
    </row>
    <row r="2" spans="1:10" x14ac:dyDescent="0.25">
      <c r="A2" s="81">
        <v>20</v>
      </c>
      <c r="B2" s="91">
        <v>16</v>
      </c>
      <c r="C2" s="73">
        <v>28</v>
      </c>
      <c r="D2" s="102">
        <v>11</v>
      </c>
      <c r="E2" s="102">
        <v>96</v>
      </c>
      <c r="F2" s="73">
        <v>65</v>
      </c>
      <c r="G2" s="79">
        <v>4</v>
      </c>
      <c r="H2" s="73">
        <v>14</v>
      </c>
      <c r="I2" s="93" t="s">
        <v>3604</v>
      </c>
      <c r="J2" s="73" t="s">
        <v>3623</v>
      </c>
    </row>
    <row r="3" spans="1:10" ht="15" customHeight="1" x14ac:dyDescent="0.25">
      <c r="A3" s="82">
        <v>25</v>
      </c>
      <c r="B3" s="92">
        <v>16</v>
      </c>
      <c r="C3" s="72">
        <v>34</v>
      </c>
      <c r="D3" s="101">
        <v>12</v>
      </c>
      <c r="E3" s="101">
        <v>105</v>
      </c>
      <c r="F3" s="72">
        <v>75</v>
      </c>
      <c r="G3" s="78">
        <v>4</v>
      </c>
      <c r="H3" s="72">
        <v>14</v>
      </c>
      <c r="I3" s="94" t="s">
        <v>3605</v>
      </c>
      <c r="J3" s="72" t="s">
        <v>3624</v>
      </c>
    </row>
    <row r="4" spans="1:10" x14ac:dyDescent="0.25">
      <c r="A4" s="81">
        <v>32</v>
      </c>
      <c r="B4" s="91">
        <v>16</v>
      </c>
      <c r="C4" s="73">
        <v>42</v>
      </c>
      <c r="D4" s="102">
        <v>14</v>
      </c>
      <c r="E4" s="102">
        <v>115</v>
      </c>
      <c r="F4" s="73">
        <v>85</v>
      </c>
      <c r="G4" s="79">
        <v>4</v>
      </c>
      <c r="H4" s="73">
        <v>14</v>
      </c>
      <c r="I4" s="93" t="s">
        <v>3606</v>
      </c>
      <c r="J4" s="73" t="s">
        <v>3625</v>
      </c>
    </row>
    <row r="5" spans="1:10" ht="15" customHeight="1" x14ac:dyDescent="0.25">
      <c r="A5" s="82">
        <v>40</v>
      </c>
      <c r="B5" s="92">
        <v>16</v>
      </c>
      <c r="C5" s="72">
        <v>51</v>
      </c>
      <c r="D5" s="101">
        <v>15</v>
      </c>
      <c r="E5" s="101">
        <v>140</v>
      </c>
      <c r="F5" s="101">
        <v>100</v>
      </c>
      <c r="G5" s="78">
        <v>4</v>
      </c>
      <c r="H5" s="72">
        <v>14</v>
      </c>
      <c r="I5" s="94" t="s">
        <v>3607</v>
      </c>
      <c r="J5" s="72" t="s">
        <v>3626</v>
      </c>
    </row>
    <row r="6" spans="1:10" x14ac:dyDescent="0.25">
      <c r="A6" s="81">
        <v>50</v>
      </c>
      <c r="B6" s="91">
        <v>16</v>
      </c>
      <c r="C6" s="73">
        <v>62</v>
      </c>
      <c r="D6" s="102">
        <v>16</v>
      </c>
      <c r="E6" s="102">
        <v>150</v>
      </c>
      <c r="F6" s="102">
        <v>110</v>
      </c>
      <c r="G6" s="79">
        <v>4</v>
      </c>
      <c r="H6" s="73">
        <v>18</v>
      </c>
      <c r="I6" s="93" t="s">
        <v>3608</v>
      </c>
      <c r="J6" s="73" t="s">
        <v>3553</v>
      </c>
    </row>
    <row r="7" spans="1:10" x14ac:dyDescent="0.25">
      <c r="A7" s="82">
        <v>63</v>
      </c>
      <c r="B7" s="92">
        <v>16</v>
      </c>
      <c r="C7" s="72">
        <v>78</v>
      </c>
      <c r="D7" s="101">
        <v>18</v>
      </c>
      <c r="E7" s="101">
        <v>165</v>
      </c>
      <c r="F7" s="101">
        <v>125</v>
      </c>
      <c r="G7" s="78">
        <v>4</v>
      </c>
      <c r="H7" s="72">
        <v>18</v>
      </c>
      <c r="I7" s="94" t="s">
        <v>3609</v>
      </c>
      <c r="J7" s="72" t="s">
        <v>3627</v>
      </c>
    </row>
    <row r="8" spans="1:10" ht="15" customHeight="1" x14ac:dyDescent="0.25">
      <c r="A8" s="81">
        <v>75</v>
      </c>
      <c r="B8" s="91">
        <v>16</v>
      </c>
      <c r="C8" s="73">
        <v>92</v>
      </c>
      <c r="D8" s="102">
        <v>20</v>
      </c>
      <c r="E8" s="102">
        <v>185</v>
      </c>
      <c r="F8" s="102">
        <v>145</v>
      </c>
      <c r="G8" s="79">
        <v>4</v>
      </c>
      <c r="H8" s="73">
        <v>18</v>
      </c>
      <c r="I8" s="93" t="s">
        <v>3610</v>
      </c>
      <c r="J8" s="73" t="s">
        <v>3523</v>
      </c>
    </row>
    <row r="9" spans="1:10" ht="15" customHeight="1" x14ac:dyDescent="0.25">
      <c r="A9" s="82">
        <v>90</v>
      </c>
      <c r="B9" s="92">
        <v>16</v>
      </c>
      <c r="C9" s="101">
        <v>111</v>
      </c>
      <c r="D9" s="101">
        <v>22</v>
      </c>
      <c r="E9" s="101">
        <v>200</v>
      </c>
      <c r="F9" s="101">
        <v>160</v>
      </c>
      <c r="G9" s="78">
        <v>8</v>
      </c>
      <c r="H9" s="72">
        <v>18</v>
      </c>
      <c r="I9" s="94" t="s">
        <v>3611</v>
      </c>
      <c r="J9" s="72" t="s">
        <v>3628</v>
      </c>
    </row>
    <row r="10" spans="1:10" x14ac:dyDescent="0.25">
      <c r="A10" s="81">
        <v>110</v>
      </c>
      <c r="B10" s="91">
        <v>16</v>
      </c>
      <c r="C10" s="102">
        <v>133</v>
      </c>
      <c r="D10" s="102">
        <v>24</v>
      </c>
      <c r="E10" s="102">
        <v>220</v>
      </c>
      <c r="F10" s="102">
        <v>180</v>
      </c>
      <c r="G10" s="79">
        <v>8</v>
      </c>
      <c r="H10" s="73">
        <v>18</v>
      </c>
      <c r="I10" s="93" t="s">
        <v>3612</v>
      </c>
      <c r="J10" s="73" t="s">
        <v>3629</v>
      </c>
    </row>
    <row r="11" spans="1:10" ht="15" customHeight="1" x14ac:dyDescent="0.25">
      <c r="A11" s="82">
        <v>125</v>
      </c>
      <c r="B11" s="92">
        <v>16</v>
      </c>
      <c r="C11" s="101">
        <v>150</v>
      </c>
      <c r="D11" s="101">
        <v>26</v>
      </c>
      <c r="E11" s="101">
        <v>250</v>
      </c>
      <c r="F11" s="101">
        <v>210</v>
      </c>
      <c r="G11" s="78">
        <v>8</v>
      </c>
      <c r="H11" s="72">
        <v>18</v>
      </c>
      <c r="I11" s="94" t="s">
        <v>3613</v>
      </c>
      <c r="J11" s="72" t="s">
        <v>3556</v>
      </c>
    </row>
    <row r="12" spans="1:10" x14ac:dyDescent="0.25">
      <c r="A12" s="81">
        <v>140</v>
      </c>
      <c r="B12" s="91">
        <v>16</v>
      </c>
      <c r="C12" s="102">
        <v>167</v>
      </c>
      <c r="D12" s="102">
        <v>26</v>
      </c>
      <c r="E12" s="102">
        <v>250</v>
      </c>
      <c r="F12" s="102">
        <v>210</v>
      </c>
      <c r="G12" s="79">
        <v>8</v>
      </c>
      <c r="H12" s="73">
        <v>18</v>
      </c>
      <c r="I12" s="93" t="s">
        <v>3614</v>
      </c>
      <c r="J12" s="73" t="s">
        <v>3630</v>
      </c>
    </row>
    <row r="13" spans="1:10" x14ac:dyDescent="0.25">
      <c r="A13" s="82">
        <v>160</v>
      </c>
      <c r="B13" s="92">
        <v>16</v>
      </c>
      <c r="C13" s="101">
        <v>193</v>
      </c>
      <c r="D13" s="101">
        <v>28</v>
      </c>
      <c r="E13" s="101">
        <v>285</v>
      </c>
      <c r="F13" s="101">
        <v>250</v>
      </c>
      <c r="G13" s="78">
        <v>8</v>
      </c>
      <c r="H13" s="72">
        <v>22</v>
      </c>
      <c r="I13" s="94" t="s">
        <v>3615</v>
      </c>
      <c r="J13" s="72" t="s">
        <v>3631</v>
      </c>
    </row>
    <row r="14" spans="1:10" ht="15" customHeight="1" x14ac:dyDescent="0.25">
      <c r="A14" s="81">
        <v>200</v>
      </c>
      <c r="B14" s="91">
        <v>16</v>
      </c>
      <c r="C14" s="102">
        <v>234</v>
      </c>
      <c r="D14" s="102">
        <v>32</v>
      </c>
      <c r="E14" s="102">
        <v>340</v>
      </c>
      <c r="F14" s="102">
        <v>295</v>
      </c>
      <c r="G14" s="79">
        <v>8</v>
      </c>
      <c r="H14" s="73">
        <v>22</v>
      </c>
      <c r="I14" s="93" t="s">
        <v>3616</v>
      </c>
      <c r="J14" s="73" t="s">
        <v>3632</v>
      </c>
    </row>
    <row r="15" spans="1:10" ht="15" customHeight="1" x14ac:dyDescent="0.25">
      <c r="A15" s="82">
        <v>225</v>
      </c>
      <c r="B15" s="92">
        <v>16</v>
      </c>
      <c r="C15" s="101">
        <v>257</v>
      </c>
      <c r="D15" s="101">
        <v>32</v>
      </c>
      <c r="E15" s="101">
        <v>340</v>
      </c>
      <c r="F15" s="101">
        <v>295</v>
      </c>
      <c r="G15" s="78">
        <v>8</v>
      </c>
      <c r="H15" s="72">
        <v>22</v>
      </c>
      <c r="I15" s="94" t="s">
        <v>3617</v>
      </c>
      <c r="J15" s="72" t="s">
        <v>3633</v>
      </c>
    </row>
    <row r="16" spans="1:10" x14ac:dyDescent="0.25">
      <c r="A16" s="81">
        <v>250</v>
      </c>
      <c r="B16" s="91">
        <v>16</v>
      </c>
      <c r="C16" s="102">
        <v>278</v>
      </c>
      <c r="D16" s="102">
        <v>36</v>
      </c>
      <c r="E16" s="102">
        <v>370</v>
      </c>
      <c r="F16" s="102">
        <v>325</v>
      </c>
      <c r="G16" s="79">
        <v>8</v>
      </c>
      <c r="H16" s="73">
        <v>22</v>
      </c>
      <c r="I16" s="93" t="s">
        <v>3618</v>
      </c>
      <c r="J16" s="73" t="s">
        <v>3634</v>
      </c>
    </row>
    <row r="17" spans="1:10" ht="15" customHeight="1" x14ac:dyDescent="0.25">
      <c r="A17" s="82">
        <v>280</v>
      </c>
      <c r="B17" s="92">
        <v>10</v>
      </c>
      <c r="C17" s="101">
        <v>310</v>
      </c>
      <c r="D17" s="101">
        <v>36</v>
      </c>
      <c r="E17" s="101">
        <v>395</v>
      </c>
      <c r="F17" s="101">
        <v>350</v>
      </c>
      <c r="G17" s="78">
        <v>12</v>
      </c>
      <c r="H17" s="72">
        <v>22</v>
      </c>
      <c r="I17" s="94" t="s">
        <v>3619</v>
      </c>
      <c r="J17" s="72" t="s">
        <v>3635</v>
      </c>
    </row>
    <row r="18" spans="1:10" x14ac:dyDescent="0.25">
      <c r="A18" s="81">
        <v>315</v>
      </c>
      <c r="B18" s="91">
        <v>10</v>
      </c>
      <c r="C18" s="102">
        <v>348</v>
      </c>
      <c r="D18" s="102">
        <v>36</v>
      </c>
      <c r="E18" s="102">
        <v>445</v>
      </c>
      <c r="F18" s="102">
        <v>400</v>
      </c>
      <c r="G18" s="79">
        <v>12</v>
      </c>
      <c r="H18" s="73">
        <v>22</v>
      </c>
      <c r="I18" s="93" t="s">
        <v>3620</v>
      </c>
      <c r="J18" s="73" t="s">
        <v>3636</v>
      </c>
    </row>
    <row r="19" spans="1:10" x14ac:dyDescent="0.25">
      <c r="A19" s="82">
        <v>355</v>
      </c>
      <c r="B19" s="92">
        <v>10</v>
      </c>
      <c r="C19" s="101">
        <v>388</v>
      </c>
      <c r="D19" s="101">
        <v>38</v>
      </c>
      <c r="E19" s="101">
        <v>505</v>
      </c>
      <c r="F19" s="101">
        <v>460</v>
      </c>
      <c r="G19" s="78">
        <v>16</v>
      </c>
      <c r="H19" s="72">
        <v>22</v>
      </c>
      <c r="I19" s="94" t="s">
        <v>3621</v>
      </c>
      <c r="J19" s="73" t="s">
        <v>3636</v>
      </c>
    </row>
    <row r="20" spans="1:10" x14ac:dyDescent="0.25">
      <c r="A20" s="81">
        <v>400</v>
      </c>
      <c r="B20" s="91">
        <v>10</v>
      </c>
      <c r="C20" s="102">
        <v>442</v>
      </c>
      <c r="D20" s="102">
        <v>42</v>
      </c>
      <c r="E20" s="102">
        <v>565</v>
      </c>
      <c r="F20" s="102">
        <v>515</v>
      </c>
      <c r="G20" s="79">
        <v>16</v>
      </c>
      <c r="H20" s="73">
        <v>26</v>
      </c>
      <c r="I20" s="93" t="s">
        <v>3622</v>
      </c>
      <c r="J20" s="73" t="s">
        <v>3636</v>
      </c>
    </row>
    <row r="21" spans="1:10" ht="15" customHeight="1" x14ac:dyDescent="0.25">
      <c r="A21" s="82"/>
      <c r="B21" s="92"/>
      <c r="C21" s="12"/>
      <c r="D21" s="12"/>
      <c r="E21" s="13"/>
      <c r="F21" s="12"/>
      <c r="G21" s="13"/>
      <c r="I21" s="94"/>
      <c r="J21" s="73"/>
    </row>
    <row r="22" spans="1:10" x14ac:dyDescent="0.25">
      <c r="A22" s="81"/>
      <c r="B22" s="91"/>
      <c r="C22" s="12"/>
      <c r="D22" s="11"/>
      <c r="E22" s="12"/>
      <c r="F22" s="12"/>
      <c r="G22" s="12"/>
      <c r="I22" s="93"/>
      <c r="J22" s="73"/>
    </row>
    <row r="23" spans="1:10" ht="15" customHeight="1" x14ac:dyDescent="0.25">
      <c r="A23" s="12"/>
      <c r="B23" s="11"/>
      <c r="C23" s="12"/>
      <c r="D23" s="12"/>
      <c r="E23" s="13"/>
      <c r="F23" s="11"/>
      <c r="G23" s="12"/>
    </row>
    <row r="24" spans="1:10" x14ac:dyDescent="0.25">
      <c r="A24" s="12"/>
      <c r="B24" s="11"/>
      <c r="C24" s="12"/>
      <c r="D24" s="11"/>
      <c r="E24" s="12"/>
      <c r="F24" s="12"/>
      <c r="G24" s="12"/>
    </row>
    <row r="25" spans="1:10" x14ac:dyDescent="0.25">
      <c r="A25" s="12"/>
      <c r="B25" s="11"/>
      <c r="C25" s="12"/>
      <c r="D25" s="12"/>
      <c r="E25" s="12"/>
      <c r="F25" s="12"/>
      <c r="G25" s="12"/>
    </row>
    <row r="26" spans="1:10" x14ac:dyDescent="0.25">
      <c r="A26" s="11"/>
      <c r="B26" s="11"/>
      <c r="C26" s="11"/>
      <c r="D26" s="11"/>
      <c r="E26" s="11"/>
      <c r="F26" s="11"/>
      <c r="G26" s="11"/>
    </row>
    <row r="27" spans="1:10" ht="15" customHeight="1" x14ac:dyDescent="0.25">
      <c r="A27" s="12"/>
      <c r="B27" s="11"/>
      <c r="C27" s="12"/>
      <c r="D27" s="12"/>
      <c r="E27" s="13"/>
      <c r="F27" s="12"/>
      <c r="G27" s="13"/>
    </row>
    <row r="28" spans="1:10" x14ac:dyDescent="0.25">
      <c r="A28" s="12"/>
      <c r="B28" s="11"/>
      <c r="C28" s="12"/>
      <c r="D28" s="11"/>
      <c r="E28" s="12"/>
      <c r="F28" s="12"/>
      <c r="G28" s="12"/>
    </row>
    <row r="29" spans="1:10" ht="15" customHeight="1" x14ac:dyDescent="0.25">
      <c r="A29" s="12"/>
      <c r="B29" s="11"/>
      <c r="C29" s="12"/>
      <c r="D29" s="11"/>
      <c r="E29" s="11"/>
      <c r="F29" s="11"/>
      <c r="G29" s="12"/>
    </row>
    <row r="30" spans="1:10" x14ac:dyDescent="0.25">
      <c r="A30" s="12"/>
      <c r="B30" s="11"/>
      <c r="C30" s="12"/>
      <c r="D30" s="11"/>
      <c r="E30" s="12"/>
      <c r="F30" s="12"/>
      <c r="G30" s="12"/>
    </row>
    <row r="31" spans="1:10" x14ac:dyDescent="0.25">
      <c r="A31" s="12"/>
      <c r="B31" s="11"/>
      <c r="C31" s="12"/>
      <c r="D31" s="11"/>
      <c r="E31" s="12"/>
      <c r="F31" s="12"/>
      <c r="G31" s="12"/>
    </row>
    <row r="32" spans="1:10" x14ac:dyDescent="0.25">
      <c r="A32" s="11"/>
      <c r="B32" s="11"/>
      <c r="C32" s="11"/>
      <c r="D32" s="11"/>
      <c r="E32" s="11"/>
      <c r="F32" s="11"/>
      <c r="G32" s="11"/>
    </row>
    <row r="33" spans="1:7" ht="15" customHeight="1" x14ac:dyDescent="0.25">
      <c r="A33" s="12"/>
      <c r="B33" s="11"/>
      <c r="C33" s="12"/>
      <c r="D33" s="12"/>
      <c r="E33" s="13"/>
      <c r="F33" s="12"/>
      <c r="G33" s="13"/>
    </row>
    <row r="34" spans="1:7" x14ac:dyDescent="0.25">
      <c r="A34" s="12"/>
      <c r="B34" s="11"/>
      <c r="C34" s="12"/>
      <c r="D34" s="11"/>
      <c r="E34" s="12"/>
      <c r="F34" s="12"/>
      <c r="G34" s="12"/>
    </row>
    <row r="35" spans="1:7" ht="15" customHeight="1" x14ac:dyDescent="0.25">
      <c r="A35" s="12"/>
      <c r="B35" s="11"/>
      <c r="C35" s="12"/>
      <c r="D35" s="11"/>
      <c r="E35" s="11"/>
      <c r="F35" s="11"/>
      <c r="G35" s="12"/>
    </row>
    <row r="36" spans="1:7" x14ac:dyDescent="0.25">
      <c r="A36" s="12"/>
      <c r="B36" s="11"/>
      <c r="C36" s="12"/>
      <c r="D36" s="11"/>
      <c r="E36" s="12"/>
      <c r="F36" s="12"/>
      <c r="G36" s="12"/>
    </row>
    <row r="37" spans="1:7" x14ac:dyDescent="0.25">
      <c r="A37" s="12"/>
      <c r="B37" s="11"/>
      <c r="C37" s="12"/>
      <c r="D37" s="11"/>
      <c r="E37" s="12"/>
      <c r="F37" s="12"/>
      <c r="G37" s="12"/>
    </row>
    <row r="38" spans="1:7" x14ac:dyDescent="0.25">
      <c r="A38" s="11"/>
      <c r="B38" s="11"/>
      <c r="C38" s="11"/>
      <c r="D38" s="11"/>
      <c r="E38" s="11"/>
      <c r="F38" s="11"/>
      <c r="G38" s="11"/>
    </row>
    <row r="39" spans="1:7" ht="15" customHeight="1" x14ac:dyDescent="0.25">
      <c r="A39" s="12"/>
      <c r="B39" s="11"/>
      <c r="C39" s="12"/>
      <c r="D39" s="12"/>
      <c r="E39" s="13"/>
      <c r="F39" s="12"/>
      <c r="G39" s="13"/>
    </row>
    <row r="40" spans="1:7" x14ac:dyDescent="0.25">
      <c r="A40" s="12"/>
      <c r="B40" s="11"/>
      <c r="C40" s="12"/>
      <c r="D40" s="11"/>
      <c r="E40" s="12"/>
      <c r="F40" s="12"/>
      <c r="G40" s="12"/>
    </row>
    <row r="41" spans="1:7" ht="15" customHeight="1" x14ac:dyDescent="0.25">
      <c r="A41" s="12"/>
      <c r="B41" s="11"/>
      <c r="C41" s="12"/>
      <c r="D41" s="11"/>
      <c r="E41" s="11"/>
      <c r="F41" s="11"/>
      <c r="G41" s="12"/>
    </row>
    <row r="42" spans="1:7" x14ac:dyDescent="0.25">
      <c r="A42" s="12"/>
      <c r="B42" s="11"/>
      <c r="C42" s="12"/>
      <c r="D42" s="11"/>
      <c r="E42" s="12"/>
      <c r="F42" s="12"/>
      <c r="G42" s="12"/>
    </row>
    <row r="43" spans="1:7" x14ac:dyDescent="0.25">
      <c r="A43" s="12"/>
      <c r="B43" s="11"/>
      <c r="C43" s="12"/>
      <c r="D43" s="11"/>
      <c r="E43" s="12"/>
      <c r="F43" s="12"/>
      <c r="G43" s="12"/>
    </row>
    <row r="44" spans="1:7" x14ac:dyDescent="0.25">
      <c r="A44" s="11"/>
      <c r="B44" s="11"/>
      <c r="C44" s="11"/>
      <c r="D44" s="11"/>
      <c r="E44" s="11"/>
      <c r="F44" s="11"/>
      <c r="G44" s="11"/>
    </row>
    <row r="45" spans="1:7" ht="15" customHeight="1" x14ac:dyDescent="0.25">
      <c r="A45" s="12"/>
      <c r="B45" s="11"/>
      <c r="C45" s="12"/>
      <c r="D45" s="12"/>
      <c r="E45" s="13"/>
      <c r="F45" s="12"/>
      <c r="G45" s="13"/>
    </row>
    <row r="46" spans="1:7" x14ac:dyDescent="0.25">
      <c r="A46" s="12"/>
      <c r="B46" s="11"/>
      <c r="C46" s="12"/>
      <c r="D46" s="11"/>
      <c r="E46" s="12"/>
      <c r="F46" s="12"/>
      <c r="G46" s="12"/>
    </row>
    <row r="47" spans="1:7" ht="15" customHeight="1" x14ac:dyDescent="0.25">
      <c r="A47" s="12"/>
      <c r="B47" s="11"/>
      <c r="C47" s="12"/>
      <c r="D47" s="11"/>
      <c r="E47" s="11"/>
      <c r="F47" s="11"/>
      <c r="G47" s="11"/>
    </row>
    <row r="48" spans="1:7" x14ac:dyDescent="0.25">
      <c r="A48" s="12"/>
      <c r="B48" s="11"/>
      <c r="C48" s="12"/>
      <c r="D48" s="11"/>
      <c r="E48" s="12"/>
      <c r="F48" s="12"/>
      <c r="G48" s="12"/>
    </row>
    <row r="49" spans="1:7" ht="15" customHeight="1" x14ac:dyDescent="0.25">
      <c r="A49" s="12"/>
      <c r="B49" s="11"/>
      <c r="C49" s="12"/>
      <c r="D49" s="12"/>
      <c r="E49" s="12"/>
      <c r="F49" s="12"/>
      <c r="G49" s="13"/>
    </row>
    <row r="50" spans="1:7" x14ac:dyDescent="0.25">
      <c r="A50" s="11"/>
      <c r="B50" s="11"/>
      <c r="C50" s="11"/>
      <c r="D50" s="11"/>
      <c r="E50" s="11"/>
      <c r="F50" s="11"/>
      <c r="G50" s="11"/>
    </row>
    <row r="51" spans="1:7" ht="15" customHeight="1" x14ac:dyDescent="0.25">
      <c r="A51" s="12"/>
      <c r="B51" s="11"/>
      <c r="C51" s="12"/>
      <c r="D51" s="12"/>
      <c r="E51" s="12"/>
      <c r="F51" s="12"/>
      <c r="G51" s="13"/>
    </row>
    <row r="52" spans="1:7" x14ac:dyDescent="0.25">
      <c r="A52" s="12"/>
      <c r="B52" s="11"/>
      <c r="C52" s="12"/>
      <c r="D52" s="11"/>
      <c r="E52" s="12"/>
      <c r="F52" s="12"/>
      <c r="G52" s="12"/>
    </row>
    <row r="53" spans="1:7" x14ac:dyDescent="0.25">
      <c r="A53" s="12"/>
      <c r="B53" s="11"/>
      <c r="C53" s="12"/>
      <c r="D53" s="11"/>
      <c r="E53" s="11"/>
      <c r="F53" s="11"/>
      <c r="G53" s="11"/>
    </row>
    <row r="54" spans="1:7" x14ac:dyDescent="0.25">
      <c r="A54" s="12"/>
      <c r="B54" s="11"/>
      <c r="C54" s="12"/>
      <c r="D54" s="11"/>
      <c r="E54" s="12"/>
      <c r="F54" s="12"/>
      <c r="G54" s="12"/>
    </row>
    <row r="55" spans="1:7" ht="15" customHeight="1" x14ac:dyDescent="0.25">
      <c r="A55" s="12"/>
      <c r="B55" s="11"/>
      <c r="C55" s="12"/>
      <c r="D55" s="11"/>
      <c r="E55" s="12"/>
      <c r="F55" s="12"/>
      <c r="G55" s="13"/>
    </row>
    <row r="56" spans="1:7" x14ac:dyDescent="0.25">
      <c r="A56" s="13"/>
      <c r="B56" s="13"/>
      <c r="C56" s="11"/>
      <c r="D56" s="13"/>
      <c r="E56" s="13"/>
      <c r="F56" s="13"/>
      <c r="G56" s="13"/>
    </row>
    <row r="57" spans="1:7" x14ac:dyDescent="0.25">
      <c r="A57" s="13"/>
      <c r="B57" s="13"/>
      <c r="C57" s="11"/>
      <c r="D57" s="13"/>
      <c r="E57" s="13"/>
      <c r="F57" s="13"/>
      <c r="G57" s="13"/>
    </row>
    <row r="58" spans="1:7" x14ac:dyDescent="0.25">
      <c r="A58" s="12"/>
      <c r="B58" s="13"/>
      <c r="C58" s="11"/>
      <c r="D58" s="12"/>
      <c r="E58" s="12"/>
      <c r="F58" s="12"/>
      <c r="G58" s="13"/>
    </row>
    <row r="59" spans="1:7" x14ac:dyDescent="0.25">
      <c r="A59" s="12"/>
      <c r="B59" s="13"/>
      <c r="C59" s="11"/>
      <c r="D59" s="12"/>
      <c r="E59" s="12"/>
      <c r="F59" s="12"/>
      <c r="G59" s="13"/>
    </row>
    <row r="60" spans="1:7" x14ac:dyDescent="0.25">
      <c r="A60" s="12"/>
      <c r="B60" s="13"/>
      <c r="C60" s="11"/>
      <c r="D60" s="13"/>
      <c r="E60" s="12"/>
      <c r="F60" s="12"/>
      <c r="G60" s="12"/>
    </row>
    <row r="61" spans="1:7" x14ac:dyDescent="0.25">
      <c r="A61" s="12"/>
      <c r="B61" s="13"/>
      <c r="C61" s="11"/>
      <c r="D61" s="13"/>
      <c r="E61" s="12"/>
      <c r="F61" s="12"/>
      <c r="G61" s="12"/>
    </row>
    <row r="62" spans="1:7" x14ac:dyDescent="0.25">
      <c r="A62" s="12"/>
      <c r="B62" s="13"/>
      <c r="C62" s="11"/>
      <c r="D62" s="13"/>
      <c r="E62" s="13"/>
      <c r="F62" s="13"/>
      <c r="G62" s="13"/>
    </row>
    <row r="63" spans="1:7" x14ac:dyDescent="0.25">
      <c r="A63" s="12"/>
      <c r="B63" s="13"/>
      <c r="C63" s="11"/>
      <c r="D63" s="13"/>
      <c r="E63" s="13"/>
      <c r="F63" s="13"/>
      <c r="G63" s="13"/>
    </row>
    <row r="64" spans="1:7" x14ac:dyDescent="0.25">
      <c r="A64" s="12"/>
      <c r="B64" s="13"/>
      <c r="C64" s="11"/>
      <c r="D64" s="13"/>
      <c r="E64" s="12"/>
      <c r="F64" s="12"/>
      <c r="G64" s="12"/>
    </row>
    <row r="65" spans="1:7" x14ac:dyDescent="0.25">
      <c r="A65" s="12"/>
      <c r="B65" s="13"/>
      <c r="C65" s="11"/>
      <c r="D65" s="13"/>
      <c r="E65" s="12"/>
      <c r="F65" s="12"/>
      <c r="G65" s="12"/>
    </row>
    <row r="66" spans="1:7" x14ac:dyDescent="0.25">
      <c r="A66" s="12"/>
      <c r="B66" s="13"/>
      <c r="C66" s="11"/>
      <c r="D66" s="13"/>
      <c r="E66" s="13"/>
      <c r="F66" s="13"/>
      <c r="G66" s="12"/>
    </row>
    <row r="67" spans="1:7" x14ac:dyDescent="0.25">
      <c r="A67" s="12"/>
      <c r="B67" s="13"/>
      <c r="C67" s="11"/>
      <c r="D67" s="13"/>
      <c r="E67" s="13"/>
      <c r="F67" s="13"/>
      <c r="G67" s="12"/>
    </row>
    <row r="68" spans="1:7" x14ac:dyDescent="0.25">
      <c r="A68" s="13"/>
      <c r="B68" s="13"/>
      <c r="C68" s="11"/>
      <c r="D68" s="13"/>
      <c r="E68" s="13"/>
      <c r="F68" s="13"/>
      <c r="G68" s="13"/>
    </row>
    <row r="69" spans="1:7" x14ac:dyDescent="0.25">
      <c r="A69" s="13"/>
      <c r="B69" s="13"/>
      <c r="C69" s="11"/>
      <c r="D69" s="13"/>
      <c r="E69" s="13"/>
      <c r="F69" s="13"/>
      <c r="G69" s="13"/>
    </row>
    <row r="70" spans="1:7" x14ac:dyDescent="0.25">
      <c r="A70" s="12"/>
      <c r="B70" s="13"/>
      <c r="C70" s="11"/>
      <c r="D70" s="12"/>
      <c r="E70" s="12"/>
      <c r="F70" s="12"/>
      <c r="G70" s="13"/>
    </row>
    <row r="71" spans="1:7" x14ac:dyDescent="0.25">
      <c r="A71" s="12"/>
      <c r="B71" s="13"/>
      <c r="C71" s="11"/>
      <c r="D71" s="12"/>
      <c r="E71" s="12"/>
      <c r="F71" s="12"/>
      <c r="G71" s="13"/>
    </row>
    <row r="72" spans="1:7" x14ac:dyDescent="0.25">
      <c r="A72" s="12"/>
      <c r="B72" s="13"/>
      <c r="C72" s="11"/>
      <c r="D72" s="13"/>
      <c r="E72" s="12"/>
      <c r="F72" s="12"/>
      <c r="G72" s="12"/>
    </row>
    <row r="73" spans="1:7" x14ac:dyDescent="0.25">
      <c r="A73" s="12"/>
      <c r="B73" s="13"/>
      <c r="C73" s="11"/>
      <c r="D73" s="13"/>
      <c r="E73" s="12"/>
      <c r="F73" s="12"/>
      <c r="G73" s="12"/>
    </row>
    <row r="74" spans="1:7" x14ac:dyDescent="0.25">
      <c r="A74" s="12"/>
      <c r="B74" s="13"/>
      <c r="C74" s="11"/>
      <c r="D74" s="13"/>
      <c r="E74" s="13"/>
      <c r="F74" s="13"/>
      <c r="G74" s="12"/>
    </row>
    <row r="75" spans="1:7" x14ac:dyDescent="0.25">
      <c r="A75" s="12"/>
      <c r="B75" s="13"/>
      <c r="C75" s="11"/>
      <c r="D75" s="13"/>
      <c r="E75" s="13"/>
      <c r="F75" s="13"/>
      <c r="G75" s="12"/>
    </row>
    <row r="76" spans="1:7" x14ac:dyDescent="0.25">
      <c r="A76" s="12"/>
      <c r="B76" s="13"/>
      <c r="C76" s="11"/>
      <c r="D76" s="13"/>
      <c r="E76" s="12"/>
      <c r="F76" s="12"/>
      <c r="G76" s="12"/>
    </row>
    <row r="77" spans="1:7" x14ac:dyDescent="0.25">
      <c r="A77" s="12"/>
      <c r="B77" s="13"/>
      <c r="C77" s="11"/>
      <c r="D77" s="13"/>
      <c r="E77" s="12"/>
      <c r="F77" s="12"/>
      <c r="G77" s="12"/>
    </row>
    <row r="78" spans="1:7" x14ac:dyDescent="0.25">
      <c r="A78" s="12"/>
      <c r="B78" s="13"/>
      <c r="C78" s="11"/>
      <c r="D78" s="13"/>
      <c r="E78" s="13"/>
      <c r="F78" s="13"/>
      <c r="G78" s="12"/>
    </row>
    <row r="79" spans="1:7" x14ac:dyDescent="0.25">
      <c r="A79" s="12"/>
      <c r="B79" s="13"/>
      <c r="C79" s="11"/>
      <c r="D79" s="13"/>
      <c r="E79" s="13"/>
      <c r="F79" s="13"/>
      <c r="G79" s="12"/>
    </row>
    <row r="80" spans="1:7" x14ac:dyDescent="0.25">
      <c r="A80" s="13"/>
      <c r="B80" s="13"/>
      <c r="C80" s="11"/>
      <c r="D80" s="13"/>
      <c r="E80" s="13"/>
      <c r="F80" s="13"/>
      <c r="G80" s="13"/>
    </row>
    <row r="81" spans="1:7" x14ac:dyDescent="0.25">
      <c r="A81" s="13"/>
      <c r="B81" s="13"/>
      <c r="C81" s="11"/>
      <c r="D81" s="13"/>
      <c r="E81" s="13"/>
      <c r="F81" s="13"/>
      <c r="G81" s="13"/>
    </row>
    <row r="82" spans="1:7" x14ac:dyDescent="0.25">
      <c r="A82" s="13"/>
      <c r="B82" s="13"/>
      <c r="C82" s="11"/>
      <c r="D82" s="13"/>
      <c r="E82" s="13"/>
      <c r="F82" s="13"/>
      <c r="G82" s="13"/>
    </row>
    <row r="83" spans="1:7" x14ac:dyDescent="0.25">
      <c r="A83" s="12"/>
      <c r="B83" s="13"/>
      <c r="C83" s="11"/>
      <c r="D83" s="13"/>
      <c r="E83" s="12"/>
      <c r="F83" s="12"/>
      <c r="G83" s="13"/>
    </row>
    <row r="84" spans="1:7" x14ac:dyDescent="0.25">
      <c r="A84" s="12"/>
      <c r="B84" s="13"/>
      <c r="C84" s="11"/>
      <c r="D84" s="13"/>
      <c r="E84" s="12"/>
      <c r="F84" s="12"/>
      <c r="G84" s="13"/>
    </row>
    <row r="85" spans="1:7" x14ac:dyDescent="0.25">
      <c r="A85" s="12"/>
      <c r="B85" s="13"/>
      <c r="C85" s="11"/>
      <c r="D85" s="13"/>
      <c r="E85" s="12"/>
      <c r="F85" s="12"/>
      <c r="G85" s="13"/>
    </row>
    <row r="86" spans="1:7" x14ac:dyDescent="0.25">
      <c r="A86" s="12"/>
      <c r="B86" s="13"/>
      <c r="C86" s="11"/>
      <c r="D86" s="13"/>
      <c r="E86" s="12"/>
      <c r="F86" s="12"/>
      <c r="G86" s="12"/>
    </row>
    <row r="87" spans="1:7" x14ac:dyDescent="0.25">
      <c r="A87" s="12"/>
      <c r="B87" s="13"/>
      <c r="C87" s="11"/>
      <c r="D87" s="13"/>
      <c r="E87" s="12"/>
      <c r="F87" s="12"/>
      <c r="G87" s="12"/>
    </row>
    <row r="88" spans="1:7" x14ac:dyDescent="0.25">
      <c r="A88" s="12"/>
      <c r="B88" s="13"/>
      <c r="C88" s="11"/>
      <c r="D88" s="13"/>
      <c r="E88" s="12"/>
      <c r="F88" s="12"/>
      <c r="G88" s="12"/>
    </row>
    <row r="89" spans="1:7" x14ac:dyDescent="0.25">
      <c r="A89" s="12"/>
      <c r="B89" s="13"/>
      <c r="C89" s="11"/>
      <c r="D89" s="13"/>
      <c r="E89" s="13"/>
      <c r="F89" s="13"/>
      <c r="G89" s="12"/>
    </row>
    <row r="90" spans="1:7" x14ac:dyDescent="0.25">
      <c r="A90" s="12"/>
      <c r="B90" s="13"/>
      <c r="C90" s="11"/>
      <c r="D90" s="13"/>
      <c r="E90" s="13"/>
      <c r="F90" s="13"/>
      <c r="G90" s="12"/>
    </row>
    <row r="91" spans="1:7" x14ac:dyDescent="0.25">
      <c r="A91" s="12"/>
      <c r="B91" s="13"/>
      <c r="C91" s="11"/>
      <c r="D91" s="13"/>
      <c r="E91" s="13"/>
      <c r="F91" s="13"/>
      <c r="G91" s="12"/>
    </row>
    <row r="92" spans="1:7" x14ac:dyDescent="0.25">
      <c r="A92" s="12"/>
      <c r="B92" s="13"/>
      <c r="C92" s="11"/>
      <c r="D92" s="13"/>
      <c r="E92" s="12"/>
      <c r="F92" s="12"/>
      <c r="G92" s="12"/>
    </row>
    <row r="93" spans="1:7" x14ac:dyDescent="0.25">
      <c r="A93" s="12"/>
      <c r="B93" s="13"/>
      <c r="C93" s="11"/>
      <c r="D93" s="13"/>
      <c r="E93" s="12"/>
      <c r="F93" s="12"/>
      <c r="G93" s="12"/>
    </row>
    <row r="94" spans="1:7" x14ac:dyDescent="0.25">
      <c r="A94" s="12"/>
      <c r="B94" s="13"/>
      <c r="C94" s="11"/>
      <c r="D94" s="13"/>
      <c r="E94" s="12"/>
      <c r="F94" s="12"/>
      <c r="G94" s="12"/>
    </row>
    <row r="95" spans="1:7" x14ac:dyDescent="0.25">
      <c r="A95" s="12"/>
      <c r="B95" s="13"/>
      <c r="C95" s="11"/>
      <c r="D95" s="13"/>
      <c r="E95" s="13"/>
      <c r="F95" s="13"/>
      <c r="G95" s="12"/>
    </row>
    <row r="96" spans="1:7" x14ac:dyDescent="0.25">
      <c r="A96" s="12"/>
      <c r="B96" s="13"/>
      <c r="C96" s="11"/>
      <c r="D96" s="13"/>
      <c r="E96" s="13"/>
      <c r="F96" s="13"/>
      <c r="G96" s="12"/>
    </row>
    <row r="97" spans="1:7" x14ac:dyDescent="0.25">
      <c r="A97" s="12"/>
      <c r="B97" s="13"/>
      <c r="C97" s="11"/>
      <c r="D97" s="13"/>
      <c r="E97" s="13"/>
      <c r="F97" s="13"/>
      <c r="G97" s="12"/>
    </row>
    <row r="98" spans="1:7" x14ac:dyDescent="0.25">
      <c r="A98" s="11"/>
      <c r="B98" s="11"/>
      <c r="C98" s="11"/>
      <c r="D98" s="11"/>
      <c r="E98" s="11"/>
      <c r="F98" s="11"/>
      <c r="G98" s="11"/>
    </row>
    <row r="99" spans="1:7" ht="15" customHeight="1" x14ac:dyDescent="0.25">
      <c r="A99" s="12"/>
      <c r="B99" s="11"/>
      <c r="C99" s="12"/>
      <c r="D99" s="12"/>
      <c r="E99" s="12"/>
      <c r="F99" s="12"/>
      <c r="G99" s="13"/>
    </row>
    <row r="100" spans="1:7" x14ac:dyDescent="0.25">
      <c r="A100" s="12"/>
      <c r="B100" s="11"/>
      <c r="C100" s="12"/>
      <c r="D100" s="11"/>
      <c r="E100" s="12"/>
      <c r="F100" s="12"/>
      <c r="G100" s="12"/>
    </row>
    <row r="101" spans="1:7" ht="15" customHeight="1" x14ac:dyDescent="0.25">
      <c r="A101" s="12"/>
      <c r="B101" s="11"/>
      <c r="C101" s="12"/>
      <c r="D101" s="13"/>
      <c r="E101" s="11"/>
      <c r="F101" s="11"/>
      <c r="G101" s="12"/>
    </row>
    <row r="102" spans="1:7" ht="15" customHeight="1" x14ac:dyDescent="0.25">
      <c r="A102" s="12"/>
      <c r="B102" s="11"/>
      <c r="C102" s="12"/>
      <c r="D102" s="11"/>
      <c r="E102" s="12"/>
      <c r="F102" s="12"/>
      <c r="G102" s="13"/>
    </row>
    <row r="103" spans="1:7" ht="15" customHeight="1" x14ac:dyDescent="0.25">
      <c r="A103" s="12"/>
      <c r="B103" s="11"/>
      <c r="C103" s="12"/>
      <c r="D103" s="13"/>
      <c r="E103" s="13"/>
      <c r="F103" s="11"/>
      <c r="G103" s="12"/>
    </row>
    <row r="104" spans="1:7" x14ac:dyDescent="0.25">
      <c r="A104" s="11"/>
      <c r="B104" s="11"/>
      <c r="C104" s="11"/>
      <c r="D104" s="11"/>
      <c r="E104" s="11"/>
      <c r="F104" s="11"/>
      <c r="G104" s="11"/>
    </row>
    <row r="105" spans="1:7" ht="15" customHeight="1" x14ac:dyDescent="0.25">
      <c r="A105" s="12"/>
      <c r="B105" s="11"/>
      <c r="C105" s="12"/>
      <c r="D105" s="12"/>
      <c r="E105" s="12"/>
      <c r="F105" s="12"/>
      <c r="G105" s="13"/>
    </row>
    <row r="106" spans="1:7" x14ac:dyDescent="0.25">
      <c r="A106" s="12"/>
      <c r="B106" s="11"/>
      <c r="C106" s="12"/>
      <c r="D106" s="11"/>
      <c r="E106" s="12"/>
      <c r="F106" s="12"/>
      <c r="G106" s="12"/>
    </row>
    <row r="107" spans="1:7" ht="15" customHeight="1" x14ac:dyDescent="0.25">
      <c r="A107" s="12"/>
      <c r="B107" s="11"/>
      <c r="C107" s="12"/>
      <c r="D107" s="13"/>
      <c r="E107" s="13"/>
      <c r="F107" s="11"/>
      <c r="G107" s="12"/>
    </row>
    <row r="108" spans="1:7" ht="15" customHeight="1" x14ac:dyDescent="0.25">
      <c r="A108" s="12"/>
      <c r="B108" s="11"/>
      <c r="C108" s="12"/>
      <c r="D108" s="11"/>
      <c r="E108" s="13"/>
      <c r="F108" s="11"/>
      <c r="G108" s="12"/>
    </row>
    <row r="109" spans="1:7" ht="15" customHeight="1" x14ac:dyDescent="0.25">
      <c r="A109" s="12"/>
      <c r="B109" s="11"/>
      <c r="C109" s="12"/>
      <c r="D109" s="11"/>
      <c r="E109" s="13"/>
      <c r="F109" s="11"/>
      <c r="G109" s="12"/>
    </row>
    <row r="110" spans="1:7" x14ac:dyDescent="0.25">
      <c r="A110" s="11"/>
      <c r="B110" s="11"/>
      <c r="C110" s="11"/>
      <c r="D110" s="11"/>
      <c r="E110" s="11"/>
      <c r="F110" s="11"/>
      <c r="G110" s="11"/>
    </row>
    <row r="111" spans="1:7" ht="15" customHeight="1" x14ac:dyDescent="0.25">
      <c r="A111" s="12"/>
      <c r="B111" s="11"/>
      <c r="C111" s="12"/>
      <c r="D111" s="12"/>
      <c r="E111" s="12"/>
      <c r="F111" s="12"/>
      <c r="G111" s="13"/>
    </row>
    <row r="112" spans="1:7" x14ac:dyDescent="0.25">
      <c r="A112" s="12"/>
      <c r="B112" s="11"/>
      <c r="C112" s="12"/>
      <c r="D112" s="11"/>
      <c r="E112" s="12"/>
      <c r="F112" s="12"/>
      <c r="G112" s="12"/>
    </row>
    <row r="113" spans="1:7" x14ac:dyDescent="0.25">
      <c r="A113" s="12"/>
      <c r="B113" s="11"/>
      <c r="C113" s="12"/>
      <c r="D113" s="11"/>
      <c r="E113" s="11"/>
      <c r="F113" s="11"/>
      <c r="G113" s="12"/>
    </row>
    <row r="114" spans="1:7" ht="15" customHeight="1" x14ac:dyDescent="0.25">
      <c r="A114" s="12"/>
      <c r="B114" s="11"/>
      <c r="C114" s="12"/>
      <c r="D114" s="11"/>
      <c r="E114" s="13"/>
      <c r="F114" s="11"/>
      <c r="G114" s="12"/>
    </row>
    <row r="115" spans="1:7" ht="15" customHeight="1" x14ac:dyDescent="0.25">
      <c r="A115" s="12"/>
      <c r="B115" s="11"/>
      <c r="C115" s="12"/>
      <c r="D115" s="11"/>
      <c r="E115" s="13"/>
      <c r="F115" s="11"/>
      <c r="G115" s="13"/>
    </row>
    <row r="116" spans="1:7" x14ac:dyDescent="0.25">
      <c r="A116" s="11"/>
      <c r="B116" s="11"/>
      <c r="C116" s="11"/>
      <c r="D116" s="11"/>
      <c r="E116" s="11"/>
      <c r="F116" s="11"/>
      <c r="G116" s="11"/>
    </row>
    <row r="117" spans="1:7" ht="15" customHeight="1" x14ac:dyDescent="0.25">
      <c r="A117" s="12"/>
      <c r="B117" s="11"/>
      <c r="C117" s="12"/>
      <c r="D117" s="12"/>
      <c r="E117" s="12"/>
      <c r="F117" s="12"/>
      <c r="G117" s="13"/>
    </row>
    <row r="118" spans="1:7" x14ac:dyDescent="0.25">
      <c r="A118" s="12"/>
      <c r="B118" s="11"/>
      <c r="C118" s="12"/>
      <c r="D118" s="11"/>
      <c r="E118" s="12"/>
      <c r="F118" s="12"/>
      <c r="G118" s="12"/>
    </row>
    <row r="119" spans="1:7" ht="15" customHeight="1" x14ac:dyDescent="0.25">
      <c r="A119" s="12"/>
      <c r="B119" s="11"/>
      <c r="C119" s="12"/>
      <c r="D119" s="11"/>
      <c r="E119" s="11"/>
      <c r="F119" s="11"/>
      <c r="G119" s="13"/>
    </row>
    <row r="120" spans="1:7" ht="15" customHeight="1" x14ac:dyDescent="0.25">
      <c r="A120" s="12"/>
      <c r="B120" s="11"/>
      <c r="C120" s="12"/>
      <c r="D120" s="11"/>
      <c r="E120" s="13"/>
      <c r="F120" s="11"/>
      <c r="G120" s="12"/>
    </row>
    <row r="121" spans="1:7" ht="15" customHeight="1" x14ac:dyDescent="0.25">
      <c r="A121" s="12"/>
      <c r="B121" s="11"/>
      <c r="C121" s="12"/>
      <c r="D121" s="13"/>
      <c r="E121" s="11"/>
      <c r="F121" s="11"/>
      <c r="G121" s="12"/>
    </row>
    <row r="122" spans="1:7" x14ac:dyDescent="0.25">
      <c r="A122" s="11"/>
      <c r="B122" s="11"/>
      <c r="C122" s="11"/>
      <c r="D122" s="11"/>
      <c r="E122" s="11"/>
      <c r="F122" s="11"/>
      <c r="G122" s="11"/>
    </row>
    <row r="123" spans="1:7" ht="15" customHeight="1" x14ac:dyDescent="0.25">
      <c r="A123" s="12"/>
      <c r="B123" s="11"/>
      <c r="C123" s="12"/>
      <c r="D123" s="12"/>
      <c r="E123" s="12"/>
      <c r="F123" s="12"/>
      <c r="G123" s="13"/>
    </row>
    <row r="124" spans="1:7" x14ac:dyDescent="0.25">
      <c r="A124" s="12"/>
      <c r="B124" s="11"/>
      <c r="C124" s="12"/>
      <c r="D124" s="11"/>
      <c r="E124" s="12"/>
      <c r="F124" s="12"/>
      <c r="G124" s="12"/>
    </row>
    <row r="125" spans="1:7" ht="15" customHeight="1" x14ac:dyDescent="0.25">
      <c r="A125" s="12"/>
      <c r="B125" s="11"/>
      <c r="C125" s="12"/>
      <c r="D125" s="11"/>
      <c r="E125" s="13"/>
      <c r="F125" s="11"/>
      <c r="G125" s="12"/>
    </row>
    <row r="126" spans="1:7" ht="15" customHeight="1" x14ac:dyDescent="0.25">
      <c r="A126" s="12"/>
      <c r="B126" s="11"/>
      <c r="C126" s="12"/>
      <c r="D126" s="13"/>
      <c r="E126" s="13"/>
      <c r="F126" s="11"/>
      <c r="G126" s="12"/>
    </row>
    <row r="127" spans="1:7" x14ac:dyDescent="0.25">
      <c r="A127" s="12"/>
      <c r="B127" s="11"/>
      <c r="C127" s="12"/>
      <c r="D127" s="11"/>
      <c r="E127" s="11"/>
      <c r="F127" s="11"/>
      <c r="G127" s="12"/>
    </row>
    <row r="128" spans="1:7" x14ac:dyDescent="0.25">
      <c r="A128" s="11"/>
      <c r="B128" s="11"/>
      <c r="C128" s="11"/>
      <c r="D128" s="11"/>
      <c r="E128" s="11"/>
      <c r="F128" s="11"/>
      <c r="G128" s="11"/>
    </row>
    <row r="129" spans="1:7" ht="15" customHeight="1" x14ac:dyDescent="0.25">
      <c r="A129" s="12"/>
      <c r="B129" s="11"/>
      <c r="C129" s="12"/>
      <c r="D129" s="12"/>
      <c r="E129" s="12"/>
      <c r="F129" s="12"/>
      <c r="G129" s="13"/>
    </row>
    <row r="130" spans="1:7" x14ac:dyDescent="0.25">
      <c r="A130" s="12"/>
      <c r="B130" s="11"/>
      <c r="C130" s="12"/>
      <c r="D130" s="11"/>
      <c r="E130" s="12"/>
      <c r="F130" s="12"/>
      <c r="G130" s="12"/>
    </row>
    <row r="131" spans="1:7" ht="15" customHeight="1" x14ac:dyDescent="0.25">
      <c r="A131" s="12"/>
      <c r="B131" s="11"/>
      <c r="C131" s="12"/>
      <c r="D131" s="11"/>
      <c r="E131" s="13"/>
      <c r="F131" s="11"/>
      <c r="G131" s="13"/>
    </row>
    <row r="132" spans="1:7" ht="15" customHeight="1" x14ac:dyDescent="0.25">
      <c r="A132" s="12"/>
      <c r="B132" s="11"/>
      <c r="C132" s="12"/>
      <c r="D132" s="13"/>
      <c r="E132" s="13"/>
      <c r="F132" s="11"/>
      <c r="G132" s="12"/>
    </row>
    <row r="133" spans="1:7" x14ac:dyDescent="0.25">
      <c r="A133" s="12"/>
      <c r="B133" s="11"/>
      <c r="C133" s="12"/>
      <c r="D133" s="11"/>
      <c r="E133" s="11"/>
      <c r="F133" s="11"/>
      <c r="G133" s="12"/>
    </row>
    <row r="134" spans="1:7" x14ac:dyDescent="0.25">
      <c r="A134" s="11"/>
      <c r="B134" s="11"/>
      <c r="C134" s="11"/>
      <c r="D134" s="11"/>
      <c r="E134" s="11"/>
      <c r="F134" s="11"/>
      <c r="G134" s="11"/>
    </row>
    <row r="135" spans="1:7" ht="15" customHeight="1" x14ac:dyDescent="0.25">
      <c r="A135" s="12"/>
      <c r="B135" s="11"/>
      <c r="C135" s="12"/>
      <c r="D135" s="12"/>
      <c r="E135" s="12"/>
      <c r="F135" s="12"/>
      <c r="G135" s="12"/>
    </row>
    <row r="136" spans="1:7" x14ac:dyDescent="0.25">
      <c r="A136" s="12"/>
      <c r="B136" s="11"/>
      <c r="C136" s="12"/>
      <c r="D136" s="11"/>
      <c r="E136" s="12"/>
      <c r="F136" s="12"/>
      <c r="G136" s="12"/>
    </row>
    <row r="137" spans="1:7" ht="15" customHeight="1" x14ac:dyDescent="0.25">
      <c r="A137" s="12"/>
      <c r="B137" s="11"/>
      <c r="C137" s="12"/>
      <c r="D137" s="11"/>
      <c r="E137" s="13"/>
      <c r="F137" s="11"/>
      <c r="G137" s="13"/>
    </row>
    <row r="138" spans="1:7" ht="15" customHeight="1" x14ac:dyDescent="0.25">
      <c r="A138" s="12"/>
      <c r="B138" s="11"/>
      <c r="C138" s="12"/>
      <c r="D138" s="11"/>
      <c r="E138" s="11"/>
      <c r="F138" s="11"/>
      <c r="G138" s="12"/>
    </row>
    <row r="139" spans="1:7" ht="15" customHeight="1" x14ac:dyDescent="0.25">
      <c r="A139" s="12"/>
      <c r="B139" s="11"/>
      <c r="C139" s="12"/>
      <c r="D139" s="11"/>
      <c r="E139" s="13"/>
      <c r="F139" s="11"/>
      <c r="G139" s="12"/>
    </row>
    <row r="140" spans="1:7" x14ac:dyDescent="0.25">
      <c r="A140" s="11"/>
      <c r="B140" s="11"/>
      <c r="C140" s="11"/>
      <c r="D140" s="11"/>
      <c r="E140" s="11"/>
      <c r="F140" s="11"/>
      <c r="G140" s="11"/>
    </row>
    <row r="141" spans="1:7" ht="15" customHeight="1" x14ac:dyDescent="0.25">
      <c r="A141" s="12"/>
      <c r="B141" s="11"/>
      <c r="C141" s="12"/>
      <c r="D141" s="12"/>
      <c r="E141" s="13"/>
      <c r="F141" s="12"/>
      <c r="G141" s="13"/>
    </row>
    <row r="142" spans="1:7" x14ac:dyDescent="0.25">
      <c r="A142" s="12"/>
      <c r="B142" s="11"/>
      <c r="C142" s="12"/>
      <c r="D142" s="11"/>
      <c r="E142" s="12"/>
      <c r="F142" s="12"/>
      <c r="G142" s="12"/>
    </row>
    <row r="143" spans="1:7" ht="15" customHeight="1" x14ac:dyDescent="0.25">
      <c r="A143" s="12"/>
      <c r="B143" s="11"/>
      <c r="C143" s="12"/>
      <c r="D143" s="11"/>
      <c r="E143" s="13"/>
      <c r="F143" s="11"/>
      <c r="G143" s="12"/>
    </row>
    <row r="144" spans="1:7" ht="15" customHeight="1" x14ac:dyDescent="0.25">
      <c r="A144" s="12"/>
      <c r="B144" s="11"/>
      <c r="C144" s="12"/>
      <c r="D144" s="11"/>
      <c r="E144" s="13"/>
      <c r="F144" s="11"/>
      <c r="G144" s="12"/>
    </row>
    <row r="145" spans="1:7" ht="15" customHeight="1" x14ac:dyDescent="0.25">
      <c r="A145" s="12"/>
      <c r="B145" s="11"/>
      <c r="C145" s="12"/>
      <c r="D145" s="11"/>
      <c r="E145" s="11"/>
      <c r="F145" s="12"/>
      <c r="G145" s="12"/>
    </row>
    <row r="146" spans="1:7" x14ac:dyDescent="0.25">
      <c r="A146" s="11"/>
      <c r="B146" s="11"/>
      <c r="C146" s="11"/>
      <c r="D146" s="11"/>
      <c r="E146" s="11"/>
      <c r="F146" s="11"/>
      <c r="G146" s="11"/>
    </row>
    <row r="147" spans="1:7" ht="15" customHeight="1" x14ac:dyDescent="0.25">
      <c r="A147" s="12"/>
      <c r="B147" s="11"/>
      <c r="C147" s="12"/>
      <c r="D147" s="12"/>
      <c r="E147" s="13"/>
      <c r="F147" s="12"/>
      <c r="G147" s="13"/>
    </row>
    <row r="148" spans="1:7" x14ac:dyDescent="0.25">
      <c r="A148" s="12"/>
      <c r="B148" s="11"/>
      <c r="C148" s="12"/>
      <c r="D148" s="11"/>
      <c r="E148" s="12"/>
      <c r="F148" s="12"/>
      <c r="G148" s="12"/>
    </row>
    <row r="149" spans="1:7" ht="15" customHeight="1" x14ac:dyDescent="0.25">
      <c r="A149" s="12"/>
      <c r="B149" s="11"/>
      <c r="C149" s="12"/>
      <c r="D149" s="11"/>
      <c r="E149" s="13"/>
      <c r="F149" s="11"/>
      <c r="G149" s="12"/>
    </row>
    <row r="150" spans="1:7" ht="15" customHeight="1" x14ac:dyDescent="0.25">
      <c r="A150" s="12"/>
      <c r="B150" s="11"/>
      <c r="C150" s="12"/>
      <c r="D150" s="11"/>
      <c r="E150" s="13"/>
      <c r="F150" s="12"/>
      <c r="G150" s="12"/>
    </row>
    <row r="151" spans="1:7" ht="15" customHeight="1" x14ac:dyDescent="0.25">
      <c r="A151" s="12"/>
      <c r="B151" s="11"/>
      <c r="C151" s="12"/>
      <c r="D151" s="11"/>
      <c r="E151" s="13"/>
      <c r="F151" s="11"/>
      <c r="G151" s="12"/>
    </row>
    <row r="152" spans="1:7" x14ac:dyDescent="0.25">
      <c r="A152" s="11"/>
      <c r="B152" s="11"/>
      <c r="C152" s="11"/>
      <c r="D152" s="11"/>
      <c r="E152" s="11"/>
      <c r="F152" s="11"/>
      <c r="G152" s="11"/>
    </row>
    <row r="153" spans="1:7" ht="15" customHeight="1" x14ac:dyDescent="0.25">
      <c r="A153" s="12"/>
      <c r="B153" s="11"/>
      <c r="C153" s="12"/>
      <c r="D153" s="12"/>
      <c r="E153" s="13"/>
      <c r="F153" s="12"/>
      <c r="G153" s="13"/>
    </row>
    <row r="154" spans="1:7" x14ac:dyDescent="0.25">
      <c r="A154" s="12"/>
      <c r="B154" s="11"/>
      <c r="C154" s="12"/>
      <c r="D154" s="11"/>
      <c r="E154" s="12"/>
      <c r="F154" s="12"/>
      <c r="G154" s="12"/>
    </row>
    <row r="155" spans="1:7" ht="15" customHeight="1" x14ac:dyDescent="0.25">
      <c r="A155" s="12"/>
      <c r="B155" s="11"/>
      <c r="C155" s="12"/>
      <c r="D155" s="11"/>
      <c r="E155" s="11"/>
      <c r="F155" s="11"/>
      <c r="G155" s="12"/>
    </row>
    <row r="156" spans="1:7" ht="15" customHeight="1" x14ac:dyDescent="0.25">
      <c r="A156" s="12"/>
      <c r="B156" s="11"/>
      <c r="C156" s="12"/>
      <c r="D156" s="11"/>
      <c r="E156" s="11"/>
      <c r="F156" s="12"/>
      <c r="G156" s="12"/>
    </row>
    <row r="157" spans="1:7" x14ac:dyDescent="0.25">
      <c r="A157" s="12"/>
      <c r="B157" s="11"/>
      <c r="C157" s="12"/>
      <c r="D157" s="11"/>
      <c r="E157" s="11"/>
      <c r="F157" s="11"/>
      <c r="G157" s="12"/>
    </row>
    <row r="158" spans="1:7" x14ac:dyDescent="0.25">
      <c r="A158" s="11"/>
      <c r="B158" s="11"/>
      <c r="C158" s="11"/>
      <c r="D158" s="11"/>
      <c r="E158" s="11"/>
      <c r="F158" s="11"/>
      <c r="G158" s="11"/>
    </row>
    <row r="159" spans="1:7" ht="15" customHeight="1" x14ac:dyDescent="0.25">
      <c r="A159" s="12"/>
      <c r="B159" s="11"/>
      <c r="C159" s="12"/>
      <c r="D159" s="12"/>
      <c r="E159" s="13"/>
      <c r="F159" s="12"/>
      <c r="G159" s="13"/>
    </row>
    <row r="160" spans="1:7" x14ac:dyDescent="0.25">
      <c r="A160" s="12"/>
      <c r="B160" s="11"/>
      <c r="C160" s="12"/>
      <c r="D160" s="11"/>
      <c r="E160" s="12"/>
      <c r="F160" s="12"/>
      <c r="G160" s="12"/>
    </row>
    <row r="161" spans="1:7" ht="15" customHeight="1" x14ac:dyDescent="0.25">
      <c r="A161" s="12"/>
      <c r="B161" s="11"/>
      <c r="C161" s="12"/>
      <c r="D161" s="11"/>
      <c r="E161" s="11"/>
      <c r="F161" s="11"/>
      <c r="G161" s="13"/>
    </row>
    <row r="162" spans="1:7" ht="15" customHeight="1" x14ac:dyDescent="0.25">
      <c r="A162" s="12"/>
      <c r="B162" s="11"/>
      <c r="C162" s="12"/>
      <c r="D162" s="11"/>
      <c r="E162" s="11"/>
      <c r="F162" s="12"/>
      <c r="G162" s="12"/>
    </row>
    <row r="163" spans="1:7" x14ac:dyDescent="0.25">
      <c r="A163" s="11"/>
      <c r="B163" s="11"/>
      <c r="C163" s="11"/>
      <c r="D163" s="11"/>
      <c r="E163" s="11"/>
      <c r="F163" s="11"/>
      <c r="G163" s="11"/>
    </row>
    <row r="164" spans="1:7" ht="15" customHeight="1" x14ac:dyDescent="0.25">
      <c r="A164" s="12"/>
      <c r="B164" s="11"/>
      <c r="C164" s="12"/>
      <c r="D164" s="12"/>
      <c r="E164" s="13"/>
      <c r="F164" s="12"/>
      <c r="G164" s="13"/>
    </row>
    <row r="165" spans="1:7" x14ac:dyDescent="0.25">
      <c r="A165" s="12"/>
      <c r="B165" s="11"/>
      <c r="C165" s="12"/>
      <c r="D165" s="11"/>
      <c r="E165" s="12"/>
      <c r="F165" s="12"/>
      <c r="G165" s="12"/>
    </row>
    <row r="166" spans="1:7" x14ac:dyDescent="0.25">
      <c r="A166" s="12"/>
      <c r="B166" s="11"/>
      <c r="C166" s="12"/>
      <c r="D166" s="11"/>
      <c r="E166" s="11"/>
      <c r="F166" s="11"/>
      <c r="G166" s="12"/>
    </row>
    <row r="167" spans="1:7" ht="15" customHeight="1" x14ac:dyDescent="0.25">
      <c r="A167" s="12"/>
      <c r="B167" s="11"/>
      <c r="C167" s="12"/>
      <c r="D167" s="11"/>
      <c r="E167" s="13"/>
      <c r="F167" s="11"/>
      <c r="G167" s="12"/>
    </row>
    <row r="168" spans="1:7" x14ac:dyDescent="0.25">
      <c r="A168" s="11"/>
      <c r="B168" s="11"/>
      <c r="C168" s="11"/>
      <c r="D168" s="11"/>
      <c r="E168" s="11"/>
      <c r="F168" s="11"/>
      <c r="G168" s="11"/>
    </row>
    <row r="169" spans="1:7" ht="15" customHeight="1" x14ac:dyDescent="0.25">
      <c r="A169" s="12"/>
      <c r="B169" s="11"/>
      <c r="C169" s="12"/>
      <c r="D169" s="12"/>
      <c r="E169" s="13"/>
      <c r="F169" s="12"/>
      <c r="G169" s="13"/>
    </row>
    <row r="170" spans="1:7" ht="15" customHeight="1" x14ac:dyDescent="0.25">
      <c r="A170" s="12"/>
      <c r="B170" s="11"/>
      <c r="C170" s="12"/>
      <c r="D170" s="11"/>
      <c r="E170" s="11"/>
      <c r="F170" s="11"/>
      <c r="G170" s="12"/>
    </row>
    <row r="171" spans="1:7" ht="15" customHeight="1" x14ac:dyDescent="0.25">
      <c r="A171" s="12"/>
      <c r="B171" s="11"/>
      <c r="C171" s="12"/>
      <c r="D171" s="11"/>
      <c r="E171" s="13"/>
      <c r="F171" s="11"/>
      <c r="G171" s="12"/>
    </row>
    <row r="172" spans="1:7" ht="15" customHeight="1" x14ac:dyDescent="0.25">
      <c r="A172" s="12"/>
      <c r="B172" s="11"/>
      <c r="C172" s="12"/>
      <c r="D172" s="11"/>
      <c r="E172" s="13"/>
      <c r="F172" s="11"/>
      <c r="G172" s="12"/>
    </row>
    <row r="173" spans="1:7" x14ac:dyDescent="0.25">
      <c r="A173" s="11"/>
      <c r="B173" s="11"/>
      <c r="C173" s="11"/>
      <c r="D173" s="11"/>
      <c r="E173" s="11"/>
      <c r="F173" s="11"/>
      <c r="G173" s="11"/>
    </row>
    <row r="174" spans="1:7" x14ac:dyDescent="0.25">
      <c r="A174" s="12"/>
      <c r="B174" s="11"/>
      <c r="C174" s="12"/>
      <c r="D174" s="12"/>
      <c r="E174" s="12"/>
      <c r="F174" s="12"/>
      <c r="G174" s="12"/>
    </row>
    <row r="175" spans="1:7" ht="15" customHeight="1" x14ac:dyDescent="0.25">
      <c r="A175" s="12"/>
      <c r="B175" s="11"/>
      <c r="C175" s="12"/>
      <c r="D175" s="11"/>
      <c r="E175" s="11"/>
      <c r="F175" s="11"/>
      <c r="G175" s="13"/>
    </row>
    <row r="176" spans="1:7" ht="15" customHeight="1" x14ac:dyDescent="0.25">
      <c r="A176" s="12"/>
      <c r="B176" s="11"/>
      <c r="C176" s="12"/>
      <c r="D176" s="11"/>
      <c r="E176" s="13"/>
      <c r="F176" s="11"/>
      <c r="G176" s="12"/>
    </row>
    <row r="177" spans="1:7" x14ac:dyDescent="0.25">
      <c r="A177" s="11"/>
      <c r="B177" s="11"/>
      <c r="C177" s="11"/>
      <c r="D177" s="11"/>
      <c r="E177" s="11"/>
      <c r="F177" s="11"/>
      <c r="G177" s="11"/>
    </row>
    <row r="178" spans="1:7" x14ac:dyDescent="0.25">
      <c r="A178" s="12"/>
      <c r="B178" s="11"/>
      <c r="C178" s="12"/>
      <c r="D178" s="12"/>
      <c r="E178" s="12"/>
      <c r="F178" s="12"/>
      <c r="G178" s="12"/>
    </row>
    <row r="179" spans="1:7" x14ac:dyDescent="0.25">
      <c r="A179" s="12"/>
      <c r="B179" s="11"/>
      <c r="C179" s="12"/>
      <c r="D179" s="11"/>
      <c r="E179" s="11"/>
      <c r="F179" s="11"/>
      <c r="G179" s="12"/>
    </row>
    <row r="180" spans="1:7" ht="15" customHeight="1" x14ac:dyDescent="0.25">
      <c r="A180" s="12"/>
      <c r="B180" s="11"/>
      <c r="C180" s="12"/>
      <c r="D180" s="11"/>
      <c r="E180" s="13"/>
      <c r="F180" s="11"/>
      <c r="G180" s="12"/>
    </row>
    <row r="181" spans="1:7" x14ac:dyDescent="0.25">
      <c r="A181" s="11"/>
      <c r="B181" s="11"/>
      <c r="C181" s="11"/>
      <c r="D181" s="11"/>
      <c r="E181" s="11"/>
      <c r="F181" s="11"/>
      <c r="G181" s="11"/>
    </row>
    <row r="182" spans="1:7" x14ac:dyDescent="0.25">
      <c r="A182" s="12"/>
      <c r="B182" s="11"/>
      <c r="C182" s="12"/>
      <c r="D182" s="12"/>
      <c r="E182" s="12"/>
      <c r="F182" s="12"/>
      <c r="G182" s="12"/>
    </row>
    <row r="183" spans="1:7" ht="15" customHeight="1" x14ac:dyDescent="0.25">
      <c r="A183" s="12"/>
      <c r="B183" s="11"/>
      <c r="C183" s="11"/>
      <c r="D183" s="11"/>
      <c r="E183" s="13"/>
      <c r="F183" s="11"/>
      <c r="G183" s="12"/>
    </row>
    <row r="184" spans="1:7" x14ac:dyDescent="0.25">
      <c r="A184" s="11"/>
      <c r="B184" s="11"/>
      <c r="C184" s="11"/>
      <c r="D184" s="11"/>
      <c r="E184" s="11"/>
      <c r="F184" s="11"/>
      <c r="G184" s="11"/>
    </row>
    <row r="185" spans="1:7" x14ac:dyDescent="0.25">
      <c r="A185" s="12"/>
      <c r="B185" s="11"/>
      <c r="C185" s="12"/>
      <c r="D185" s="12"/>
      <c r="E185" s="12"/>
      <c r="F185" s="12"/>
      <c r="G185" s="12"/>
    </row>
    <row r="186" spans="1:7" ht="15" customHeight="1" x14ac:dyDescent="0.25">
      <c r="A186" s="12"/>
      <c r="B186" s="11"/>
      <c r="C186" s="11"/>
      <c r="D186" s="11"/>
      <c r="E186" s="13"/>
      <c r="F186" s="11"/>
      <c r="G186" s="12"/>
    </row>
    <row r="187" spans="1:7" x14ac:dyDescent="0.25">
      <c r="A187" s="11"/>
      <c r="B187" s="11"/>
      <c r="C187" s="11"/>
      <c r="D187" s="11"/>
      <c r="E187" s="11"/>
      <c r="F187" s="11"/>
      <c r="G187" s="11"/>
    </row>
    <row r="188" spans="1:7" x14ac:dyDescent="0.25">
      <c r="A188" s="12"/>
      <c r="B188" s="11"/>
      <c r="C188" s="12"/>
      <c r="D188" s="12"/>
      <c r="E188" s="12"/>
      <c r="F188" s="12"/>
      <c r="G188" s="12"/>
    </row>
    <row r="189" spans="1:7" x14ac:dyDescent="0.25">
      <c r="A189" s="11"/>
      <c r="B189" s="11"/>
      <c r="C189" s="11"/>
      <c r="D189" s="11"/>
      <c r="E189" s="11"/>
      <c r="F189" s="11"/>
      <c r="G189" s="11"/>
    </row>
    <row r="190" spans="1:7" x14ac:dyDescent="0.25">
      <c r="A190" s="12"/>
      <c r="B190" s="11"/>
      <c r="C190" s="12"/>
      <c r="D190" s="12"/>
      <c r="E190" s="12"/>
      <c r="F190" s="12"/>
      <c r="G190" s="1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74273-527F-4353-9C02-228907DEA488}">
  <sheetPr codeName="Лист36"/>
  <dimension ref="A1:I190"/>
  <sheetViews>
    <sheetView zoomScale="115" zoomScaleNormal="115" workbookViewId="0">
      <selection activeCell="H41" sqref="H41"/>
    </sheetView>
  </sheetViews>
  <sheetFormatPr defaultRowHeight="15" x14ac:dyDescent="0.25"/>
  <sheetData>
    <row r="1" spans="1:9" x14ac:dyDescent="0.25">
      <c r="A1" s="11" t="s">
        <v>2381</v>
      </c>
      <c r="B1" t="s">
        <v>3538</v>
      </c>
      <c r="C1" s="13" t="s">
        <v>2982</v>
      </c>
      <c r="D1" s="13" t="s">
        <v>3537</v>
      </c>
      <c r="E1" s="13" t="s">
        <v>3544</v>
      </c>
      <c r="F1" s="13" t="s">
        <v>3520</v>
      </c>
      <c r="G1" s="11" t="s">
        <v>2387</v>
      </c>
      <c r="H1" t="s">
        <v>3356</v>
      </c>
      <c r="I1" t="s">
        <v>3406</v>
      </c>
    </row>
    <row r="2" spans="1:9" x14ac:dyDescent="0.25">
      <c r="A2" s="81">
        <v>16</v>
      </c>
      <c r="B2" s="81">
        <v>16</v>
      </c>
      <c r="C2" s="91">
        <v>16</v>
      </c>
      <c r="D2" s="83">
        <v>22</v>
      </c>
      <c r="E2" s="95" t="s">
        <v>3539</v>
      </c>
      <c r="F2" s="83">
        <v>7</v>
      </c>
      <c r="G2" s="73" t="s">
        <v>3531</v>
      </c>
      <c r="H2" s="93" t="s">
        <v>3525</v>
      </c>
      <c r="I2" s="95" t="s">
        <v>3545</v>
      </c>
    </row>
    <row r="3" spans="1:9" ht="15" customHeight="1" x14ac:dyDescent="0.25">
      <c r="A3" s="82">
        <v>20</v>
      </c>
      <c r="B3" s="82">
        <v>20</v>
      </c>
      <c r="C3" s="92">
        <v>16</v>
      </c>
      <c r="D3" s="84">
        <v>27</v>
      </c>
      <c r="E3" s="96" t="s">
        <v>3539</v>
      </c>
      <c r="F3" s="84">
        <v>7</v>
      </c>
      <c r="G3" s="72" t="s">
        <v>3532</v>
      </c>
      <c r="H3" s="94" t="s">
        <v>3526</v>
      </c>
      <c r="I3" s="96" t="s">
        <v>3546</v>
      </c>
    </row>
    <row r="4" spans="1:9" x14ac:dyDescent="0.25">
      <c r="A4" s="81">
        <v>25</v>
      </c>
      <c r="B4" s="81">
        <v>25</v>
      </c>
      <c r="C4" s="91">
        <v>16</v>
      </c>
      <c r="D4" s="83">
        <v>33</v>
      </c>
      <c r="E4" s="95" t="s">
        <v>3540</v>
      </c>
      <c r="F4" s="83">
        <v>7</v>
      </c>
      <c r="G4" s="73" t="s">
        <v>3533</v>
      </c>
      <c r="H4" s="93" t="s">
        <v>3527</v>
      </c>
      <c r="I4" s="95" t="s">
        <v>3547</v>
      </c>
    </row>
    <row r="5" spans="1:9" ht="15" customHeight="1" x14ac:dyDescent="0.25">
      <c r="A5" s="82">
        <v>32</v>
      </c>
      <c r="B5" s="82">
        <v>32</v>
      </c>
      <c r="C5" s="92">
        <v>16</v>
      </c>
      <c r="D5" s="84">
        <v>41</v>
      </c>
      <c r="E5" s="96" t="s">
        <v>3541</v>
      </c>
      <c r="F5" s="84">
        <v>7</v>
      </c>
      <c r="G5" s="72" t="s">
        <v>3534</v>
      </c>
      <c r="H5" s="94" t="s">
        <v>3528</v>
      </c>
      <c r="I5" s="96" t="s">
        <v>3548</v>
      </c>
    </row>
    <row r="6" spans="1:9" x14ac:dyDescent="0.25">
      <c r="A6" s="81">
        <v>40</v>
      </c>
      <c r="B6" s="81">
        <v>40</v>
      </c>
      <c r="C6" s="91">
        <v>16</v>
      </c>
      <c r="D6" s="83">
        <v>50</v>
      </c>
      <c r="E6" s="95" t="s">
        <v>3542</v>
      </c>
      <c r="F6" s="83">
        <v>8</v>
      </c>
      <c r="G6" s="73" t="s">
        <v>3535</v>
      </c>
      <c r="H6" s="93" t="s">
        <v>3529</v>
      </c>
      <c r="I6" s="95" t="s">
        <v>3549</v>
      </c>
    </row>
    <row r="7" spans="1:9" x14ac:dyDescent="0.25">
      <c r="A7" s="82">
        <v>50</v>
      </c>
      <c r="B7" s="82">
        <v>50</v>
      </c>
      <c r="C7" s="92">
        <v>16</v>
      </c>
      <c r="D7" s="84">
        <v>60</v>
      </c>
      <c r="E7" s="96" t="s">
        <v>3543</v>
      </c>
      <c r="F7" s="84">
        <v>8</v>
      </c>
      <c r="G7" s="72" t="s">
        <v>3536</v>
      </c>
      <c r="H7" s="94" t="s">
        <v>3530</v>
      </c>
      <c r="I7" s="96" t="s">
        <v>3550</v>
      </c>
    </row>
    <row r="8" spans="1:9" ht="15" customHeight="1" x14ac:dyDescent="0.25">
      <c r="A8" s="71">
        <v>63</v>
      </c>
      <c r="B8" s="71">
        <v>63</v>
      </c>
      <c r="C8" s="73">
        <v>16</v>
      </c>
      <c r="D8" s="73">
        <v>77</v>
      </c>
      <c r="E8" s="99" t="s">
        <v>3591</v>
      </c>
      <c r="F8" s="73">
        <v>9</v>
      </c>
      <c r="G8" s="73" t="s">
        <v>3551</v>
      </c>
      <c r="H8" s="97" t="s">
        <v>3565</v>
      </c>
      <c r="I8" s="99" t="s">
        <v>3579</v>
      </c>
    </row>
    <row r="9" spans="1:9" ht="15" customHeight="1" x14ac:dyDescent="0.25">
      <c r="A9" s="70">
        <v>75</v>
      </c>
      <c r="B9" s="70">
        <v>75</v>
      </c>
      <c r="C9" s="72">
        <v>16</v>
      </c>
      <c r="D9" s="72">
        <v>90</v>
      </c>
      <c r="E9" s="100" t="s">
        <v>3584</v>
      </c>
      <c r="F9" s="101">
        <v>10</v>
      </c>
      <c r="G9" s="72" t="s">
        <v>3552</v>
      </c>
      <c r="H9" s="98" t="s">
        <v>3566</v>
      </c>
      <c r="I9" s="100" t="s">
        <v>3524</v>
      </c>
    </row>
    <row r="10" spans="1:9" x14ac:dyDescent="0.25">
      <c r="A10" s="71">
        <v>90</v>
      </c>
      <c r="B10" s="71">
        <v>90</v>
      </c>
      <c r="C10" s="73">
        <v>16</v>
      </c>
      <c r="D10" s="73">
        <v>107</v>
      </c>
      <c r="E10" s="99" t="s">
        <v>3592</v>
      </c>
      <c r="F10" s="102">
        <v>11</v>
      </c>
      <c r="G10" s="73" t="s">
        <v>3553</v>
      </c>
      <c r="H10" s="97" t="s">
        <v>3567</v>
      </c>
      <c r="I10" s="99" t="s">
        <v>3580</v>
      </c>
    </row>
    <row r="11" spans="1:9" ht="15" customHeight="1" x14ac:dyDescent="0.25">
      <c r="A11" s="70">
        <v>110</v>
      </c>
      <c r="B11" s="70">
        <v>110</v>
      </c>
      <c r="C11" s="72">
        <v>16</v>
      </c>
      <c r="D11" s="72">
        <v>129</v>
      </c>
      <c r="E11" s="100" t="s">
        <v>3593</v>
      </c>
      <c r="F11" s="101">
        <v>12</v>
      </c>
      <c r="G11" s="72" t="s">
        <v>3554</v>
      </c>
      <c r="H11" s="98" t="s">
        <v>3568</v>
      </c>
      <c r="I11" s="100" t="s">
        <v>3542</v>
      </c>
    </row>
    <row r="12" spans="1:9" x14ac:dyDescent="0.25">
      <c r="A12" s="71">
        <v>125</v>
      </c>
      <c r="B12" s="71">
        <v>125</v>
      </c>
      <c r="C12" s="73">
        <v>16</v>
      </c>
      <c r="D12" s="73">
        <v>147</v>
      </c>
      <c r="E12" s="99" t="s">
        <v>3594</v>
      </c>
      <c r="F12" s="102">
        <v>13</v>
      </c>
      <c r="G12" s="73" t="s">
        <v>3555</v>
      </c>
      <c r="H12" s="97" t="s">
        <v>3569</v>
      </c>
      <c r="I12" s="99" t="s">
        <v>3581</v>
      </c>
    </row>
    <row r="13" spans="1:9" x14ac:dyDescent="0.25">
      <c r="A13" s="70">
        <v>140</v>
      </c>
      <c r="B13" s="70">
        <v>140</v>
      </c>
      <c r="C13" s="72">
        <v>16</v>
      </c>
      <c r="D13" s="72">
        <v>164</v>
      </c>
      <c r="E13" s="100" t="s">
        <v>3595</v>
      </c>
      <c r="F13" s="101">
        <v>14</v>
      </c>
      <c r="G13" s="72" t="s">
        <v>3556</v>
      </c>
      <c r="H13" s="98" t="s">
        <v>3570</v>
      </c>
      <c r="I13" s="100" t="s">
        <v>3582</v>
      </c>
    </row>
    <row r="14" spans="1:9" ht="15" customHeight="1" x14ac:dyDescent="0.25">
      <c r="A14" s="71">
        <v>160</v>
      </c>
      <c r="B14" s="71">
        <v>160</v>
      </c>
      <c r="C14" s="73">
        <v>16</v>
      </c>
      <c r="D14" s="73">
        <v>188</v>
      </c>
      <c r="E14" s="99" t="s">
        <v>3596</v>
      </c>
      <c r="F14" s="102">
        <v>16</v>
      </c>
      <c r="G14" s="73" t="s">
        <v>3557</v>
      </c>
      <c r="H14" s="97" t="s">
        <v>3571</v>
      </c>
      <c r="I14" s="99" t="s">
        <v>3583</v>
      </c>
    </row>
    <row r="15" spans="1:9" ht="15" customHeight="1" x14ac:dyDescent="0.25">
      <c r="A15" s="70">
        <v>200</v>
      </c>
      <c r="B15" s="70">
        <v>200</v>
      </c>
      <c r="C15" s="72">
        <v>16</v>
      </c>
      <c r="D15" s="72">
        <v>230</v>
      </c>
      <c r="E15" s="100" t="s">
        <v>3597</v>
      </c>
      <c r="F15" s="101">
        <v>18</v>
      </c>
      <c r="G15" s="72" t="s">
        <v>3558</v>
      </c>
      <c r="H15" s="98" t="s">
        <v>3572</v>
      </c>
      <c r="I15" s="100" t="s">
        <v>3584</v>
      </c>
    </row>
    <row r="16" spans="1:9" x14ac:dyDescent="0.25">
      <c r="A16" s="71">
        <v>225</v>
      </c>
      <c r="B16" s="71">
        <v>225</v>
      </c>
      <c r="C16" s="73">
        <v>16</v>
      </c>
      <c r="D16" s="73">
        <v>245</v>
      </c>
      <c r="E16" s="99" t="s">
        <v>3598</v>
      </c>
      <c r="F16" s="102">
        <v>24</v>
      </c>
      <c r="G16" s="73" t="s">
        <v>3559</v>
      </c>
      <c r="H16" s="97" t="s">
        <v>3573</v>
      </c>
      <c r="I16" s="99" t="s">
        <v>3585</v>
      </c>
    </row>
    <row r="17" spans="1:9" ht="15" customHeight="1" x14ac:dyDescent="0.25">
      <c r="A17" s="70">
        <v>250</v>
      </c>
      <c r="B17" s="70">
        <v>250</v>
      </c>
      <c r="C17" s="72">
        <v>10</v>
      </c>
      <c r="D17" s="72">
        <v>269</v>
      </c>
      <c r="E17" s="100" t="s">
        <v>3599</v>
      </c>
      <c r="F17" s="101">
        <v>20</v>
      </c>
      <c r="G17" s="72" t="s">
        <v>3560</v>
      </c>
      <c r="H17" s="98" t="s">
        <v>3574</v>
      </c>
      <c r="I17" s="100" t="s">
        <v>3586</v>
      </c>
    </row>
    <row r="18" spans="1:9" x14ac:dyDescent="0.25">
      <c r="A18" s="71">
        <v>280</v>
      </c>
      <c r="B18" s="71">
        <v>280</v>
      </c>
      <c r="C18" s="73">
        <v>10</v>
      </c>
      <c r="D18" s="73">
        <v>304</v>
      </c>
      <c r="E18" s="99" t="s">
        <v>3600</v>
      </c>
      <c r="F18" s="102">
        <v>20</v>
      </c>
      <c r="G18" s="73" t="s">
        <v>3561</v>
      </c>
      <c r="H18" s="97" t="s">
        <v>3575</v>
      </c>
      <c r="I18" s="99" t="s">
        <v>3587</v>
      </c>
    </row>
    <row r="19" spans="1:9" x14ac:dyDescent="0.25">
      <c r="A19" s="70">
        <v>315</v>
      </c>
      <c r="B19" s="70">
        <v>315</v>
      </c>
      <c r="C19" s="72">
        <v>10</v>
      </c>
      <c r="D19" s="72">
        <v>341</v>
      </c>
      <c r="E19" s="100" t="s">
        <v>3601</v>
      </c>
      <c r="F19" s="101">
        <v>20</v>
      </c>
      <c r="G19" s="72" t="s">
        <v>3562</v>
      </c>
      <c r="H19" s="98" t="s">
        <v>3576</v>
      </c>
      <c r="I19" s="100" t="s">
        <v>3588</v>
      </c>
    </row>
    <row r="20" spans="1:9" x14ac:dyDescent="0.25">
      <c r="A20" s="71">
        <v>355</v>
      </c>
      <c r="B20" s="71">
        <v>355</v>
      </c>
      <c r="C20" s="73">
        <v>10</v>
      </c>
      <c r="D20" s="73">
        <v>384</v>
      </c>
      <c r="E20" s="99" t="s">
        <v>3602</v>
      </c>
      <c r="F20" s="102">
        <v>28</v>
      </c>
      <c r="G20" s="77" t="s">
        <v>3563</v>
      </c>
      <c r="H20" s="97" t="s">
        <v>3577</v>
      </c>
      <c r="I20" s="99" t="s">
        <v>3589</v>
      </c>
    </row>
    <row r="21" spans="1:9" ht="15" customHeight="1" x14ac:dyDescent="0.25">
      <c r="A21" s="70">
        <v>400</v>
      </c>
      <c r="B21" s="70">
        <v>400</v>
      </c>
      <c r="C21" s="72">
        <v>4</v>
      </c>
      <c r="D21" s="72">
        <v>450</v>
      </c>
      <c r="E21" s="100" t="s">
        <v>3603</v>
      </c>
      <c r="F21" s="101">
        <v>25</v>
      </c>
      <c r="G21" s="72" t="s">
        <v>3564</v>
      </c>
      <c r="H21" s="98" t="s">
        <v>3578</v>
      </c>
      <c r="I21" s="100" t="s">
        <v>3590</v>
      </c>
    </row>
    <row r="22" spans="1:9" x14ac:dyDescent="0.25">
      <c r="A22" s="71"/>
      <c r="B22" s="71"/>
      <c r="C22" s="73"/>
    </row>
    <row r="23" spans="1:9" ht="15" customHeight="1" x14ac:dyDescent="0.25">
      <c r="A23" s="70"/>
      <c r="B23" s="70"/>
      <c r="C23" s="72"/>
    </row>
    <row r="24" spans="1:9" x14ac:dyDescent="0.25">
      <c r="A24" s="12"/>
      <c r="B24" s="11"/>
    </row>
    <row r="25" spans="1:9" x14ac:dyDescent="0.25">
      <c r="A25" s="12"/>
      <c r="B25" s="11"/>
    </row>
    <row r="26" spans="1:9" x14ac:dyDescent="0.25">
      <c r="A26" s="11"/>
      <c r="B26" s="11"/>
    </row>
    <row r="27" spans="1:9" ht="15" customHeight="1" x14ac:dyDescent="0.25">
      <c r="A27" s="12"/>
      <c r="B27" s="11"/>
    </row>
    <row r="28" spans="1:9" x14ac:dyDescent="0.25">
      <c r="A28" s="12"/>
      <c r="B28" s="11"/>
    </row>
    <row r="29" spans="1:9" ht="15" customHeight="1" x14ac:dyDescent="0.25">
      <c r="A29" s="12"/>
      <c r="B29" s="11"/>
    </row>
    <row r="30" spans="1:9" x14ac:dyDescent="0.25">
      <c r="A30" s="12"/>
      <c r="B30" s="11"/>
    </row>
    <row r="31" spans="1:9" x14ac:dyDescent="0.25">
      <c r="A31" s="12"/>
      <c r="B31" s="11"/>
    </row>
    <row r="32" spans="1:9" x14ac:dyDescent="0.25">
      <c r="A32" s="11"/>
      <c r="B32" s="11"/>
    </row>
    <row r="33" spans="1:2" ht="15" customHeight="1" x14ac:dyDescent="0.25">
      <c r="A33" s="12"/>
      <c r="B33" s="11"/>
    </row>
    <row r="34" spans="1:2" x14ac:dyDescent="0.25">
      <c r="A34" s="12"/>
      <c r="B34" s="11"/>
    </row>
    <row r="35" spans="1:2" ht="15" customHeight="1" x14ac:dyDescent="0.25">
      <c r="A35" s="12"/>
      <c r="B35" s="11"/>
    </row>
    <row r="36" spans="1:2" x14ac:dyDescent="0.25">
      <c r="A36" s="12"/>
      <c r="B36" s="11"/>
    </row>
    <row r="37" spans="1:2" x14ac:dyDescent="0.25">
      <c r="A37" s="12"/>
      <c r="B37" s="11"/>
    </row>
    <row r="38" spans="1:2" x14ac:dyDescent="0.25">
      <c r="A38" s="11"/>
      <c r="B38" s="11"/>
    </row>
    <row r="39" spans="1:2" ht="15" customHeight="1" x14ac:dyDescent="0.25">
      <c r="A39" s="12"/>
      <c r="B39" s="11"/>
    </row>
    <row r="40" spans="1:2" x14ac:dyDescent="0.25">
      <c r="A40" s="12"/>
      <c r="B40" s="11"/>
    </row>
    <row r="41" spans="1:2" ht="15" customHeight="1" x14ac:dyDescent="0.25">
      <c r="A41" s="12"/>
      <c r="B41" s="11"/>
    </row>
    <row r="42" spans="1:2" x14ac:dyDescent="0.25">
      <c r="A42" s="12"/>
      <c r="B42" s="11"/>
    </row>
    <row r="43" spans="1:2" x14ac:dyDescent="0.25">
      <c r="A43" s="12"/>
      <c r="B43" s="11"/>
    </row>
    <row r="44" spans="1:2" x14ac:dyDescent="0.25">
      <c r="A44" s="11"/>
      <c r="B44" s="11"/>
    </row>
    <row r="45" spans="1:2" ht="15" customHeight="1" x14ac:dyDescent="0.25">
      <c r="A45" s="12"/>
      <c r="B45" s="11"/>
    </row>
    <row r="46" spans="1:2" x14ac:dyDescent="0.25">
      <c r="A46" s="12"/>
      <c r="B46" s="11"/>
    </row>
    <row r="47" spans="1:2" ht="15" customHeight="1" x14ac:dyDescent="0.25">
      <c r="A47" s="12"/>
      <c r="B47" s="11"/>
    </row>
    <row r="48" spans="1:2" x14ac:dyDescent="0.25">
      <c r="A48" s="12"/>
      <c r="B48" s="11"/>
    </row>
    <row r="49" spans="1:2" ht="15" customHeight="1" x14ac:dyDescent="0.25">
      <c r="A49" s="12"/>
      <c r="B49" s="11"/>
    </row>
    <row r="50" spans="1:2" x14ac:dyDescent="0.25">
      <c r="A50" s="11"/>
      <c r="B50" s="11"/>
    </row>
    <row r="51" spans="1:2" ht="15" customHeight="1" x14ac:dyDescent="0.25">
      <c r="A51" s="12"/>
      <c r="B51" s="11"/>
    </row>
    <row r="52" spans="1:2" x14ac:dyDescent="0.25">
      <c r="A52" s="12"/>
      <c r="B52" s="11"/>
    </row>
    <row r="53" spans="1:2" x14ac:dyDescent="0.25">
      <c r="A53" s="12"/>
      <c r="B53" s="11"/>
    </row>
    <row r="54" spans="1:2" x14ac:dyDescent="0.25">
      <c r="A54" s="12"/>
      <c r="B54" s="11"/>
    </row>
    <row r="55" spans="1:2" ht="15" customHeight="1" x14ac:dyDescent="0.25">
      <c r="A55" s="12"/>
      <c r="B55" s="11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2"/>
      <c r="B58" s="13"/>
    </row>
    <row r="59" spans="1:2" x14ac:dyDescent="0.25">
      <c r="A59" s="12"/>
      <c r="B59" s="13"/>
    </row>
    <row r="60" spans="1:2" x14ac:dyDescent="0.25">
      <c r="A60" s="12"/>
      <c r="B60" s="13"/>
    </row>
    <row r="61" spans="1:2" x14ac:dyDescent="0.25">
      <c r="A61" s="12"/>
      <c r="B61" s="13"/>
    </row>
    <row r="62" spans="1:2" x14ac:dyDescent="0.25">
      <c r="A62" s="12"/>
      <c r="B62" s="13"/>
    </row>
    <row r="63" spans="1:2" x14ac:dyDescent="0.25">
      <c r="A63" s="12"/>
      <c r="B63" s="13"/>
    </row>
    <row r="64" spans="1:2" x14ac:dyDescent="0.25">
      <c r="A64" s="12"/>
      <c r="B64" s="13"/>
    </row>
    <row r="65" spans="1:2" x14ac:dyDescent="0.25">
      <c r="A65" s="12"/>
      <c r="B65" s="13"/>
    </row>
    <row r="66" spans="1:2" x14ac:dyDescent="0.25">
      <c r="A66" s="12"/>
      <c r="B66" s="13"/>
    </row>
    <row r="67" spans="1:2" x14ac:dyDescent="0.25">
      <c r="A67" s="12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2"/>
      <c r="B70" s="13"/>
    </row>
    <row r="71" spans="1:2" x14ac:dyDescent="0.25">
      <c r="A71" s="12"/>
      <c r="B71" s="13"/>
    </row>
    <row r="72" spans="1:2" x14ac:dyDescent="0.25">
      <c r="A72" s="12"/>
      <c r="B72" s="13"/>
    </row>
    <row r="73" spans="1:2" x14ac:dyDescent="0.25">
      <c r="A73" s="12"/>
      <c r="B73" s="13"/>
    </row>
    <row r="74" spans="1:2" x14ac:dyDescent="0.25">
      <c r="A74" s="12"/>
      <c r="B74" s="13"/>
    </row>
    <row r="75" spans="1:2" x14ac:dyDescent="0.25">
      <c r="A75" s="12"/>
      <c r="B75" s="13"/>
    </row>
    <row r="76" spans="1:2" x14ac:dyDescent="0.25">
      <c r="A76" s="12"/>
      <c r="B76" s="13"/>
    </row>
    <row r="77" spans="1:2" x14ac:dyDescent="0.25">
      <c r="A77" s="12"/>
      <c r="B77" s="13"/>
    </row>
    <row r="78" spans="1:2" x14ac:dyDescent="0.25">
      <c r="A78" s="12"/>
      <c r="B78" s="13"/>
    </row>
    <row r="79" spans="1:2" x14ac:dyDescent="0.25">
      <c r="A79" s="12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2"/>
      <c r="B83" s="13"/>
    </row>
    <row r="84" spans="1:2" x14ac:dyDescent="0.25">
      <c r="A84" s="12"/>
      <c r="B84" s="13"/>
    </row>
    <row r="85" spans="1:2" x14ac:dyDescent="0.25">
      <c r="A85" s="12"/>
      <c r="B85" s="13"/>
    </row>
    <row r="86" spans="1:2" x14ac:dyDescent="0.25">
      <c r="A86" s="12"/>
      <c r="B86" s="13"/>
    </row>
    <row r="87" spans="1:2" x14ac:dyDescent="0.25">
      <c r="A87" s="12"/>
      <c r="B87" s="13"/>
    </row>
    <row r="88" spans="1:2" x14ac:dyDescent="0.25">
      <c r="A88" s="12"/>
      <c r="B88" s="13"/>
    </row>
    <row r="89" spans="1:2" x14ac:dyDescent="0.25">
      <c r="A89" s="12"/>
      <c r="B89" s="13"/>
    </row>
    <row r="90" spans="1:2" x14ac:dyDescent="0.25">
      <c r="A90" s="12"/>
      <c r="B90" s="13"/>
    </row>
    <row r="91" spans="1:2" x14ac:dyDescent="0.25">
      <c r="A91" s="12"/>
      <c r="B91" s="13"/>
    </row>
    <row r="92" spans="1:2" x14ac:dyDescent="0.25">
      <c r="A92" s="12"/>
      <c r="B92" s="13"/>
    </row>
    <row r="93" spans="1:2" x14ac:dyDescent="0.25">
      <c r="A93" s="12"/>
      <c r="B93" s="13"/>
    </row>
    <row r="94" spans="1:2" x14ac:dyDescent="0.25">
      <c r="A94" s="12"/>
      <c r="B94" s="13"/>
    </row>
    <row r="95" spans="1:2" x14ac:dyDescent="0.25">
      <c r="A95" s="12"/>
      <c r="B95" s="13"/>
    </row>
    <row r="96" spans="1:2" x14ac:dyDescent="0.25">
      <c r="A96" s="12"/>
      <c r="B96" s="13"/>
    </row>
    <row r="97" spans="1:2" x14ac:dyDescent="0.25">
      <c r="A97" s="12"/>
      <c r="B97" s="13"/>
    </row>
    <row r="98" spans="1:2" x14ac:dyDescent="0.25">
      <c r="A98" s="11"/>
      <c r="B98" s="11"/>
    </row>
    <row r="99" spans="1:2" ht="15" customHeight="1" x14ac:dyDescent="0.25">
      <c r="A99" s="12"/>
      <c r="B99" s="11"/>
    </row>
    <row r="100" spans="1:2" x14ac:dyDescent="0.25">
      <c r="A100" s="12"/>
      <c r="B100" s="11"/>
    </row>
    <row r="101" spans="1:2" ht="15" customHeight="1" x14ac:dyDescent="0.25">
      <c r="A101" s="12"/>
      <c r="B101" s="11"/>
    </row>
    <row r="102" spans="1:2" ht="15" customHeight="1" x14ac:dyDescent="0.25">
      <c r="A102" s="12"/>
      <c r="B102" s="11"/>
    </row>
    <row r="103" spans="1:2" ht="15" customHeight="1" x14ac:dyDescent="0.25">
      <c r="A103" s="12"/>
      <c r="B103" s="11"/>
    </row>
    <row r="104" spans="1:2" x14ac:dyDescent="0.25">
      <c r="A104" s="11"/>
      <c r="B104" s="11"/>
    </row>
    <row r="105" spans="1:2" ht="15" customHeight="1" x14ac:dyDescent="0.25">
      <c r="A105" s="12"/>
      <c r="B105" s="11"/>
    </row>
    <row r="106" spans="1:2" x14ac:dyDescent="0.25">
      <c r="A106" s="12"/>
      <c r="B106" s="11"/>
    </row>
    <row r="107" spans="1:2" ht="15" customHeight="1" x14ac:dyDescent="0.25">
      <c r="A107" s="12"/>
      <c r="B107" s="11"/>
    </row>
    <row r="108" spans="1:2" ht="15" customHeight="1" x14ac:dyDescent="0.25">
      <c r="A108" s="12"/>
      <c r="B108" s="11"/>
    </row>
    <row r="109" spans="1:2" ht="15" customHeight="1" x14ac:dyDescent="0.25">
      <c r="A109" s="12"/>
      <c r="B109" s="11"/>
    </row>
    <row r="110" spans="1:2" x14ac:dyDescent="0.25">
      <c r="A110" s="11"/>
      <c r="B110" s="11"/>
    </row>
    <row r="111" spans="1:2" ht="15" customHeight="1" x14ac:dyDescent="0.25">
      <c r="A111" s="12"/>
      <c r="B111" s="11"/>
    </row>
    <row r="112" spans="1:2" x14ac:dyDescent="0.25">
      <c r="A112" s="12"/>
      <c r="B112" s="11"/>
    </row>
    <row r="113" spans="1:2" x14ac:dyDescent="0.25">
      <c r="A113" s="12"/>
      <c r="B113" s="11"/>
    </row>
    <row r="114" spans="1:2" ht="15" customHeight="1" x14ac:dyDescent="0.25">
      <c r="A114" s="12"/>
      <c r="B114" s="11"/>
    </row>
    <row r="115" spans="1:2" ht="15" customHeight="1" x14ac:dyDescent="0.25">
      <c r="A115" s="12"/>
      <c r="B115" s="11"/>
    </row>
    <row r="116" spans="1:2" x14ac:dyDescent="0.25">
      <c r="A116" s="11"/>
      <c r="B116" s="11"/>
    </row>
    <row r="117" spans="1:2" ht="15" customHeight="1" x14ac:dyDescent="0.25">
      <c r="A117" s="12"/>
      <c r="B117" s="11"/>
    </row>
    <row r="118" spans="1:2" x14ac:dyDescent="0.25">
      <c r="A118" s="12"/>
      <c r="B118" s="11"/>
    </row>
    <row r="119" spans="1:2" ht="15" customHeight="1" x14ac:dyDescent="0.25">
      <c r="A119" s="12"/>
      <c r="B119" s="11"/>
    </row>
    <row r="120" spans="1:2" ht="15" customHeight="1" x14ac:dyDescent="0.25">
      <c r="A120" s="12"/>
      <c r="B120" s="11"/>
    </row>
    <row r="121" spans="1:2" ht="15" customHeight="1" x14ac:dyDescent="0.25">
      <c r="A121" s="12"/>
      <c r="B121" s="11"/>
    </row>
    <row r="122" spans="1:2" x14ac:dyDescent="0.25">
      <c r="A122" s="11"/>
      <c r="B122" s="11"/>
    </row>
    <row r="123" spans="1:2" ht="15" customHeight="1" x14ac:dyDescent="0.25">
      <c r="A123" s="12"/>
      <c r="B123" s="11"/>
    </row>
    <row r="124" spans="1:2" x14ac:dyDescent="0.25">
      <c r="A124" s="12"/>
      <c r="B124" s="11"/>
    </row>
    <row r="125" spans="1:2" ht="15" customHeight="1" x14ac:dyDescent="0.25">
      <c r="A125" s="12"/>
      <c r="B125" s="11"/>
    </row>
    <row r="126" spans="1:2" ht="15" customHeight="1" x14ac:dyDescent="0.25">
      <c r="A126" s="12"/>
      <c r="B126" s="11"/>
    </row>
    <row r="127" spans="1:2" x14ac:dyDescent="0.25">
      <c r="A127" s="12"/>
      <c r="B127" s="11"/>
    </row>
    <row r="128" spans="1:2" x14ac:dyDescent="0.25">
      <c r="A128" s="11"/>
      <c r="B128" s="11"/>
    </row>
    <row r="129" spans="1:2" ht="15" customHeight="1" x14ac:dyDescent="0.25">
      <c r="A129" s="12"/>
      <c r="B129" s="11"/>
    </row>
    <row r="130" spans="1:2" x14ac:dyDescent="0.25">
      <c r="A130" s="12"/>
      <c r="B130" s="11"/>
    </row>
    <row r="131" spans="1:2" ht="15" customHeight="1" x14ac:dyDescent="0.25">
      <c r="A131" s="12"/>
      <c r="B131" s="11"/>
    </row>
    <row r="132" spans="1:2" ht="15" customHeight="1" x14ac:dyDescent="0.25">
      <c r="A132" s="12"/>
      <c r="B132" s="11"/>
    </row>
    <row r="133" spans="1:2" x14ac:dyDescent="0.25">
      <c r="A133" s="12"/>
      <c r="B133" s="11"/>
    </row>
    <row r="134" spans="1:2" x14ac:dyDescent="0.25">
      <c r="A134" s="11"/>
      <c r="B134" s="11"/>
    </row>
    <row r="135" spans="1:2" ht="15" customHeight="1" x14ac:dyDescent="0.25">
      <c r="A135" s="12"/>
      <c r="B135" s="11"/>
    </row>
    <row r="136" spans="1:2" x14ac:dyDescent="0.25">
      <c r="A136" s="12"/>
      <c r="B136" s="11"/>
    </row>
    <row r="137" spans="1:2" ht="15" customHeight="1" x14ac:dyDescent="0.25">
      <c r="A137" s="12"/>
      <c r="B137" s="11"/>
    </row>
    <row r="138" spans="1:2" ht="15" customHeight="1" x14ac:dyDescent="0.25">
      <c r="A138" s="12"/>
      <c r="B138" s="11"/>
    </row>
    <row r="139" spans="1:2" ht="15" customHeight="1" x14ac:dyDescent="0.25">
      <c r="A139" s="12"/>
      <c r="B139" s="11"/>
    </row>
    <row r="140" spans="1:2" x14ac:dyDescent="0.25">
      <c r="A140" s="11"/>
      <c r="B140" s="11"/>
    </row>
    <row r="141" spans="1:2" ht="15" customHeight="1" x14ac:dyDescent="0.25">
      <c r="A141" s="12"/>
      <c r="B141" s="11"/>
    </row>
    <row r="142" spans="1:2" x14ac:dyDescent="0.25">
      <c r="A142" s="12"/>
      <c r="B142" s="11"/>
    </row>
    <row r="143" spans="1:2" ht="15" customHeight="1" x14ac:dyDescent="0.25">
      <c r="A143" s="12"/>
      <c r="B143" s="11"/>
    </row>
    <row r="144" spans="1:2" ht="15" customHeight="1" x14ac:dyDescent="0.25">
      <c r="A144" s="12"/>
      <c r="B144" s="11"/>
    </row>
    <row r="145" spans="1:2" ht="15" customHeight="1" x14ac:dyDescent="0.25">
      <c r="A145" s="12"/>
      <c r="B145" s="11"/>
    </row>
    <row r="146" spans="1:2" x14ac:dyDescent="0.25">
      <c r="A146" s="11"/>
      <c r="B146" s="11"/>
    </row>
    <row r="147" spans="1:2" ht="15" customHeight="1" x14ac:dyDescent="0.25">
      <c r="A147" s="12"/>
      <c r="B147" s="11"/>
    </row>
    <row r="148" spans="1:2" x14ac:dyDescent="0.25">
      <c r="A148" s="12"/>
      <c r="B148" s="11"/>
    </row>
    <row r="149" spans="1:2" ht="15" customHeight="1" x14ac:dyDescent="0.25">
      <c r="A149" s="12"/>
      <c r="B149" s="11"/>
    </row>
    <row r="150" spans="1:2" ht="15" customHeight="1" x14ac:dyDescent="0.25">
      <c r="A150" s="12"/>
      <c r="B150" s="11"/>
    </row>
    <row r="151" spans="1:2" ht="15" customHeight="1" x14ac:dyDescent="0.25">
      <c r="A151" s="12"/>
      <c r="B151" s="11"/>
    </row>
    <row r="152" spans="1:2" x14ac:dyDescent="0.25">
      <c r="A152" s="11"/>
      <c r="B152" s="11"/>
    </row>
    <row r="153" spans="1:2" ht="15" customHeight="1" x14ac:dyDescent="0.25">
      <c r="A153" s="12"/>
      <c r="B153" s="11"/>
    </row>
    <row r="154" spans="1:2" x14ac:dyDescent="0.25">
      <c r="A154" s="12"/>
      <c r="B154" s="11"/>
    </row>
    <row r="155" spans="1:2" ht="15" customHeight="1" x14ac:dyDescent="0.25">
      <c r="A155" s="12"/>
      <c r="B155" s="11"/>
    </row>
    <row r="156" spans="1:2" ht="15" customHeight="1" x14ac:dyDescent="0.25">
      <c r="A156" s="12"/>
      <c r="B156" s="11"/>
    </row>
    <row r="157" spans="1:2" x14ac:dyDescent="0.25">
      <c r="A157" s="12"/>
      <c r="B157" s="11"/>
    </row>
    <row r="158" spans="1:2" x14ac:dyDescent="0.25">
      <c r="A158" s="11"/>
      <c r="B158" s="11"/>
    </row>
    <row r="159" spans="1:2" ht="15" customHeight="1" x14ac:dyDescent="0.25">
      <c r="A159" s="12"/>
      <c r="B159" s="11"/>
    </row>
    <row r="160" spans="1:2" x14ac:dyDescent="0.25">
      <c r="A160" s="12"/>
      <c r="B160" s="11"/>
    </row>
    <row r="161" spans="1:2" ht="15" customHeight="1" x14ac:dyDescent="0.25">
      <c r="A161" s="12"/>
      <c r="B161" s="11"/>
    </row>
    <row r="162" spans="1:2" ht="15" customHeight="1" x14ac:dyDescent="0.25">
      <c r="A162" s="12"/>
      <c r="B162" s="11"/>
    </row>
    <row r="163" spans="1:2" x14ac:dyDescent="0.25">
      <c r="A163" s="11"/>
      <c r="B163" s="11"/>
    </row>
    <row r="164" spans="1:2" ht="15" customHeight="1" x14ac:dyDescent="0.25">
      <c r="A164" s="12"/>
      <c r="B164" s="11"/>
    </row>
    <row r="165" spans="1:2" x14ac:dyDescent="0.25">
      <c r="A165" s="12"/>
      <c r="B165" s="11"/>
    </row>
    <row r="166" spans="1:2" x14ac:dyDescent="0.25">
      <c r="A166" s="12"/>
      <c r="B166" s="11"/>
    </row>
    <row r="167" spans="1:2" ht="15" customHeight="1" x14ac:dyDescent="0.25">
      <c r="A167" s="12"/>
      <c r="B167" s="11"/>
    </row>
    <row r="168" spans="1:2" x14ac:dyDescent="0.25">
      <c r="A168" s="11"/>
      <c r="B168" s="11"/>
    </row>
    <row r="169" spans="1:2" ht="15" customHeight="1" x14ac:dyDescent="0.25">
      <c r="A169" s="12"/>
      <c r="B169" s="11"/>
    </row>
    <row r="170" spans="1:2" ht="15" customHeight="1" x14ac:dyDescent="0.25">
      <c r="A170" s="12"/>
      <c r="B170" s="11"/>
    </row>
    <row r="171" spans="1:2" ht="15" customHeight="1" x14ac:dyDescent="0.25">
      <c r="A171" s="12"/>
      <c r="B171" s="11"/>
    </row>
    <row r="172" spans="1:2" ht="15" customHeight="1" x14ac:dyDescent="0.25">
      <c r="A172" s="12"/>
      <c r="B172" s="11"/>
    </row>
    <row r="173" spans="1:2" x14ac:dyDescent="0.25">
      <c r="A173" s="11"/>
      <c r="B173" s="11"/>
    </row>
    <row r="174" spans="1:2" x14ac:dyDescent="0.25">
      <c r="A174" s="12"/>
      <c r="B174" s="11"/>
    </row>
    <row r="175" spans="1:2" ht="15" customHeight="1" x14ac:dyDescent="0.25">
      <c r="A175" s="12"/>
      <c r="B175" s="11"/>
    </row>
    <row r="176" spans="1:2" ht="15" customHeight="1" x14ac:dyDescent="0.25">
      <c r="A176" s="12"/>
      <c r="B176" s="11"/>
    </row>
    <row r="177" spans="1:2" x14ac:dyDescent="0.25">
      <c r="A177" s="11"/>
      <c r="B177" s="11"/>
    </row>
    <row r="178" spans="1:2" x14ac:dyDescent="0.25">
      <c r="A178" s="12"/>
      <c r="B178" s="11"/>
    </row>
    <row r="179" spans="1:2" x14ac:dyDescent="0.25">
      <c r="A179" s="12"/>
      <c r="B179" s="11"/>
    </row>
    <row r="180" spans="1:2" ht="15" customHeight="1" x14ac:dyDescent="0.25">
      <c r="A180" s="12"/>
      <c r="B180" s="11"/>
    </row>
    <row r="181" spans="1:2" x14ac:dyDescent="0.25">
      <c r="A181" s="11"/>
      <c r="B181" s="11"/>
    </row>
    <row r="182" spans="1:2" x14ac:dyDescent="0.25">
      <c r="A182" s="12"/>
      <c r="B182" s="11"/>
    </row>
    <row r="183" spans="1:2" ht="15" customHeight="1" x14ac:dyDescent="0.25">
      <c r="A183" s="12"/>
      <c r="B183" s="11"/>
    </row>
    <row r="184" spans="1:2" x14ac:dyDescent="0.25">
      <c r="A184" s="11"/>
      <c r="B184" s="11"/>
    </row>
    <row r="185" spans="1:2" x14ac:dyDescent="0.25">
      <c r="A185" s="12"/>
      <c r="B185" s="11"/>
    </row>
    <row r="186" spans="1:2" ht="15" customHeight="1" x14ac:dyDescent="0.25">
      <c r="A186" s="12"/>
      <c r="B186" s="11"/>
    </row>
    <row r="187" spans="1:2" x14ac:dyDescent="0.25">
      <c r="A187" s="11"/>
      <c r="B187" s="11"/>
    </row>
    <row r="188" spans="1:2" x14ac:dyDescent="0.25">
      <c r="A188" s="12"/>
      <c r="B188" s="11"/>
    </row>
    <row r="189" spans="1:2" x14ac:dyDescent="0.25">
      <c r="A189" s="11"/>
      <c r="B189" s="11"/>
    </row>
    <row r="190" spans="1:2" x14ac:dyDescent="0.25">
      <c r="A190" s="12"/>
      <c r="B190" s="1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F75C8-3750-4BAA-A54E-1D727B92D7B6}">
  <sheetPr codeName="Лист35"/>
  <dimension ref="A1:G190"/>
  <sheetViews>
    <sheetView zoomScale="115" zoomScaleNormal="115" workbookViewId="0">
      <selection activeCell="J38" sqref="J38"/>
    </sheetView>
  </sheetViews>
  <sheetFormatPr defaultRowHeight="15" x14ac:dyDescent="0.25"/>
  <sheetData>
    <row r="1" spans="1:7" x14ac:dyDescent="0.25">
      <c r="A1" s="11" t="s">
        <v>2381</v>
      </c>
      <c r="B1" t="s">
        <v>12</v>
      </c>
      <c r="C1" s="13" t="s">
        <v>2982</v>
      </c>
      <c r="D1" s="13" t="s">
        <v>3520</v>
      </c>
      <c r="E1" s="11" t="s">
        <v>2387</v>
      </c>
      <c r="F1" t="s">
        <v>3356</v>
      </c>
      <c r="G1" t="s">
        <v>3406</v>
      </c>
    </row>
    <row r="2" spans="1:7" x14ac:dyDescent="0.25">
      <c r="A2" s="56">
        <v>20</v>
      </c>
      <c r="B2" s="56">
        <v>20</v>
      </c>
      <c r="C2" s="58">
        <v>16</v>
      </c>
      <c r="D2" s="63" t="s">
        <v>3521</v>
      </c>
      <c r="E2" s="50" t="s">
        <v>3477</v>
      </c>
      <c r="F2" s="60" t="s">
        <v>3495</v>
      </c>
      <c r="G2" s="61">
        <v>16</v>
      </c>
    </row>
    <row r="3" spans="1:7" ht="15" customHeight="1" x14ac:dyDescent="0.25">
      <c r="A3" s="57">
        <v>25</v>
      </c>
      <c r="B3" s="57">
        <v>25</v>
      </c>
      <c r="C3" s="59">
        <v>16</v>
      </c>
      <c r="D3" s="64">
        <v>7</v>
      </c>
      <c r="E3" s="51" t="s">
        <v>3478</v>
      </c>
      <c r="F3" s="46" t="s">
        <v>3496</v>
      </c>
      <c r="G3" s="62" t="s">
        <v>3514</v>
      </c>
    </row>
    <row r="4" spans="1:7" x14ac:dyDescent="0.25">
      <c r="A4" s="56">
        <v>32</v>
      </c>
      <c r="B4" s="56">
        <v>32</v>
      </c>
      <c r="C4" s="58">
        <v>16</v>
      </c>
      <c r="D4" s="63" t="s">
        <v>3522</v>
      </c>
      <c r="E4" s="50" t="s">
        <v>3479</v>
      </c>
      <c r="F4" s="60" t="s">
        <v>3497</v>
      </c>
      <c r="G4" s="61">
        <v>22</v>
      </c>
    </row>
    <row r="5" spans="1:7" ht="15" customHeight="1" x14ac:dyDescent="0.25">
      <c r="A5" s="57">
        <v>40</v>
      </c>
      <c r="B5" s="57">
        <v>40</v>
      </c>
      <c r="C5" s="59">
        <v>16</v>
      </c>
      <c r="D5" s="64">
        <v>10</v>
      </c>
      <c r="E5" s="51" t="s">
        <v>3480</v>
      </c>
      <c r="F5" s="46" t="s">
        <v>3498</v>
      </c>
      <c r="G5" s="62">
        <v>26</v>
      </c>
    </row>
    <row r="6" spans="1:7" x14ac:dyDescent="0.25">
      <c r="A6" s="56">
        <v>50</v>
      </c>
      <c r="B6" s="56">
        <v>50</v>
      </c>
      <c r="C6" s="58">
        <v>16</v>
      </c>
      <c r="D6" s="63">
        <v>12</v>
      </c>
      <c r="E6" s="50" t="s">
        <v>3481</v>
      </c>
      <c r="F6" s="60" t="s">
        <v>3499</v>
      </c>
      <c r="G6" s="61">
        <v>31</v>
      </c>
    </row>
    <row r="7" spans="1:7" x14ac:dyDescent="0.25">
      <c r="A7" s="57">
        <v>63</v>
      </c>
      <c r="B7" s="57">
        <v>63</v>
      </c>
      <c r="C7" s="59">
        <v>16</v>
      </c>
      <c r="D7" s="64">
        <v>16</v>
      </c>
      <c r="E7" s="51" t="s">
        <v>3482</v>
      </c>
      <c r="F7" s="46" t="s">
        <v>3500</v>
      </c>
      <c r="G7" s="62">
        <v>38</v>
      </c>
    </row>
    <row r="8" spans="1:7" ht="15" customHeight="1" x14ac:dyDescent="0.25">
      <c r="A8" s="56">
        <v>75</v>
      </c>
      <c r="B8" s="56">
        <v>75</v>
      </c>
      <c r="C8" s="58">
        <v>16</v>
      </c>
      <c r="D8" s="63">
        <v>18</v>
      </c>
      <c r="E8" s="50" t="s">
        <v>3483</v>
      </c>
      <c r="F8" s="60" t="s">
        <v>3501</v>
      </c>
      <c r="G8" s="61" t="s">
        <v>3515</v>
      </c>
    </row>
    <row r="9" spans="1:7" ht="15" customHeight="1" x14ac:dyDescent="0.25">
      <c r="A9" s="57">
        <v>90</v>
      </c>
      <c r="B9" s="57">
        <v>90</v>
      </c>
      <c r="C9" s="59">
        <v>16</v>
      </c>
      <c r="D9" s="64">
        <v>20</v>
      </c>
      <c r="E9" s="51" t="s">
        <v>3484</v>
      </c>
      <c r="F9" s="46" t="s">
        <v>3502</v>
      </c>
      <c r="G9" s="62">
        <v>51</v>
      </c>
    </row>
    <row r="10" spans="1:7" x14ac:dyDescent="0.25">
      <c r="A10" s="56">
        <v>110</v>
      </c>
      <c r="B10" s="56">
        <v>110</v>
      </c>
      <c r="C10" s="58">
        <v>16</v>
      </c>
      <c r="D10" s="63">
        <v>24</v>
      </c>
      <c r="E10" s="50" t="s">
        <v>3484</v>
      </c>
      <c r="F10" s="60" t="s">
        <v>3503</v>
      </c>
      <c r="G10" s="61">
        <v>61</v>
      </c>
    </row>
    <row r="11" spans="1:7" ht="15" customHeight="1" x14ac:dyDescent="0.25">
      <c r="A11" s="57">
        <v>125</v>
      </c>
      <c r="B11" s="57">
        <v>125</v>
      </c>
      <c r="C11" s="59">
        <v>16</v>
      </c>
      <c r="D11" s="64">
        <v>26</v>
      </c>
      <c r="E11" s="51" t="s">
        <v>3485</v>
      </c>
      <c r="F11" s="46" t="s">
        <v>3504</v>
      </c>
      <c r="G11" s="62" t="s">
        <v>3516</v>
      </c>
    </row>
    <row r="12" spans="1:7" x14ac:dyDescent="0.25">
      <c r="A12" s="56">
        <v>140</v>
      </c>
      <c r="B12" s="56">
        <v>140</v>
      </c>
      <c r="C12" s="58">
        <v>16</v>
      </c>
      <c r="D12" s="63">
        <v>30</v>
      </c>
      <c r="E12" s="50" t="s">
        <v>3486</v>
      </c>
      <c r="F12" s="60" t="s">
        <v>3505</v>
      </c>
      <c r="G12" s="61">
        <v>76</v>
      </c>
    </row>
    <row r="13" spans="1:7" x14ac:dyDescent="0.25">
      <c r="A13" s="57">
        <v>160</v>
      </c>
      <c r="B13" s="57">
        <v>160</v>
      </c>
      <c r="C13" s="59">
        <v>16</v>
      </c>
      <c r="D13" s="64">
        <v>38</v>
      </c>
      <c r="E13" s="51" t="s">
        <v>3487</v>
      </c>
      <c r="F13" s="46" t="s">
        <v>3506</v>
      </c>
      <c r="G13" s="62">
        <v>86</v>
      </c>
    </row>
    <row r="14" spans="1:7" ht="15" customHeight="1" x14ac:dyDescent="0.25">
      <c r="A14" s="56">
        <v>200</v>
      </c>
      <c r="B14" s="56">
        <v>200</v>
      </c>
      <c r="C14" s="58">
        <v>16</v>
      </c>
      <c r="D14" s="63">
        <v>44</v>
      </c>
      <c r="E14" s="50" t="s">
        <v>3488</v>
      </c>
      <c r="F14" s="60" t="s">
        <v>3507</v>
      </c>
      <c r="G14" s="61">
        <v>106</v>
      </c>
    </row>
    <row r="15" spans="1:7" ht="15" customHeight="1" x14ac:dyDescent="0.25">
      <c r="A15" s="57">
        <v>225</v>
      </c>
      <c r="B15" s="57">
        <v>225</v>
      </c>
      <c r="C15" s="59">
        <v>16</v>
      </c>
      <c r="D15" s="64">
        <v>50</v>
      </c>
      <c r="E15" s="51" t="s">
        <v>3489</v>
      </c>
      <c r="F15" s="46" t="s">
        <v>3508</v>
      </c>
      <c r="G15" s="62" t="s">
        <v>3517</v>
      </c>
    </row>
    <row r="16" spans="1:7" x14ac:dyDescent="0.25">
      <c r="A16" s="56">
        <v>250</v>
      </c>
      <c r="B16" s="56">
        <v>250</v>
      </c>
      <c r="C16" s="58">
        <v>10</v>
      </c>
      <c r="D16" s="63">
        <v>55</v>
      </c>
      <c r="E16" s="50" t="s">
        <v>3490</v>
      </c>
      <c r="F16" s="60" t="s">
        <v>3509</v>
      </c>
      <c r="G16" s="61">
        <v>131</v>
      </c>
    </row>
    <row r="17" spans="1:7" ht="15" customHeight="1" x14ac:dyDescent="0.25">
      <c r="A17" s="57">
        <v>280</v>
      </c>
      <c r="B17" s="57">
        <v>280</v>
      </c>
      <c r="C17" s="59">
        <v>10</v>
      </c>
      <c r="D17" s="64">
        <v>60</v>
      </c>
      <c r="E17" s="51" t="s">
        <v>3491</v>
      </c>
      <c r="F17" s="46" t="s">
        <v>3510</v>
      </c>
      <c r="G17" s="62">
        <v>146</v>
      </c>
    </row>
    <row r="18" spans="1:7" x14ac:dyDescent="0.25">
      <c r="A18" s="56">
        <v>315</v>
      </c>
      <c r="B18" s="56">
        <v>315</v>
      </c>
      <c r="C18" s="58">
        <v>10</v>
      </c>
      <c r="D18" s="63">
        <v>64</v>
      </c>
      <c r="E18" s="50" t="s">
        <v>3492</v>
      </c>
      <c r="F18" s="60" t="s">
        <v>3511</v>
      </c>
      <c r="G18" s="61" t="s">
        <v>3518</v>
      </c>
    </row>
    <row r="19" spans="1:7" x14ac:dyDescent="0.25">
      <c r="A19" s="57">
        <v>355</v>
      </c>
      <c r="B19" s="57">
        <v>355</v>
      </c>
      <c r="C19" s="59">
        <v>10</v>
      </c>
      <c r="D19" s="64">
        <v>67</v>
      </c>
      <c r="E19" s="51" t="s">
        <v>3493</v>
      </c>
      <c r="F19" s="46" t="s">
        <v>3512</v>
      </c>
      <c r="G19" s="62" t="s">
        <v>3519</v>
      </c>
    </row>
    <row r="20" spans="1:7" x14ac:dyDescent="0.25">
      <c r="A20" s="56">
        <v>400</v>
      </c>
      <c r="B20" s="56">
        <v>400</v>
      </c>
      <c r="C20" s="58">
        <v>10</v>
      </c>
      <c r="D20" s="63">
        <v>71</v>
      </c>
      <c r="E20" s="50" t="s">
        <v>3494</v>
      </c>
      <c r="F20" s="60" t="s">
        <v>3513</v>
      </c>
      <c r="G20" s="61">
        <v>206</v>
      </c>
    </row>
    <row r="21" spans="1:7" ht="15" customHeight="1" x14ac:dyDescent="0.25">
      <c r="A21" s="57"/>
      <c r="B21" s="57"/>
    </row>
    <row r="22" spans="1:7" x14ac:dyDescent="0.25">
      <c r="A22" s="56"/>
      <c r="B22" s="56"/>
    </row>
    <row r="23" spans="1:7" ht="15" customHeight="1" x14ac:dyDescent="0.25">
      <c r="A23" s="12"/>
      <c r="B23" s="11"/>
    </row>
    <row r="24" spans="1:7" x14ac:dyDescent="0.25">
      <c r="A24" s="12"/>
      <c r="B24" s="11"/>
    </row>
    <row r="25" spans="1:7" x14ac:dyDescent="0.25">
      <c r="A25" s="12"/>
      <c r="B25" s="11"/>
    </row>
    <row r="26" spans="1:7" x14ac:dyDescent="0.25">
      <c r="A26" s="11"/>
      <c r="B26" s="11"/>
    </row>
    <row r="27" spans="1:7" ht="15" customHeight="1" x14ac:dyDescent="0.25">
      <c r="A27" s="12"/>
      <c r="B27" s="11"/>
    </row>
    <row r="28" spans="1:7" x14ac:dyDescent="0.25">
      <c r="A28" s="12"/>
      <c r="B28" s="11"/>
    </row>
    <row r="29" spans="1:7" ht="15" customHeight="1" x14ac:dyDescent="0.25">
      <c r="A29" s="12"/>
      <c r="B29" s="11"/>
    </row>
    <row r="30" spans="1:7" x14ac:dyDescent="0.25">
      <c r="A30" s="12"/>
      <c r="B30" s="11"/>
    </row>
    <row r="31" spans="1:7" x14ac:dyDescent="0.25">
      <c r="A31" s="12"/>
      <c r="B31" s="11"/>
    </row>
    <row r="32" spans="1:7" x14ac:dyDescent="0.25">
      <c r="A32" s="11"/>
      <c r="B32" s="11"/>
    </row>
    <row r="33" spans="1:2" ht="15" customHeight="1" x14ac:dyDescent="0.25">
      <c r="A33" s="12"/>
      <c r="B33" s="11"/>
    </row>
    <row r="34" spans="1:2" x14ac:dyDescent="0.25">
      <c r="A34" s="12"/>
      <c r="B34" s="11"/>
    </row>
    <row r="35" spans="1:2" ht="15" customHeight="1" x14ac:dyDescent="0.25">
      <c r="A35" s="12"/>
      <c r="B35" s="11"/>
    </row>
    <row r="36" spans="1:2" x14ac:dyDescent="0.25">
      <c r="A36" s="12"/>
      <c r="B36" s="11"/>
    </row>
    <row r="37" spans="1:2" x14ac:dyDescent="0.25">
      <c r="A37" s="12"/>
      <c r="B37" s="11"/>
    </row>
    <row r="38" spans="1:2" x14ac:dyDescent="0.25">
      <c r="A38" s="11"/>
      <c r="B38" s="11"/>
    </row>
    <row r="39" spans="1:2" ht="15" customHeight="1" x14ac:dyDescent="0.25">
      <c r="A39" s="12"/>
      <c r="B39" s="11"/>
    </row>
    <row r="40" spans="1:2" x14ac:dyDescent="0.25">
      <c r="A40" s="12"/>
      <c r="B40" s="11"/>
    </row>
    <row r="41" spans="1:2" ht="15" customHeight="1" x14ac:dyDescent="0.25">
      <c r="A41" s="12"/>
      <c r="B41" s="11"/>
    </row>
    <row r="42" spans="1:2" x14ac:dyDescent="0.25">
      <c r="A42" s="12"/>
      <c r="B42" s="11"/>
    </row>
    <row r="43" spans="1:2" x14ac:dyDescent="0.25">
      <c r="A43" s="12"/>
      <c r="B43" s="11"/>
    </row>
    <row r="44" spans="1:2" x14ac:dyDescent="0.25">
      <c r="A44" s="11"/>
      <c r="B44" s="11"/>
    </row>
    <row r="45" spans="1:2" ht="15" customHeight="1" x14ac:dyDescent="0.25">
      <c r="A45" s="12"/>
      <c r="B45" s="11"/>
    </row>
    <row r="46" spans="1:2" x14ac:dyDescent="0.25">
      <c r="A46" s="12"/>
      <c r="B46" s="11"/>
    </row>
    <row r="47" spans="1:2" ht="15" customHeight="1" x14ac:dyDescent="0.25">
      <c r="A47" s="12"/>
      <c r="B47" s="11"/>
    </row>
    <row r="48" spans="1:2" x14ac:dyDescent="0.25">
      <c r="A48" s="12"/>
      <c r="B48" s="11"/>
    </row>
    <row r="49" spans="1:2" ht="15" customHeight="1" x14ac:dyDescent="0.25">
      <c r="A49" s="12"/>
      <c r="B49" s="11"/>
    </row>
    <row r="50" spans="1:2" x14ac:dyDescent="0.25">
      <c r="A50" s="11"/>
      <c r="B50" s="11"/>
    </row>
    <row r="51" spans="1:2" ht="15" customHeight="1" x14ac:dyDescent="0.25">
      <c r="A51" s="12"/>
      <c r="B51" s="11"/>
    </row>
    <row r="52" spans="1:2" x14ac:dyDescent="0.25">
      <c r="A52" s="12"/>
      <c r="B52" s="11"/>
    </row>
    <row r="53" spans="1:2" x14ac:dyDescent="0.25">
      <c r="A53" s="12"/>
      <c r="B53" s="11"/>
    </row>
    <row r="54" spans="1:2" x14ac:dyDescent="0.25">
      <c r="A54" s="12"/>
      <c r="B54" s="11"/>
    </row>
    <row r="55" spans="1:2" ht="15" customHeight="1" x14ac:dyDescent="0.25">
      <c r="A55" s="12"/>
      <c r="B55" s="11"/>
    </row>
    <row r="56" spans="1:2" x14ac:dyDescent="0.25">
      <c r="A56" s="13"/>
      <c r="B56" s="13"/>
    </row>
    <row r="57" spans="1:2" x14ac:dyDescent="0.25">
      <c r="A57" s="13"/>
      <c r="B57" s="13"/>
    </row>
    <row r="58" spans="1:2" x14ac:dyDescent="0.25">
      <c r="A58" s="12"/>
      <c r="B58" s="13"/>
    </row>
    <row r="59" spans="1:2" x14ac:dyDescent="0.25">
      <c r="A59" s="12"/>
      <c r="B59" s="13"/>
    </row>
    <row r="60" spans="1:2" x14ac:dyDescent="0.25">
      <c r="A60" s="12"/>
      <c r="B60" s="13"/>
    </row>
    <row r="61" spans="1:2" x14ac:dyDescent="0.25">
      <c r="A61" s="12"/>
      <c r="B61" s="13"/>
    </row>
    <row r="62" spans="1:2" x14ac:dyDescent="0.25">
      <c r="A62" s="12"/>
      <c r="B62" s="13"/>
    </row>
    <row r="63" spans="1:2" x14ac:dyDescent="0.25">
      <c r="A63" s="12"/>
      <c r="B63" s="13"/>
    </row>
    <row r="64" spans="1:2" x14ac:dyDescent="0.25">
      <c r="A64" s="12"/>
      <c r="B64" s="13"/>
    </row>
    <row r="65" spans="1:2" x14ac:dyDescent="0.25">
      <c r="A65" s="12"/>
      <c r="B65" s="13"/>
    </row>
    <row r="66" spans="1:2" x14ac:dyDescent="0.25">
      <c r="A66" s="12"/>
      <c r="B66" s="13"/>
    </row>
    <row r="67" spans="1:2" x14ac:dyDescent="0.25">
      <c r="A67" s="12"/>
      <c r="B67" s="13"/>
    </row>
    <row r="68" spans="1:2" x14ac:dyDescent="0.25">
      <c r="A68" s="13"/>
      <c r="B68" s="13"/>
    </row>
    <row r="69" spans="1:2" x14ac:dyDescent="0.25">
      <c r="A69" s="13"/>
      <c r="B69" s="13"/>
    </row>
    <row r="70" spans="1:2" x14ac:dyDescent="0.25">
      <c r="A70" s="12"/>
      <c r="B70" s="13"/>
    </row>
    <row r="71" spans="1:2" x14ac:dyDescent="0.25">
      <c r="A71" s="12"/>
      <c r="B71" s="13"/>
    </row>
    <row r="72" spans="1:2" x14ac:dyDescent="0.25">
      <c r="A72" s="12"/>
      <c r="B72" s="13"/>
    </row>
    <row r="73" spans="1:2" x14ac:dyDescent="0.25">
      <c r="A73" s="12"/>
      <c r="B73" s="13"/>
    </row>
    <row r="74" spans="1:2" x14ac:dyDescent="0.25">
      <c r="A74" s="12"/>
      <c r="B74" s="13"/>
    </row>
    <row r="75" spans="1:2" x14ac:dyDescent="0.25">
      <c r="A75" s="12"/>
      <c r="B75" s="13"/>
    </row>
    <row r="76" spans="1:2" x14ac:dyDescent="0.25">
      <c r="A76" s="12"/>
      <c r="B76" s="13"/>
    </row>
    <row r="77" spans="1:2" x14ac:dyDescent="0.25">
      <c r="A77" s="12"/>
      <c r="B77" s="13"/>
    </row>
    <row r="78" spans="1:2" x14ac:dyDescent="0.25">
      <c r="A78" s="12"/>
      <c r="B78" s="13"/>
    </row>
    <row r="79" spans="1:2" x14ac:dyDescent="0.25">
      <c r="A79" s="12"/>
      <c r="B79" s="13"/>
    </row>
    <row r="80" spans="1:2" x14ac:dyDescent="0.25">
      <c r="A80" s="13"/>
      <c r="B80" s="13"/>
    </row>
    <row r="81" spans="1:2" x14ac:dyDescent="0.25">
      <c r="A81" s="13"/>
      <c r="B81" s="13"/>
    </row>
    <row r="82" spans="1:2" x14ac:dyDescent="0.25">
      <c r="A82" s="13"/>
      <c r="B82" s="13"/>
    </row>
    <row r="83" spans="1:2" x14ac:dyDescent="0.25">
      <c r="A83" s="12"/>
      <c r="B83" s="13"/>
    </row>
    <row r="84" spans="1:2" x14ac:dyDescent="0.25">
      <c r="A84" s="12"/>
      <c r="B84" s="13"/>
    </row>
    <row r="85" spans="1:2" x14ac:dyDescent="0.25">
      <c r="A85" s="12"/>
      <c r="B85" s="13"/>
    </row>
    <row r="86" spans="1:2" x14ac:dyDescent="0.25">
      <c r="A86" s="12"/>
      <c r="B86" s="13"/>
    </row>
    <row r="87" spans="1:2" x14ac:dyDescent="0.25">
      <c r="A87" s="12"/>
      <c r="B87" s="13"/>
    </row>
    <row r="88" spans="1:2" x14ac:dyDescent="0.25">
      <c r="A88" s="12"/>
      <c r="B88" s="13"/>
    </row>
    <row r="89" spans="1:2" x14ac:dyDescent="0.25">
      <c r="A89" s="12"/>
      <c r="B89" s="13"/>
    </row>
    <row r="90" spans="1:2" x14ac:dyDescent="0.25">
      <c r="A90" s="12"/>
      <c r="B90" s="13"/>
    </row>
    <row r="91" spans="1:2" x14ac:dyDescent="0.25">
      <c r="A91" s="12"/>
      <c r="B91" s="13"/>
    </row>
    <row r="92" spans="1:2" x14ac:dyDescent="0.25">
      <c r="A92" s="12"/>
      <c r="B92" s="13"/>
    </row>
    <row r="93" spans="1:2" x14ac:dyDescent="0.25">
      <c r="A93" s="12"/>
      <c r="B93" s="13"/>
    </row>
    <row r="94" spans="1:2" x14ac:dyDescent="0.25">
      <c r="A94" s="12"/>
      <c r="B94" s="13"/>
    </row>
    <row r="95" spans="1:2" x14ac:dyDescent="0.25">
      <c r="A95" s="12"/>
      <c r="B95" s="13"/>
    </row>
    <row r="96" spans="1:2" x14ac:dyDescent="0.25">
      <c r="A96" s="12"/>
      <c r="B96" s="13"/>
    </row>
    <row r="97" spans="1:2" x14ac:dyDescent="0.25">
      <c r="A97" s="12"/>
      <c r="B97" s="13"/>
    </row>
    <row r="98" spans="1:2" x14ac:dyDescent="0.25">
      <c r="A98" s="11"/>
      <c r="B98" s="11"/>
    </row>
    <row r="99" spans="1:2" ht="15" customHeight="1" x14ac:dyDescent="0.25">
      <c r="A99" s="12"/>
      <c r="B99" s="11"/>
    </row>
    <row r="100" spans="1:2" x14ac:dyDescent="0.25">
      <c r="A100" s="12"/>
      <c r="B100" s="11"/>
    </row>
    <row r="101" spans="1:2" ht="15" customHeight="1" x14ac:dyDescent="0.25">
      <c r="A101" s="12"/>
      <c r="B101" s="11"/>
    </row>
    <row r="102" spans="1:2" ht="15" customHeight="1" x14ac:dyDescent="0.25">
      <c r="A102" s="12"/>
      <c r="B102" s="11"/>
    </row>
    <row r="103" spans="1:2" ht="15" customHeight="1" x14ac:dyDescent="0.25">
      <c r="A103" s="12"/>
      <c r="B103" s="11"/>
    </row>
    <row r="104" spans="1:2" x14ac:dyDescent="0.25">
      <c r="A104" s="11"/>
      <c r="B104" s="11"/>
    </row>
    <row r="105" spans="1:2" ht="15" customHeight="1" x14ac:dyDescent="0.25">
      <c r="A105" s="12"/>
      <c r="B105" s="11"/>
    </row>
    <row r="106" spans="1:2" x14ac:dyDescent="0.25">
      <c r="A106" s="12"/>
      <c r="B106" s="11"/>
    </row>
    <row r="107" spans="1:2" ht="15" customHeight="1" x14ac:dyDescent="0.25">
      <c r="A107" s="12"/>
      <c r="B107" s="11"/>
    </row>
    <row r="108" spans="1:2" ht="15" customHeight="1" x14ac:dyDescent="0.25">
      <c r="A108" s="12"/>
      <c r="B108" s="11"/>
    </row>
    <row r="109" spans="1:2" ht="15" customHeight="1" x14ac:dyDescent="0.25">
      <c r="A109" s="12"/>
      <c r="B109" s="11"/>
    </row>
    <row r="110" spans="1:2" x14ac:dyDescent="0.25">
      <c r="A110" s="11"/>
      <c r="B110" s="11"/>
    </row>
    <row r="111" spans="1:2" ht="15" customHeight="1" x14ac:dyDescent="0.25">
      <c r="A111" s="12"/>
      <c r="B111" s="11"/>
    </row>
    <row r="112" spans="1:2" x14ac:dyDescent="0.25">
      <c r="A112" s="12"/>
      <c r="B112" s="11"/>
    </row>
    <row r="113" spans="1:2" x14ac:dyDescent="0.25">
      <c r="A113" s="12"/>
      <c r="B113" s="11"/>
    </row>
    <row r="114" spans="1:2" ht="15" customHeight="1" x14ac:dyDescent="0.25">
      <c r="A114" s="12"/>
      <c r="B114" s="11"/>
    </row>
    <row r="115" spans="1:2" ht="15" customHeight="1" x14ac:dyDescent="0.25">
      <c r="A115" s="12"/>
      <c r="B115" s="11"/>
    </row>
    <row r="116" spans="1:2" x14ac:dyDescent="0.25">
      <c r="A116" s="11"/>
      <c r="B116" s="11"/>
    </row>
    <row r="117" spans="1:2" ht="15" customHeight="1" x14ac:dyDescent="0.25">
      <c r="A117" s="12"/>
      <c r="B117" s="11"/>
    </row>
    <row r="118" spans="1:2" x14ac:dyDescent="0.25">
      <c r="A118" s="12"/>
      <c r="B118" s="11"/>
    </row>
    <row r="119" spans="1:2" ht="15" customHeight="1" x14ac:dyDescent="0.25">
      <c r="A119" s="12"/>
      <c r="B119" s="11"/>
    </row>
    <row r="120" spans="1:2" ht="15" customHeight="1" x14ac:dyDescent="0.25">
      <c r="A120" s="12"/>
      <c r="B120" s="11"/>
    </row>
    <row r="121" spans="1:2" ht="15" customHeight="1" x14ac:dyDescent="0.25">
      <c r="A121" s="12"/>
      <c r="B121" s="11"/>
    </row>
    <row r="122" spans="1:2" x14ac:dyDescent="0.25">
      <c r="A122" s="11"/>
      <c r="B122" s="11"/>
    </row>
    <row r="123" spans="1:2" ht="15" customHeight="1" x14ac:dyDescent="0.25">
      <c r="A123" s="12"/>
      <c r="B123" s="11"/>
    </row>
    <row r="124" spans="1:2" x14ac:dyDescent="0.25">
      <c r="A124" s="12"/>
      <c r="B124" s="11"/>
    </row>
    <row r="125" spans="1:2" ht="15" customHeight="1" x14ac:dyDescent="0.25">
      <c r="A125" s="12"/>
      <c r="B125" s="11"/>
    </row>
    <row r="126" spans="1:2" ht="15" customHeight="1" x14ac:dyDescent="0.25">
      <c r="A126" s="12"/>
      <c r="B126" s="11"/>
    </row>
    <row r="127" spans="1:2" x14ac:dyDescent="0.25">
      <c r="A127" s="12"/>
      <c r="B127" s="11"/>
    </row>
    <row r="128" spans="1:2" x14ac:dyDescent="0.25">
      <c r="A128" s="11"/>
      <c r="B128" s="11"/>
    </row>
    <row r="129" spans="1:2" ht="15" customHeight="1" x14ac:dyDescent="0.25">
      <c r="A129" s="12"/>
      <c r="B129" s="11"/>
    </row>
    <row r="130" spans="1:2" x14ac:dyDescent="0.25">
      <c r="A130" s="12"/>
      <c r="B130" s="11"/>
    </row>
    <row r="131" spans="1:2" ht="15" customHeight="1" x14ac:dyDescent="0.25">
      <c r="A131" s="12"/>
      <c r="B131" s="11"/>
    </row>
    <row r="132" spans="1:2" ht="15" customHeight="1" x14ac:dyDescent="0.25">
      <c r="A132" s="12"/>
      <c r="B132" s="11"/>
    </row>
    <row r="133" spans="1:2" x14ac:dyDescent="0.25">
      <c r="A133" s="12"/>
      <c r="B133" s="11"/>
    </row>
    <row r="134" spans="1:2" x14ac:dyDescent="0.25">
      <c r="A134" s="11"/>
      <c r="B134" s="11"/>
    </row>
    <row r="135" spans="1:2" ht="15" customHeight="1" x14ac:dyDescent="0.25">
      <c r="A135" s="12"/>
      <c r="B135" s="11"/>
    </row>
    <row r="136" spans="1:2" x14ac:dyDescent="0.25">
      <c r="A136" s="12"/>
      <c r="B136" s="11"/>
    </row>
    <row r="137" spans="1:2" ht="15" customHeight="1" x14ac:dyDescent="0.25">
      <c r="A137" s="12"/>
      <c r="B137" s="11"/>
    </row>
    <row r="138" spans="1:2" ht="15" customHeight="1" x14ac:dyDescent="0.25">
      <c r="A138" s="12"/>
      <c r="B138" s="11"/>
    </row>
    <row r="139" spans="1:2" ht="15" customHeight="1" x14ac:dyDescent="0.25">
      <c r="A139" s="12"/>
      <c r="B139" s="11"/>
    </row>
    <row r="140" spans="1:2" x14ac:dyDescent="0.25">
      <c r="A140" s="11"/>
      <c r="B140" s="11"/>
    </row>
    <row r="141" spans="1:2" ht="15" customHeight="1" x14ac:dyDescent="0.25">
      <c r="A141" s="12"/>
      <c r="B141" s="11"/>
    </row>
    <row r="142" spans="1:2" x14ac:dyDescent="0.25">
      <c r="A142" s="12"/>
      <c r="B142" s="11"/>
    </row>
    <row r="143" spans="1:2" ht="15" customHeight="1" x14ac:dyDescent="0.25">
      <c r="A143" s="12"/>
      <c r="B143" s="11"/>
    </row>
    <row r="144" spans="1:2" ht="15" customHeight="1" x14ac:dyDescent="0.25">
      <c r="A144" s="12"/>
      <c r="B144" s="11"/>
    </row>
    <row r="145" spans="1:2" ht="15" customHeight="1" x14ac:dyDescent="0.25">
      <c r="A145" s="12"/>
      <c r="B145" s="11"/>
    </row>
    <row r="146" spans="1:2" x14ac:dyDescent="0.25">
      <c r="A146" s="11"/>
      <c r="B146" s="11"/>
    </row>
    <row r="147" spans="1:2" ht="15" customHeight="1" x14ac:dyDescent="0.25">
      <c r="A147" s="12"/>
      <c r="B147" s="11"/>
    </row>
    <row r="148" spans="1:2" x14ac:dyDescent="0.25">
      <c r="A148" s="12"/>
      <c r="B148" s="11"/>
    </row>
    <row r="149" spans="1:2" ht="15" customHeight="1" x14ac:dyDescent="0.25">
      <c r="A149" s="12"/>
      <c r="B149" s="11"/>
    </row>
    <row r="150" spans="1:2" ht="15" customHeight="1" x14ac:dyDescent="0.25">
      <c r="A150" s="12"/>
      <c r="B150" s="11"/>
    </row>
    <row r="151" spans="1:2" ht="15" customHeight="1" x14ac:dyDescent="0.25">
      <c r="A151" s="12"/>
      <c r="B151" s="11"/>
    </row>
    <row r="152" spans="1:2" x14ac:dyDescent="0.25">
      <c r="A152" s="11"/>
      <c r="B152" s="11"/>
    </row>
    <row r="153" spans="1:2" ht="15" customHeight="1" x14ac:dyDescent="0.25">
      <c r="A153" s="12"/>
      <c r="B153" s="11"/>
    </row>
    <row r="154" spans="1:2" x14ac:dyDescent="0.25">
      <c r="A154" s="12"/>
      <c r="B154" s="11"/>
    </row>
    <row r="155" spans="1:2" ht="15" customHeight="1" x14ac:dyDescent="0.25">
      <c r="A155" s="12"/>
      <c r="B155" s="11"/>
    </row>
    <row r="156" spans="1:2" ht="15" customHeight="1" x14ac:dyDescent="0.25">
      <c r="A156" s="12"/>
      <c r="B156" s="11"/>
    </row>
    <row r="157" spans="1:2" x14ac:dyDescent="0.25">
      <c r="A157" s="12"/>
      <c r="B157" s="11"/>
    </row>
    <row r="158" spans="1:2" x14ac:dyDescent="0.25">
      <c r="A158" s="11"/>
      <c r="B158" s="11"/>
    </row>
    <row r="159" spans="1:2" ht="15" customHeight="1" x14ac:dyDescent="0.25">
      <c r="A159" s="12"/>
      <c r="B159" s="11"/>
    </row>
    <row r="160" spans="1:2" x14ac:dyDescent="0.25">
      <c r="A160" s="12"/>
      <c r="B160" s="11"/>
    </row>
    <row r="161" spans="1:2" ht="15" customHeight="1" x14ac:dyDescent="0.25">
      <c r="A161" s="12"/>
      <c r="B161" s="11"/>
    </row>
    <row r="162" spans="1:2" ht="15" customHeight="1" x14ac:dyDescent="0.25">
      <c r="A162" s="12"/>
      <c r="B162" s="11"/>
    </row>
    <row r="163" spans="1:2" x14ac:dyDescent="0.25">
      <c r="A163" s="11"/>
      <c r="B163" s="11"/>
    </row>
    <row r="164" spans="1:2" ht="15" customHeight="1" x14ac:dyDescent="0.25">
      <c r="A164" s="12"/>
      <c r="B164" s="11"/>
    </row>
    <row r="165" spans="1:2" x14ac:dyDescent="0.25">
      <c r="A165" s="12"/>
      <c r="B165" s="11"/>
    </row>
    <row r="166" spans="1:2" x14ac:dyDescent="0.25">
      <c r="A166" s="12"/>
      <c r="B166" s="11"/>
    </row>
    <row r="167" spans="1:2" ht="15" customHeight="1" x14ac:dyDescent="0.25">
      <c r="A167" s="12"/>
      <c r="B167" s="11"/>
    </row>
    <row r="168" spans="1:2" x14ac:dyDescent="0.25">
      <c r="A168" s="11"/>
      <c r="B168" s="11"/>
    </row>
    <row r="169" spans="1:2" ht="15" customHeight="1" x14ac:dyDescent="0.25">
      <c r="A169" s="12"/>
      <c r="B169" s="11"/>
    </row>
    <row r="170" spans="1:2" ht="15" customHeight="1" x14ac:dyDescent="0.25">
      <c r="A170" s="12"/>
      <c r="B170" s="11"/>
    </row>
    <row r="171" spans="1:2" ht="15" customHeight="1" x14ac:dyDescent="0.25">
      <c r="A171" s="12"/>
      <c r="B171" s="11"/>
    </row>
    <row r="172" spans="1:2" ht="15" customHeight="1" x14ac:dyDescent="0.25">
      <c r="A172" s="12"/>
      <c r="B172" s="11"/>
    </row>
    <row r="173" spans="1:2" x14ac:dyDescent="0.25">
      <c r="A173" s="11"/>
      <c r="B173" s="11"/>
    </row>
    <row r="174" spans="1:2" x14ac:dyDescent="0.25">
      <c r="A174" s="12"/>
      <c r="B174" s="11"/>
    </row>
    <row r="175" spans="1:2" ht="15" customHeight="1" x14ac:dyDescent="0.25">
      <c r="A175" s="12"/>
      <c r="B175" s="11"/>
    </row>
    <row r="176" spans="1:2" ht="15" customHeight="1" x14ac:dyDescent="0.25">
      <c r="A176" s="12"/>
      <c r="B176" s="11"/>
    </row>
    <row r="177" spans="1:2" x14ac:dyDescent="0.25">
      <c r="A177" s="11"/>
      <c r="B177" s="11"/>
    </row>
    <row r="178" spans="1:2" x14ac:dyDescent="0.25">
      <c r="A178" s="12"/>
      <c r="B178" s="11"/>
    </row>
    <row r="179" spans="1:2" x14ac:dyDescent="0.25">
      <c r="A179" s="12"/>
      <c r="B179" s="11"/>
    </row>
    <row r="180" spans="1:2" ht="15" customHeight="1" x14ac:dyDescent="0.25">
      <c r="A180" s="12"/>
      <c r="B180" s="11"/>
    </row>
    <row r="181" spans="1:2" x14ac:dyDescent="0.25">
      <c r="A181" s="11"/>
      <c r="B181" s="11"/>
    </row>
    <row r="182" spans="1:2" x14ac:dyDescent="0.25">
      <c r="A182" s="12"/>
      <c r="B182" s="11"/>
    </row>
    <row r="183" spans="1:2" ht="15" customHeight="1" x14ac:dyDescent="0.25">
      <c r="A183" s="12"/>
      <c r="B183" s="11"/>
    </row>
    <row r="184" spans="1:2" x14ac:dyDescent="0.25">
      <c r="A184" s="11"/>
      <c r="B184" s="11"/>
    </row>
    <row r="185" spans="1:2" x14ac:dyDescent="0.25">
      <c r="A185" s="12"/>
      <c r="B185" s="11"/>
    </row>
    <row r="186" spans="1:2" ht="15" customHeight="1" x14ac:dyDescent="0.25">
      <c r="A186" s="12"/>
      <c r="B186" s="11"/>
    </row>
    <row r="187" spans="1:2" x14ac:dyDescent="0.25">
      <c r="A187" s="11"/>
      <c r="B187" s="11"/>
    </row>
    <row r="188" spans="1:2" x14ac:dyDescent="0.25">
      <c r="A188" s="12"/>
      <c r="B188" s="11"/>
    </row>
    <row r="189" spans="1:2" x14ac:dyDescent="0.25">
      <c r="A189" s="11"/>
      <c r="B189" s="11"/>
    </row>
    <row r="190" spans="1:2" x14ac:dyDescent="0.25">
      <c r="A190" s="12"/>
      <c r="B190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4EB6-638B-4F9E-8CE1-72CACA672F25}">
  <sheetPr codeName="Лист25"/>
  <dimension ref="A1:I376"/>
  <sheetViews>
    <sheetView topLeftCell="A19" zoomScale="115" zoomScaleNormal="115" workbookViewId="0">
      <selection activeCell="K9" sqref="K9"/>
    </sheetView>
  </sheetViews>
  <sheetFormatPr defaultRowHeight="15" x14ac:dyDescent="0.25"/>
  <cols>
    <col min="7" max="7" width="32.5703125" customWidth="1"/>
  </cols>
  <sheetData>
    <row r="1" spans="1:9" x14ac:dyDescent="0.25">
      <c r="A1" t="s">
        <v>2381</v>
      </c>
      <c r="B1" t="s">
        <v>12</v>
      </c>
      <c r="C1" t="s">
        <v>2383</v>
      </c>
      <c r="D1" t="s">
        <v>2392</v>
      </c>
      <c r="E1" t="s">
        <v>2387</v>
      </c>
      <c r="F1" t="s">
        <v>2749</v>
      </c>
      <c r="G1" t="s">
        <v>3356</v>
      </c>
      <c r="H1" t="s">
        <v>3406</v>
      </c>
      <c r="I1" t="s">
        <v>3168</v>
      </c>
    </row>
    <row r="2" spans="1:9" x14ac:dyDescent="0.25">
      <c r="A2" s="56">
        <v>20</v>
      </c>
      <c r="B2" s="56">
        <v>20</v>
      </c>
      <c r="C2" s="61">
        <v>16</v>
      </c>
      <c r="D2" s="63">
        <v>2</v>
      </c>
      <c r="E2" s="50">
        <v>4.0000000000000001E-3</v>
      </c>
      <c r="F2" s="68">
        <v>16</v>
      </c>
      <c r="G2" s="66">
        <v>509000200162</v>
      </c>
      <c r="H2" s="61">
        <v>-14</v>
      </c>
      <c r="I2">
        <v>1</v>
      </c>
    </row>
    <row r="3" spans="1:9" x14ac:dyDescent="0.25">
      <c r="A3" s="57">
        <v>25</v>
      </c>
      <c r="B3" s="57">
        <v>25</v>
      </c>
      <c r="C3" s="62">
        <v>20</v>
      </c>
      <c r="D3" s="64">
        <v>3</v>
      </c>
      <c r="E3" s="51">
        <v>4.0000000000000001E-3</v>
      </c>
      <c r="F3" s="69">
        <v>16</v>
      </c>
      <c r="G3" s="67">
        <v>509000250202</v>
      </c>
      <c r="H3" s="62">
        <v>-16</v>
      </c>
      <c r="I3">
        <v>1</v>
      </c>
    </row>
    <row r="4" spans="1:9" x14ac:dyDescent="0.25">
      <c r="A4" s="56">
        <v>32</v>
      </c>
      <c r="B4" s="56">
        <v>32</v>
      </c>
      <c r="C4" s="61">
        <v>20</v>
      </c>
      <c r="D4" s="63">
        <v>7</v>
      </c>
      <c r="E4" s="50">
        <v>0.01</v>
      </c>
      <c r="F4" s="68">
        <v>16</v>
      </c>
      <c r="G4" s="66">
        <v>509000320202</v>
      </c>
      <c r="H4" s="61">
        <v>-16</v>
      </c>
      <c r="I4">
        <v>1</v>
      </c>
    </row>
    <row r="5" spans="1:9" x14ac:dyDescent="0.25">
      <c r="A5" s="57">
        <v>32</v>
      </c>
      <c r="B5" s="57">
        <v>32</v>
      </c>
      <c r="C5" s="62">
        <v>25</v>
      </c>
      <c r="D5" s="64">
        <v>4</v>
      </c>
      <c r="E5" s="51">
        <v>0.01</v>
      </c>
      <c r="F5" s="69">
        <v>16</v>
      </c>
      <c r="G5" s="67">
        <v>509000320252</v>
      </c>
      <c r="H5" s="62">
        <v>-18.5</v>
      </c>
      <c r="I5">
        <v>1</v>
      </c>
    </row>
    <row r="6" spans="1:9" x14ac:dyDescent="0.25">
      <c r="A6" s="56">
        <v>40</v>
      </c>
      <c r="B6" s="56">
        <v>40</v>
      </c>
      <c r="C6" s="61">
        <v>20</v>
      </c>
      <c r="D6" s="63">
        <v>10</v>
      </c>
      <c r="E6" s="50">
        <v>0.02</v>
      </c>
      <c r="F6" s="68">
        <v>16</v>
      </c>
      <c r="G6" s="66">
        <v>509000400202</v>
      </c>
      <c r="H6" s="61">
        <v>-16</v>
      </c>
      <c r="I6">
        <v>1</v>
      </c>
    </row>
    <row r="7" spans="1:9" x14ac:dyDescent="0.25">
      <c r="A7" s="57">
        <v>40</v>
      </c>
      <c r="B7" s="57">
        <v>40</v>
      </c>
      <c r="C7" s="62">
        <v>25</v>
      </c>
      <c r="D7" s="64">
        <v>7</v>
      </c>
      <c r="E7" s="51">
        <v>0.02</v>
      </c>
      <c r="F7" s="69">
        <v>16</v>
      </c>
      <c r="G7" s="67">
        <v>509000400252</v>
      </c>
      <c r="H7" s="62">
        <v>-18.5</v>
      </c>
      <c r="I7">
        <v>1</v>
      </c>
    </row>
    <row r="8" spans="1:9" x14ac:dyDescent="0.25">
      <c r="A8" s="56">
        <v>40</v>
      </c>
      <c r="B8" s="56">
        <v>40</v>
      </c>
      <c r="C8" s="61">
        <v>32</v>
      </c>
      <c r="D8" s="63">
        <v>4</v>
      </c>
      <c r="E8" s="50">
        <v>0.01</v>
      </c>
      <c r="F8" s="68">
        <v>16</v>
      </c>
      <c r="G8" s="66">
        <v>509000400322</v>
      </c>
      <c r="H8" s="61">
        <v>-22</v>
      </c>
      <c r="I8">
        <v>1</v>
      </c>
    </row>
    <row r="9" spans="1:9" x14ac:dyDescent="0.25">
      <c r="A9" s="57">
        <v>50</v>
      </c>
      <c r="B9" s="57">
        <v>50</v>
      </c>
      <c r="C9" s="62">
        <v>32</v>
      </c>
      <c r="D9" s="64">
        <v>9</v>
      </c>
      <c r="E9" s="51">
        <v>0.03</v>
      </c>
      <c r="F9" s="69">
        <v>16</v>
      </c>
      <c r="G9" s="67">
        <v>509000500322</v>
      </c>
      <c r="H9" s="62">
        <v>-22</v>
      </c>
      <c r="I9">
        <v>1</v>
      </c>
    </row>
    <row r="10" spans="1:9" x14ac:dyDescent="0.25">
      <c r="A10" s="56">
        <v>50</v>
      </c>
      <c r="B10" s="56">
        <v>50</v>
      </c>
      <c r="C10" s="61">
        <v>40</v>
      </c>
      <c r="D10" s="63">
        <v>5</v>
      </c>
      <c r="E10" s="50">
        <v>0.02</v>
      </c>
      <c r="F10" s="68">
        <v>16</v>
      </c>
      <c r="G10" s="66">
        <v>509000500402</v>
      </c>
      <c r="H10" s="61">
        <v>-26</v>
      </c>
      <c r="I10">
        <v>1</v>
      </c>
    </row>
    <row r="11" spans="1:9" x14ac:dyDescent="0.25">
      <c r="A11" s="57">
        <v>63</v>
      </c>
      <c r="B11" s="57">
        <v>63</v>
      </c>
      <c r="C11" s="62">
        <v>32</v>
      </c>
      <c r="D11" s="64">
        <v>16</v>
      </c>
      <c r="E11" s="51">
        <v>7.0000000000000007E-2</v>
      </c>
      <c r="F11" s="69">
        <v>16</v>
      </c>
      <c r="G11" s="67">
        <v>509000630322</v>
      </c>
      <c r="H11" s="62">
        <v>-22</v>
      </c>
      <c r="I11">
        <v>1</v>
      </c>
    </row>
    <row r="12" spans="1:9" x14ac:dyDescent="0.25">
      <c r="A12" s="56">
        <v>63</v>
      </c>
      <c r="B12" s="56">
        <v>63</v>
      </c>
      <c r="C12" s="61">
        <v>40</v>
      </c>
      <c r="D12" s="63">
        <v>11</v>
      </c>
      <c r="E12" s="50">
        <v>7.0000000000000007E-2</v>
      </c>
      <c r="F12" s="68">
        <v>16</v>
      </c>
      <c r="G12" s="66">
        <v>509000630402</v>
      </c>
      <c r="H12" s="61">
        <v>-26</v>
      </c>
      <c r="I12">
        <v>1</v>
      </c>
    </row>
    <row r="13" spans="1:9" x14ac:dyDescent="0.25">
      <c r="A13" s="57">
        <v>63</v>
      </c>
      <c r="B13" s="57">
        <v>63</v>
      </c>
      <c r="C13" s="62">
        <v>50</v>
      </c>
      <c r="D13" s="65">
        <v>6.5</v>
      </c>
      <c r="E13" s="51">
        <v>0.05</v>
      </c>
      <c r="F13" s="69">
        <v>16</v>
      </c>
      <c r="G13" s="67">
        <v>509000630502</v>
      </c>
      <c r="H13" s="62">
        <v>-31</v>
      </c>
      <c r="I13">
        <v>1</v>
      </c>
    </row>
    <row r="14" spans="1:9" x14ac:dyDescent="0.25">
      <c r="A14" s="56">
        <v>75</v>
      </c>
      <c r="B14" s="56">
        <v>75</v>
      </c>
      <c r="C14" s="61">
        <v>40</v>
      </c>
      <c r="D14" s="63">
        <v>17.5</v>
      </c>
      <c r="E14" s="50">
        <v>0.08</v>
      </c>
      <c r="F14" s="68">
        <v>16</v>
      </c>
      <c r="G14" s="66">
        <v>509000750402</v>
      </c>
      <c r="H14" s="61">
        <v>-26</v>
      </c>
      <c r="I14">
        <v>1</v>
      </c>
    </row>
    <row r="15" spans="1:9" x14ac:dyDescent="0.25">
      <c r="A15" s="57">
        <v>75</v>
      </c>
      <c r="B15" s="57">
        <v>75</v>
      </c>
      <c r="C15" s="62">
        <v>50</v>
      </c>
      <c r="D15" s="64">
        <v>13</v>
      </c>
      <c r="E15" s="51">
        <v>0.09</v>
      </c>
      <c r="F15" s="69">
        <v>16</v>
      </c>
      <c r="G15" s="67">
        <v>509000750502</v>
      </c>
      <c r="H15" s="62">
        <v>-31</v>
      </c>
      <c r="I15">
        <v>1</v>
      </c>
    </row>
    <row r="16" spans="1:9" x14ac:dyDescent="0.25">
      <c r="A16" s="56">
        <v>75</v>
      </c>
      <c r="B16" s="56">
        <v>75</v>
      </c>
      <c r="C16" s="61">
        <v>63</v>
      </c>
      <c r="D16" s="63">
        <v>6</v>
      </c>
      <c r="E16" s="50">
        <v>7.0000000000000007E-2</v>
      </c>
      <c r="F16" s="68">
        <v>16</v>
      </c>
      <c r="G16" s="66">
        <v>509000750632</v>
      </c>
      <c r="H16" s="61">
        <v>-38</v>
      </c>
      <c r="I16">
        <v>1</v>
      </c>
    </row>
    <row r="17" spans="1:9" x14ac:dyDescent="0.25">
      <c r="A17" s="57">
        <v>90</v>
      </c>
      <c r="B17" s="57">
        <v>90</v>
      </c>
      <c r="C17" s="62">
        <v>32</v>
      </c>
      <c r="D17" s="64">
        <v>25</v>
      </c>
      <c r="E17" s="51">
        <v>0.13</v>
      </c>
      <c r="F17" s="69">
        <v>16</v>
      </c>
      <c r="G17" s="67">
        <v>509000900322</v>
      </c>
      <c r="H17" s="62">
        <v>-22</v>
      </c>
      <c r="I17">
        <v>1</v>
      </c>
    </row>
    <row r="18" spans="1:9" x14ac:dyDescent="0.25">
      <c r="A18" s="56">
        <v>90</v>
      </c>
      <c r="B18" s="56">
        <v>90</v>
      </c>
      <c r="C18" s="61">
        <v>50</v>
      </c>
      <c r="D18" s="63">
        <v>20</v>
      </c>
      <c r="E18" s="50">
        <v>0.14000000000000001</v>
      </c>
      <c r="F18" s="68">
        <v>16</v>
      </c>
      <c r="G18" s="66">
        <v>509000900502</v>
      </c>
      <c r="H18" s="61">
        <v>-31</v>
      </c>
      <c r="I18">
        <v>1</v>
      </c>
    </row>
    <row r="19" spans="1:9" x14ac:dyDescent="0.25">
      <c r="A19" s="57">
        <v>90</v>
      </c>
      <c r="B19" s="57">
        <v>90</v>
      </c>
      <c r="C19" s="62">
        <v>63</v>
      </c>
      <c r="D19" s="64">
        <v>13</v>
      </c>
      <c r="E19" s="51">
        <v>0.14000000000000001</v>
      </c>
      <c r="F19" s="69">
        <v>16</v>
      </c>
      <c r="G19" s="67">
        <v>509000900632</v>
      </c>
      <c r="H19" s="62">
        <v>-38</v>
      </c>
      <c r="I19">
        <v>1</v>
      </c>
    </row>
    <row r="20" spans="1:9" x14ac:dyDescent="0.25">
      <c r="A20" s="56">
        <v>90</v>
      </c>
      <c r="B20" s="56">
        <v>90</v>
      </c>
      <c r="C20" s="61">
        <v>75</v>
      </c>
      <c r="D20" s="63">
        <v>8</v>
      </c>
      <c r="E20" s="50">
        <v>0.13</v>
      </c>
      <c r="F20" s="68">
        <v>16</v>
      </c>
      <c r="G20" s="66">
        <v>509000900752</v>
      </c>
      <c r="H20" s="61">
        <v>-43.5</v>
      </c>
      <c r="I20">
        <v>1</v>
      </c>
    </row>
    <row r="21" spans="1:9" x14ac:dyDescent="0.25">
      <c r="A21" s="57">
        <v>110</v>
      </c>
      <c r="B21" s="57">
        <v>110</v>
      </c>
      <c r="C21" s="62">
        <v>63</v>
      </c>
      <c r="D21" s="64">
        <v>23</v>
      </c>
      <c r="E21" s="51">
        <v>0.26</v>
      </c>
      <c r="F21" s="69">
        <v>16</v>
      </c>
      <c r="G21" s="67">
        <v>509001100632</v>
      </c>
      <c r="H21" s="62">
        <v>-38</v>
      </c>
      <c r="I21">
        <v>1</v>
      </c>
    </row>
    <row r="22" spans="1:9" x14ac:dyDescent="0.25">
      <c r="A22" s="56">
        <v>110</v>
      </c>
      <c r="B22" s="56">
        <v>110</v>
      </c>
      <c r="C22" s="61">
        <v>75</v>
      </c>
      <c r="D22" s="63">
        <v>17</v>
      </c>
      <c r="E22" s="50">
        <v>0.27</v>
      </c>
      <c r="F22" s="69">
        <v>16</v>
      </c>
      <c r="G22" s="66">
        <v>509001100752</v>
      </c>
      <c r="H22" s="61">
        <v>-44</v>
      </c>
      <c r="I22">
        <v>1</v>
      </c>
    </row>
    <row r="23" spans="1:9" x14ac:dyDescent="0.25">
      <c r="A23" s="70">
        <v>110</v>
      </c>
      <c r="B23" s="70">
        <v>110</v>
      </c>
      <c r="C23" s="72">
        <v>90</v>
      </c>
      <c r="D23" s="78">
        <v>10</v>
      </c>
      <c r="E23" s="72">
        <v>0.26</v>
      </c>
      <c r="F23" s="76">
        <v>16</v>
      </c>
      <c r="G23" s="74">
        <v>509001100902</v>
      </c>
      <c r="H23" s="72">
        <v>-51</v>
      </c>
      <c r="I23">
        <v>1</v>
      </c>
    </row>
    <row r="24" spans="1:9" x14ac:dyDescent="0.25">
      <c r="A24" s="71">
        <v>125</v>
      </c>
      <c r="B24" s="71">
        <v>125</v>
      </c>
      <c r="C24" s="73">
        <v>63</v>
      </c>
      <c r="D24" s="79">
        <v>31</v>
      </c>
      <c r="E24" s="73">
        <v>0.4</v>
      </c>
      <c r="F24" s="77">
        <v>16</v>
      </c>
      <c r="G24" s="75">
        <v>509001250632</v>
      </c>
      <c r="H24" s="73">
        <v>-38</v>
      </c>
      <c r="I24">
        <v>1</v>
      </c>
    </row>
    <row r="25" spans="1:9" x14ac:dyDescent="0.25">
      <c r="A25" s="70">
        <v>125</v>
      </c>
      <c r="B25" s="70">
        <v>125</v>
      </c>
      <c r="C25" s="72">
        <v>75</v>
      </c>
      <c r="D25" s="78">
        <v>25</v>
      </c>
      <c r="E25" s="72">
        <v>0.42</v>
      </c>
      <c r="F25" s="76">
        <v>16</v>
      </c>
      <c r="G25" s="74">
        <v>509001250752</v>
      </c>
      <c r="H25" s="72">
        <v>-43.5</v>
      </c>
      <c r="I25">
        <v>1</v>
      </c>
    </row>
    <row r="26" spans="1:9" x14ac:dyDescent="0.25">
      <c r="A26" s="71">
        <v>125</v>
      </c>
      <c r="B26" s="71">
        <v>125</v>
      </c>
      <c r="C26" s="73">
        <v>90</v>
      </c>
      <c r="D26" s="79">
        <v>18</v>
      </c>
      <c r="E26" s="73">
        <v>0.38</v>
      </c>
      <c r="F26" s="77">
        <v>16</v>
      </c>
      <c r="G26" s="75">
        <v>509001250902</v>
      </c>
      <c r="H26" s="73">
        <v>-51</v>
      </c>
      <c r="I26">
        <v>1</v>
      </c>
    </row>
    <row r="27" spans="1:9" x14ac:dyDescent="0.25">
      <c r="A27" s="70">
        <v>125</v>
      </c>
      <c r="B27" s="70">
        <v>125</v>
      </c>
      <c r="C27" s="72">
        <v>110</v>
      </c>
      <c r="D27" s="80">
        <v>7.5</v>
      </c>
      <c r="E27" s="72">
        <v>0.25</v>
      </c>
      <c r="F27" s="76">
        <v>16</v>
      </c>
      <c r="G27" s="74">
        <v>509001251102</v>
      </c>
      <c r="H27" s="72">
        <v>-61</v>
      </c>
      <c r="I27">
        <v>1</v>
      </c>
    </row>
    <row r="28" spans="1:9" x14ac:dyDescent="0.25">
      <c r="A28" s="71">
        <v>140</v>
      </c>
      <c r="B28" s="71">
        <v>140</v>
      </c>
      <c r="C28" s="73">
        <v>63</v>
      </c>
      <c r="D28" s="79">
        <v>40</v>
      </c>
      <c r="E28" s="73">
        <v>0.52500000000000002</v>
      </c>
      <c r="F28" s="77">
        <v>16</v>
      </c>
      <c r="G28" s="75">
        <v>509001400632</v>
      </c>
      <c r="H28" s="73">
        <v>-38</v>
      </c>
      <c r="I28">
        <v>1</v>
      </c>
    </row>
    <row r="29" spans="1:9" x14ac:dyDescent="0.25">
      <c r="A29" s="70">
        <v>140</v>
      </c>
      <c r="B29" s="70">
        <v>140</v>
      </c>
      <c r="C29" s="72">
        <v>75</v>
      </c>
      <c r="D29" s="78">
        <v>33</v>
      </c>
      <c r="E29" s="72">
        <v>0.5</v>
      </c>
      <c r="F29" s="76">
        <v>16</v>
      </c>
      <c r="G29" s="74">
        <v>509001400752</v>
      </c>
      <c r="H29" s="72">
        <v>-43.5</v>
      </c>
      <c r="I29">
        <v>1</v>
      </c>
    </row>
    <row r="30" spans="1:9" x14ac:dyDescent="0.25">
      <c r="A30" s="71">
        <v>140</v>
      </c>
      <c r="B30" s="71">
        <v>140</v>
      </c>
      <c r="C30" s="73">
        <v>90</v>
      </c>
      <c r="D30" s="79">
        <v>25</v>
      </c>
      <c r="E30" s="73">
        <v>0.49</v>
      </c>
      <c r="F30" s="77">
        <v>16</v>
      </c>
      <c r="G30" s="75">
        <v>509001400902</v>
      </c>
      <c r="H30" s="73">
        <v>-51</v>
      </c>
      <c r="I30">
        <v>1</v>
      </c>
    </row>
    <row r="31" spans="1:9" x14ac:dyDescent="0.25">
      <c r="A31" s="70">
        <v>140</v>
      </c>
      <c r="B31" s="70">
        <v>140</v>
      </c>
      <c r="C31" s="72">
        <v>110</v>
      </c>
      <c r="D31" s="78">
        <v>15</v>
      </c>
      <c r="E31" s="72">
        <v>0.5</v>
      </c>
      <c r="F31" s="76">
        <v>16</v>
      </c>
      <c r="G31" s="74">
        <v>509001401102</v>
      </c>
      <c r="H31" s="72">
        <v>-61</v>
      </c>
      <c r="I31">
        <v>1</v>
      </c>
    </row>
    <row r="32" spans="1:9" x14ac:dyDescent="0.25">
      <c r="A32" s="71">
        <v>140</v>
      </c>
      <c r="B32" s="71">
        <v>140</v>
      </c>
      <c r="C32" s="73">
        <v>125</v>
      </c>
      <c r="D32" s="79">
        <v>7.5</v>
      </c>
      <c r="E32" s="73">
        <v>0.29399999999999998</v>
      </c>
      <c r="F32" s="77">
        <v>16</v>
      </c>
      <c r="G32" s="75">
        <v>509001401252</v>
      </c>
      <c r="H32" s="73">
        <v>-68.5</v>
      </c>
      <c r="I32">
        <v>1</v>
      </c>
    </row>
    <row r="33" spans="1:9" x14ac:dyDescent="0.25">
      <c r="A33" s="70">
        <v>160</v>
      </c>
      <c r="B33" s="70">
        <v>160</v>
      </c>
      <c r="C33" s="72">
        <v>90</v>
      </c>
      <c r="D33" s="78">
        <v>35</v>
      </c>
      <c r="E33" s="72">
        <v>0.7</v>
      </c>
      <c r="F33" s="76">
        <v>16</v>
      </c>
      <c r="G33" s="74">
        <v>509001600902</v>
      </c>
      <c r="H33" s="72">
        <v>-51</v>
      </c>
      <c r="I33">
        <v>1</v>
      </c>
    </row>
    <row r="34" spans="1:9" x14ac:dyDescent="0.25">
      <c r="A34" s="71">
        <v>160</v>
      </c>
      <c r="B34" s="71">
        <v>160</v>
      </c>
      <c r="C34" s="73">
        <v>110</v>
      </c>
      <c r="D34" s="79">
        <v>25</v>
      </c>
      <c r="E34" s="73">
        <v>0.76</v>
      </c>
      <c r="F34" s="77">
        <v>16</v>
      </c>
      <c r="G34" s="75">
        <v>509001601102</v>
      </c>
      <c r="H34" s="73">
        <v>-61</v>
      </c>
      <c r="I34">
        <v>1</v>
      </c>
    </row>
    <row r="35" spans="1:9" x14ac:dyDescent="0.25">
      <c r="A35" s="70">
        <v>160</v>
      </c>
      <c r="B35" s="70">
        <v>160</v>
      </c>
      <c r="C35" s="72">
        <v>140</v>
      </c>
      <c r="D35" s="78">
        <v>10</v>
      </c>
      <c r="E35" s="72">
        <v>0.56000000000000005</v>
      </c>
      <c r="F35" s="76">
        <v>16</v>
      </c>
      <c r="G35" s="74">
        <v>509001601402</v>
      </c>
      <c r="H35" s="72">
        <v>-76</v>
      </c>
      <c r="I35">
        <v>1</v>
      </c>
    </row>
    <row r="36" spans="1:9" x14ac:dyDescent="0.25">
      <c r="A36" s="71">
        <v>200</v>
      </c>
      <c r="B36" s="71">
        <v>200</v>
      </c>
      <c r="C36" s="73">
        <v>160</v>
      </c>
      <c r="D36" s="79">
        <v>20</v>
      </c>
      <c r="E36" s="73">
        <v>1.22</v>
      </c>
      <c r="F36" s="77">
        <v>16</v>
      </c>
      <c r="G36" s="75">
        <v>509002001602</v>
      </c>
      <c r="H36" s="73">
        <v>-86</v>
      </c>
      <c r="I36">
        <v>1</v>
      </c>
    </row>
    <row r="37" spans="1:9" x14ac:dyDescent="0.25">
      <c r="A37" s="70">
        <v>225</v>
      </c>
      <c r="B37" s="70">
        <v>225</v>
      </c>
      <c r="C37" s="72">
        <v>200</v>
      </c>
      <c r="D37" s="78">
        <v>13</v>
      </c>
      <c r="E37" s="72">
        <v>1.34</v>
      </c>
      <c r="F37" s="76">
        <v>16</v>
      </c>
      <c r="G37" s="74">
        <v>509002252002</v>
      </c>
      <c r="H37" s="72">
        <v>-106</v>
      </c>
      <c r="I37">
        <v>1</v>
      </c>
    </row>
    <row r="38" spans="1:9" x14ac:dyDescent="0.25">
      <c r="A38" s="71">
        <v>250</v>
      </c>
      <c r="B38" s="71">
        <v>250</v>
      </c>
      <c r="C38" s="73">
        <v>200</v>
      </c>
      <c r="D38" s="79">
        <v>25.5</v>
      </c>
      <c r="E38" s="73">
        <v>2.98</v>
      </c>
      <c r="F38" s="77">
        <v>16</v>
      </c>
      <c r="G38" s="75">
        <v>509002502002</v>
      </c>
      <c r="H38" s="73">
        <v>-106</v>
      </c>
      <c r="I38">
        <v>1</v>
      </c>
    </row>
    <row r="39" spans="1:9" x14ac:dyDescent="0.25">
      <c r="A39" s="70">
        <v>250</v>
      </c>
      <c r="B39" s="70">
        <v>250</v>
      </c>
      <c r="C39" s="72">
        <v>225</v>
      </c>
      <c r="D39" s="80">
        <v>12.5</v>
      </c>
      <c r="E39" s="72">
        <v>1.64</v>
      </c>
      <c r="F39" s="76">
        <v>16</v>
      </c>
      <c r="G39" s="74">
        <v>509002502252</v>
      </c>
      <c r="H39" s="72">
        <v>-118.5</v>
      </c>
      <c r="I39">
        <v>1</v>
      </c>
    </row>
    <row r="40" spans="1:9" x14ac:dyDescent="0.25">
      <c r="A40" s="71">
        <v>280</v>
      </c>
      <c r="B40" s="71">
        <v>280</v>
      </c>
      <c r="C40" s="73">
        <v>250</v>
      </c>
      <c r="D40" s="79">
        <v>16</v>
      </c>
      <c r="E40" s="73">
        <v>2.4300000000000002</v>
      </c>
      <c r="F40" s="77">
        <v>16</v>
      </c>
      <c r="G40" s="75">
        <v>509002802502</v>
      </c>
      <c r="H40" s="73">
        <v>-131</v>
      </c>
      <c r="I40">
        <v>1</v>
      </c>
    </row>
    <row r="41" spans="1:9" x14ac:dyDescent="0.25">
      <c r="A41" s="70">
        <v>315</v>
      </c>
      <c r="B41" s="70">
        <v>315</v>
      </c>
      <c r="C41" s="72">
        <v>280</v>
      </c>
      <c r="D41" s="78">
        <v>17</v>
      </c>
      <c r="E41" s="72">
        <v>3.54</v>
      </c>
      <c r="F41" s="76">
        <v>16</v>
      </c>
      <c r="G41" s="74">
        <v>509003152802</v>
      </c>
      <c r="H41" s="72">
        <v>-146</v>
      </c>
      <c r="I41">
        <v>1</v>
      </c>
    </row>
    <row r="42" spans="1:9" x14ac:dyDescent="0.25">
      <c r="A42" s="71">
        <v>355</v>
      </c>
      <c r="B42" s="71">
        <v>355</v>
      </c>
      <c r="C42" s="73">
        <v>280</v>
      </c>
      <c r="D42" s="79">
        <v>44</v>
      </c>
      <c r="E42" s="73">
        <v>10.4</v>
      </c>
      <c r="F42" s="77">
        <v>16</v>
      </c>
      <c r="G42" s="75">
        <v>509003552805</v>
      </c>
      <c r="H42" s="73">
        <v>-146</v>
      </c>
      <c r="I42">
        <v>1</v>
      </c>
    </row>
    <row r="43" spans="1:9" x14ac:dyDescent="0.25">
      <c r="A43" s="70">
        <v>355</v>
      </c>
      <c r="B43" s="70">
        <v>355</v>
      </c>
      <c r="C43" s="72">
        <v>315</v>
      </c>
      <c r="D43" s="78">
        <v>27</v>
      </c>
      <c r="E43" s="72">
        <v>6.41</v>
      </c>
      <c r="F43" s="76">
        <v>16</v>
      </c>
      <c r="G43" s="74">
        <v>509003553155</v>
      </c>
      <c r="H43" s="72">
        <v>-163.5</v>
      </c>
      <c r="I43">
        <v>1</v>
      </c>
    </row>
    <row r="44" spans="1:9" x14ac:dyDescent="0.25">
      <c r="A44" s="71">
        <v>400</v>
      </c>
      <c r="B44" s="71">
        <v>400</v>
      </c>
      <c r="C44" s="73">
        <v>280</v>
      </c>
      <c r="D44" s="79">
        <v>67</v>
      </c>
      <c r="E44" s="73">
        <v>18.899999999999999</v>
      </c>
      <c r="F44" s="77">
        <v>16</v>
      </c>
      <c r="G44" s="75">
        <v>509004002805</v>
      </c>
      <c r="H44" s="73">
        <v>-146</v>
      </c>
      <c r="I44">
        <v>1</v>
      </c>
    </row>
    <row r="45" spans="1:9" x14ac:dyDescent="0.25">
      <c r="A45" s="70">
        <v>400</v>
      </c>
      <c r="B45" s="70">
        <v>400</v>
      </c>
      <c r="C45" s="72">
        <v>315</v>
      </c>
      <c r="D45" s="78">
        <v>50</v>
      </c>
      <c r="E45" s="72">
        <v>14.9</v>
      </c>
      <c r="F45" s="76">
        <v>16</v>
      </c>
      <c r="G45" s="74">
        <v>509004003155</v>
      </c>
      <c r="H45" s="72">
        <v>-163.5</v>
      </c>
      <c r="I45">
        <v>1</v>
      </c>
    </row>
    <row r="46" spans="1:9" x14ac:dyDescent="0.25">
      <c r="A46" s="71">
        <v>400</v>
      </c>
      <c r="B46" s="71">
        <v>400</v>
      </c>
      <c r="C46" s="73">
        <v>355</v>
      </c>
      <c r="D46" s="79">
        <v>23</v>
      </c>
      <c r="E46" s="73">
        <v>8.5299999999999994</v>
      </c>
      <c r="F46" s="77">
        <v>16</v>
      </c>
      <c r="G46" s="75">
        <v>509004003555</v>
      </c>
      <c r="H46" s="73">
        <v>-183.5</v>
      </c>
      <c r="I46">
        <v>1</v>
      </c>
    </row>
    <row r="47" spans="1:9" x14ac:dyDescent="0.25">
      <c r="A47" s="81">
        <v>160</v>
      </c>
      <c r="B47" s="81">
        <v>160</v>
      </c>
      <c r="C47" s="83">
        <v>110</v>
      </c>
      <c r="D47" s="83">
        <v>126</v>
      </c>
      <c r="E47" s="73">
        <v>1.27</v>
      </c>
      <c r="F47" s="87">
        <v>16</v>
      </c>
      <c r="G47" s="85">
        <v>510001601102</v>
      </c>
      <c r="H47" s="83">
        <v>96</v>
      </c>
      <c r="I47">
        <v>2</v>
      </c>
    </row>
    <row r="48" spans="1:9" x14ac:dyDescent="0.25">
      <c r="A48" s="82">
        <v>225</v>
      </c>
      <c r="B48" s="82">
        <v>225</v>
      </c>
      <c r="C48" s="84">
        <v>110</v>
      </c>
      <c r="D48" s="84">
        <v>109</v>
      </c>
      <c r="E48" s="72">
        <v>2.64</v>
      </c>
      <c r="F48" s="88">
        <v>16</v>
      </c>
      <c r="G48" s="86">
        <v>510002251102</v>
      </c>
      <c r="H48" s="89">
        <v>130</v>
      </c>
      <c r="I48">
        <v>2</v>
      </c>
    </row>
    <row r="49" spans="1:9" x14ac:dyDescent="0.25">
      <c r="A49" s="81">
        <v>225</v>
      </c>
      <c r="B49" s="81">
        <v>225</v>
      </c>
      <c r="C49" s="83">
        <v>160</v>
      </c>
      <c r="D49" s="83">
        <v>109</v>
      </c>
      <c r="E49" s="73">
        <v>2.66</v>
      </c>
      <c r="F49" s="87">
        <v>16</v>
      </c>
      <c r="G49" s="85">
        <v>510002251602</v>
      </c>
      <c r="H49" s="90">
        <v>130</v>
      </c>
      <c r="I49">
        <v>2</v>
      </c>
    </row>
    <row r="50" spans="1:9" x14ac:dyDescent="0.25">
      <c r="A50" s="12"/>
      <c r="B50" s="12"/>
      <c r="C50" s="12"/>
      <c r="D50" s="12"/>
      <c r="E50" s="11"/>
      <c r="G50" s="12"/>
      <c r="H50" s="11"/>
    </row>
    <row r="51" spans="1:9" x14ac:dyDescent="0.25">
      <c r="A51" s="12"/>
      <c r="B51" s="12"/>
      <c r="C51" s="12"/>
      <c r="D51" s="12"/>
      <c r="E51" s="11"/>
      <c r="G51" s="12"/>
      <c r="H51" s="11"/>
    </row>
    <row r="52" spans="1:9" x14ac:dyDescent="0.25">
      <c r="A52" s="12"/>
      <c r="B52" s="12"/>
      <c r="C52" s="12"/>
      <c r="D52" s="12"/>
      <c r="E52" s="11"/>
      <c r="G52" s="12"/>
      <c r="H52" s="11"/>
    </row>
    <row r="53" spans="1:9" x14ac:dyDescent="0.25">
      <c r="A53" s="11"/>
      <c r="B53" s="11"/>
      <c r="C53" s="11"/>
      <c r="D53" s="11"/>
      <c r="E53" s="11"/>
      <c r="G53" s="12"/>
      <c r="H53" s="11"/>
    </row>
    <row r="54" spans="1:9" x14ac:dyDescent="0.25">
      <c r="A54" s="12"/>
      <c r="B54" s="12"/>
      <c r="C54" s="12"/>
      <c r="D54" s="12"/>
      <c r="E54" s="11"/>
      <c r="G54" s="12"/>
      <c r="H54" s="11"/>
    </row>
    <row r="55" spans="1:9" x14ac:dyDescent="0.25">
      <c r="A55" s="12"/>
      <c r="B55" s="12"/>
      <c r="C55" s="12"/>
      <c r="D55" s="12"/>
      <c r="E55" s="11"/>
      <c r="G55" s="12"/>
      <c r="H55" s="11"/>
    </row>
    <row r="56" spans="1:9" x14ac:dyDescent="0.25">
      <c r="A56" s="12"/>
      <c r="B56" s="12"/>
      <c r="C56" s="11"/>
      <c r="D56" s="12"/>
      <c r="E56" s="11"/>
      <c r="G56" s="12"/>
      <c r="H56" s="11"/>
    </row>
    <row r="57" spans="1:9" x14ac:dyDescent="0.25">
      <c r="A57" s="12"/>
      <c r="B57" s="12"/>
      <c r="C57" s="12"/>
      <c r="D57" s="12"/>
      <c r="E57" s="11"/>
      <c r="G57" s="12"/>
      <c r="H57" s="11"/>
    </row>
    <row r="58" spans="1:9" x14ac:dyDescent="0.25">
      <c r="A58" s="12"/>
      <c r="B58" s="12"/>
      <c r="C58" s="12"/>
      <c r="D58" s="12"/>
      <c r="E58" s="11"/>
      <c r="G58" s="12"/>
      <c r="H58" s="11"/>
    </row>
    <row r="59" spans="1:9" x14ac:dyDescent="0.25">
      <c r="A59" s="12"/>
      <c r="B59" s="12"/>
      <c r="C59" s="11"/>
      <c r="D59" s="11"/>
      <c r="E59" s="11"/>
      <c r="G59" s="12"/>
      <c r="H59" s="11"/>
    </row>
    <row r="60" spans="1:9" x14ac:dyDescent="0.25">
      <c r="A60" s="12"/>
      <c r="B60" s="12"/>
      <c r="C60" s="12"/>
      <c r="D60" s="12"/>
      <c r="E60" s="11"/>
      <c r="G60" s="12"/>
      <c r="H60" s="11"/>
    </row>
    <row r="61" spans="1:9" x14ac:dyDescent="0.25">
      <c r="A61" s="12"/>
      <c r="B61" s="12"/>
      <c r="C61" s="12"/>
      <c r="D61" s="12"/>
      <c r="E61" s="11"/>
      <c r="G61" s="12"/>
      <c r="H61" s="11"/>
    </row>
    <row r="62" spans="1:9" x14ac:dyDescent="0.25">
      <c r="A62" s="11"/>
      <c r="B62" s="11"/>
      <c r="C62" s="11"/>
      <c r="D62" s="11"/>
      <c r="E62" s="11"/>
      <c r="G62" s="12"/>
      <c r="H62" s="11"/>
    </row>
    <row r="63" spans="1:9" x14ac:dyDescent="0.25">
      <c r="A63" s="12"/>
      <c r="B63" s="12"/>
      <c r="C63" s="11"/>
      <c r="D63" s="11"/>
      <c r="E63" s="11"/>
      <c r="G63" s="12"/>
      <c r="H63" s="11"/>
    </row>
    <row r="64" spans="1:9" x14ac:dyDescent="0.25">
      <c r="A64" s="12"/>
      <c r="B64" s="12"/>
      <c r="C64" s="12"/>
      <c r="D64" s="12"/>
      <c r="E64" s="11"/>
      <c r="G64" s="12"/>
      <c r="H64" s="11"/>
    </row>
    <row r="65" spans="1:8" x14ac:dyDescent="0.25">
      <c r="A65" s="12"/>
      <c r="B65" s="12"/>
      <c r="C65" s="12"/>
      <c r="D65" s="12"/>
      <c r="E65" s="11"/>
      <c r="G65" s="12"/>
      <c r="H65" s="11"/>
    </row>
    <row r="66" spans="1:8" x14ac:dyDescent="0.25">
      <c r="A66" s="11"/>
      <c r="B66" s="11"/>
      <c r="C66" s="11"/>
      <c r="D66" s="11"/>
      <c r="E66" s="11"/>
      <c r="G66" s="12"/>
      <c r="H66" s="11"/>
    </row>
    <row r="67" spans="1:8" x14ac:dyDescent="0.25">
      <c r="A67" s="12"/>
      <c r="B67" s="12"/>
      <c r="C67" s="11"/>
      <c r="D67" s="12"/>
      <c r="E67" s="11"/>
      <c r="G67" s="12"/>
      <c r="H67" s="11"/>
    </row>
    <row r="68" spans="1:8" x14ac:dyDescent="0.25">
      <c r="A68" s="12"/>
      <c r="B68" s="12"/>
      <c r="C68" s="12"/>
      <c r="D68" s="12"/>
      <c r="E68" s="11"/>
      <c r="G68" s="12"/>
      <c r="H68" s="11"/>
    </row>
    <row r="69" spans="1:8" x14ac:dyDescent="0.25">
      <c r="A69" s="12"/>
      <c r="B69" s="12"/>
      <c r="C69" s="12"/>
      <c r="D69" s="12"/>
      <c r="E69" s="11"/>
      <c r="G69" s="12"/>
      <c r="H69" s="11"/>
    </row>
    <row r="70" spans="1:8" x14ac:dyDescent="0.25">
      <c r="A70" s="12"/>
      <c r="B70" s="11"/>
      <c r="C70" s="11"/>
      <c r="D70" s="12"/>
      <c r="E70" s="11"/>
      <c r="G70" s="12"/>
      <c r="H70" s="11"/>
    </row>
    <row r="71" spans="1:8" x14ac:dyDescent="0.25">
      <c r="A71" s="12"/>
      <c r="B71" s="12"/>
      <c r="C71" s="12"/>
      <c r="D71" s="12"/>
      <c r="E71" s="11"/>
      <c r="G71" s="12"/>
      <c r="H71" s="11"/>
    </row>
    <row r="72" spans="1:8" x14ac:dyDescent="0.25">
      <c r="A72" s="12"/>
      <c r="B72" s="12"/>
      <c r="C72" s="12"/>
      <c r="D72" s="12"/>
      <c r="E72" s="11"/>
      <c r="G72" s="12"/>
      <c r="H72" s="11"/>
    </row>
    <row r="73" spans="1:8" x14ac:dyDescent="0.25">
      <c r="A73" s="12"/>
      <c r="B73" s="12"/>
      <c r="C73" s="12"/>
      <c r="D73" s="12"/>
      <c r="E73" s="11"/>
      <c r="G73" s="12"/>
      <c r="H73" s="11"/>
    </row>
    <row r="74" spans="1:8" x14ac:dyDescent="0.25">
      <c r="A74" s="12"/>
      <c r="B74" s="12"/>
      <c r="C74" s="11"/>
      <c r="D74" s="12"/>
      <c r="E74" s="11"/>
      <c r="G74" s="12"/>
      <c r="H74" s="11"/>
    </row>
    <row r="75" spans="1:8" x14ac:dyDescent="0.25">
      <c r="A75" s="12"/>
      <c r="B75" s="12"/>
      <c r="C75" s="12"/>
      <c r="D75" s="12"/>
      <c r="E75" s="11"/>
      <c r="G75" s="12"/>
      <c r="H75" s="11"/>
    </row>
    <row r="76" spans="1:8" x14ac:dyDescent="0.25">
      <c r="A76" s="12"/>
      <c r="B76" s="12"/>
      <c r="C76" s="12"/>
      <c r="D76" s="12"/>
      <c r="E76" s="11"/>
      <c r="G76" s="12"/>
      <c r="H76" s="11"/>
    </row>
    <row r="77" spans="1:8" x14ac:dyDescent="0.25">
      <c r="A77" s="12"/>
      <c r="B77" s="12"/>
      <c r="C77" s="12"/>
      <c r="D77" s="12"/>
      <c r="E77" s="11"/>
      <c r="G77" s="12"/>
      <c r="H77" s="11"/>
    </row>
    <row r="78" spans="1:8" x14ac:dyDescent="0.25">
      <c r="A78" s="12"/>
      <c r="B78" s="11"/>
      <c r="C78" s="11"/>
      <c r="D78" s="12"/>
      <c r="E78" s="11"/>
      <c r="G78" s="12"/>
      <c r="H78" s="11"/>
    </row>
    <row r="79" spans="1:8" x14ac:dyDescent="0.25">
      <c r="A79" s="12"/>
      <c r="B79" s="12"/>
      <c r="C79" s="12"/>
      <c r="D79" s="12"/>
      <c r="E79" s="11"/>
      <c r="G79" s="12"/>
      <c r="H79" s="11"/>
    </row>
    <row r="80" spans="1:8" x14ac:dyDescent="0.25">
      <c r="A80" s="12"/>
      <c r="B80" s="12"/>
      <c r="C80" s="12"/>
      <c r="D80" s="12"/>
      <c r="E80" s="11"/>
      <c r="G80" s="12"/>
      <c r="H80" s="11"/>
    </row>
    <row r="81" spans="1:8" x14ac:dyDescent="0.25">
      <c r="A81" s="12"/>
      <c r="B81" s="12"/>
      <c r="C81" s="12"/>
      <c r="D81" s="12"/>
      <c r="E81" s="11"/>
      <c r="G81" s="12"/>
      <c r="H81" s="11"/>
    </row>
    <row r="82" spans="1:8" x14ac:dyDescent="0.25">
      <c r="A82" s="12"/>
      <c r="B82" s="12"/>
      <c r="C82" s="11"/>
      <c r="D82" s="12"/>
      <c r="E82" s="11"/>
      <c r="G82" s="12"/>
      <c r="H82" s="11"/>
    </row>
    <row r="83" spans="1:8" x14ac:dyDescent="0.25">
      <c r="A83" s="12"/>
      <c r="B83" s="12"/>
      <c r="C83" s="12"/>
      <c r="D83" s="12"/>
      <c r="E83" s="11"/>
      <c r="G83" s="11"/>
      <c r="H83" s="11"/>
    </row>
    <row r="84" spans="1:8" x14ac:dyDescent="0.25">
      <c r="A84" s="12"/>
      <c r="B84" s="12"/>
      <c r="C84" s="12"/>
      <c r="D84" s="12"/>
      <c r="E84" s="11"/>
      <c r="G84" s="12"/>
      <c r="H84" s="11"/>
    </row>
    <row r="85" spans="1:8" x14ac:dyDescent="0.25">
      <c r="A85" s="12"/>
      <c r="B85" s="12"/>
      <c r="C85" s="12"/>
      <c r="D85" s="12"/>
      <c r="E85" s="11"/>
      <c r="G85" s="12"/>
      <c r="H85" s="11"/>
    </row>
    <row r="86" spans="1:8" x14ac:dyDescent="0.25">
      <c r="A86" s="12"/>
      <c r="B86" s="12"/>
      <c r="C86" s="11"/>
      <c r="D86" s="12"/>
      <c r="E86" s="11"/>
      <c r="G86" s="12"/>
      <c r="H86" s="11"/>
    </row>
    <row r="87" spans="1:8" x14ac:dyDescent="0.25">
      <c r="A87" s="12"/>
      <c r="B87" s="12"/>
      <c r="C87" s="12"/>
      <c r="D87" s="12"/>
      <c r="E87" s="11"/>
      <c r="G87" s="12"/>
      <c r="H87" s="11"/>
    </row>
    <row r="88" spans="1:8" x14ac:dyDescent="0.25">
      <c r="A88" s="12"/>
      <c r="B88" s="12"/>
      <c r="C88" s="12"/>
      <c r="D88" s="12"/>
      <c r="E88" s="11"/>
      <c r="G88" s="12"/>
      <c r="H88" s="11"/>
    </row>
    <row r="89" spans="1:8" x14ac:dyDescent="0.25">
      <c r="A89" s="12"/>
      <c r="B89" s="12"/>
      <c r="C89" s="12"/>
      <c r="D89" s="12"/>
      <c r="E89" s="11"/>
      <c r="G89" s="12"/>
      <c r="H89" s="11"/>
    </row>
    <row r="90" spans="1:8" x14ac:dyDescent="0.25">
      <c r="A90" s="11"/>
      <c r="B90" s="11"/>
      <c r="C90" s="11"/>
      <c r="D90" s="11"/>
      <c r="E90" s="11"/>
      <c r="G90" s="12"/>
      <c r="H90" s="11"/>
    </row>
    <row r="91" spans="1:8" x14ac:dyDescent="0.25">
      <c r="A91" s="12"/>
      <c r="B91" s="12"/>
      <c r="C91" s="12"/>
      <c r="D91" s="12"/>
      <c r="E91" s="11"/>
      <c r="G91" s="12"/>
      <c r="H91" s="11"/>
    </row>
    <row r="92" spans="1:8" x14ac:dyDescent="0.25">
      <c r="A92" s="12"/>
      <c r="B92" s="12"/>
      <c r="C92" s="12"/>
      <c r="D92" s="12"/>
      <c r="E92" s="11"/>
      <c r="G92" s="12"/>
      <c r="H92" s="11"/>
    </row>
    <row r="93" spans="1:8" x14ac:dyDescent="0.25">
      <c r="A93" s="12"/>
      <c r="B93" s="12"/>
      <c r="C93" s="11"/>
      <c r="D93" s="12"/>
      <c r="E93" s="11"/>
      <c r="G93" s="12"/>
      <c r="H93" s="11"/>
    </row>
    <row r="94" spans="1:8" x14ac:dyDescent="0.25">
      <c r="A94" s="12"/>
      <c r="B94" s="12"/>
      <c r="C94" s="12"/>
      <c r="D94" s="12"/>
      <c r="E94" s="11"/>
      <c r="G94" s="12"/>
      <c r="H94" s="11"/>
    </row>
    <row r="95" spans="1:8" x14ac:dyDescent="0.25">
      <c r="A95" s="12"/>
      <c r="B95" s="12"/>
      <c r="C95" s="12"/>
      <c r="D95" s="12"/>
      <c r="E95" s="11"/>
      <c r="G95" s="12"/>
      <c r="H95" s="11"/>
    </row>
    <row r="96" spans="1:8" x14ac:dyDescent="0.25">
      <c r="A96" s="12"/>
      <c r="B96" s="12"/>
      <c r="C96" s="11"/>
      <c r="D96" s="12"/>
      <c r="E96" s="11"/>
      <c r="G96" s="12"/>
      <c r="H96" s="11"/>
    </row>
    <row r="97" spans="1:8" x14ac:dyDescent="0.25">
      <c r="A97" s="12"/>
      <c r="B97" s="12"/>
      <c r="C97" s="11"/>
      <c r="D97" s="12"/>
      <c r="E97" s="11"/>
      <c r="G97" s="12"/>
      <c r="H97" s="11"/>
    </row>
    <row r="98" spans="1:8" x14ac:dyDescent="0.25">
      <c r="A98" s="12"/>
      <c r="B98" s="12"/>
      <c r="C98" s="12"/>
      <c r="D98" s="12"/>
      <c r="E98" s="11"/>
      <c r="G98" s="11"/>
      <c r="H98" s="11"/>
    </row>
    <row r="99" spans="1:8" x14ac:dyDescent="0.25">
      <c r="A99" s="12"/>
      <c r="B99" s="12"/>
      <c r="C99" s="11"/>
      <c r="D99" s="12"/>
      <c r="E99" s="11"/>
      <c r="G99" s="12"/>
      <c r="H99" s="11"/>
    </row>
    <row r="100" spans="1:8" x14ac:dyDescent="0.25">
      <c r="A100" s="12"/>
      <c r="B100" s="12"/>
      <c r="C100" s="11"/>
      <c r="D100" s="12"/>
      <c r="E100" s="11"/>
      <c r="G100" s="12"/>
      <c r="H100" s="11"/>
    </row>
    <row r="101" spans="1:8" x14ac:dyDescent="0.25">
      <c r="A101" s="12"/>
      <c r="B101" s="12"/>
      <c r="C101" s="12"/>
      <c r="D101" s="12"/>
      <c r="E101" s="11"/>
      <c r="G101" s="12"/>
      <c r="H101" s="11"/>
    </row>
    <row r="102" spans="1:8" x14ac:dyDescent="0.25">
      <c r="A102" s="12"/>
      <c r="B102" s="12"/>
      <c r="C102" s="12"/>
      <c r="D102" s="12"/>
      <c r="E102" s="11"/>
      <c r="G102" s="12"/>
      <c r="H102" s="11"/>
    </row>
    <row r="103" spans="1:8" x14ac:dyDescent="0.25">
      <c r="A103" s="12"/>
      <c r="B103" s="12"/>
      <c r="C103" s="12"/>
      <c r="D103" s="11"/>
      <c r="E103" s="11"/>
      <c r="G103" s="12"/>
      <c r="H103" s="11"/>
    </row>
    <row r="104" spans="1:8" x14ac:dyDescent="0.25">
      <c r="A104" s="12"/>
      <c r="B104" s="12"/>
      <c r="C104" s="12"/>
      <c r="D104" s="12"/>
      <c r="E104" s="11"/>
      <c r="G104" s="12"/>
      <c r="H104" s="11"/>
    </row>
    <row r="105" spans="1:8" x14ac:dyDescent="0.25">
      <c r="A105" s="12"/>
      <c r="B105" s="12"/>
      <c r="C105" s="12"/>
      <c r="D105" s="12"/>
      <c r="E105" s="11"/>
      <c r="G105" s="12"/>
      <c r="H105" s="11"/>
    </row>
    <row r="106" spans="1:8" x14ac:dyDescent="0.25">
      <c r="A106" s="12"/>
      <c r="B106" s="12"/>
      <c r="C106" s="12"/>
      <c r="D106" s="12"/>
      <c r="E106" s="11"/>
      <c r="G106" s="12"/>
      <c r="H106" s="11"/>
    </row>
    <row r="107" spans="1:8" x14ac:dyDescent="0.25">
      <c r="A107" s="12"/>
      <c r="B107" s="11"/>
      <c r="C107" s="11"/>
      <c r="D107" s="11"/>
      <c r="E107" s="11"/>
      <c r="G107" s="12"/>
      <c r="H107" s="11"/>
    </row>
    <row r="108" spans="1:8" x14ac:dyDescent="0.25">
      <c r="A108" s="12"/>
      <c r="B108" s="12"/>
      <c r="C108" s="12"/>
      <c r="D108" s="12"/>
      <c r="E108" s="11"/>
      <c r="G108" s="12"/>
      <c r="H108" s="11"/>
    </row>
    <row r="109" spans="1:8" x14ac:dyDescent="0.25">
      <c r="A109" s="12"/>
      <c r="B109" s="12"/>
      <c r="C109" s="11"/>
      <c r="D109" s="12"/>
      <c r="E109" s="11"/>
      <c r="G109" s="12"/>
      <c r="H109" s="11"/>
    </row>
    <row r="110" spans="1:8" x14ac:dyDescent="0.25">
      <c r="A110" s="12"/>
      <c r="B110" s="12"/>
      <c r="C110" s="12"/>
      <c r="D110" s="12"/>
      <c r="E110" s="11"/>
      <c r="G110" s="12"/>
      <c r="H110" s="11"/>
    </row>
    <row r="111" spans="1:8" x14ac:dyDescent="0.25">
      <c r="A111" s="12"/>
      <c r="B111" s="12"/>
      <c r="C111" s="12"/>
      <c r="D111" s="11"/>
      <c r="E111" s="11"/>
      <c r="G111" s="12"/>
      <c r="H111" s="11"/>
    </row>
    <row r="112" spans="1:8" x14ac:dyDescent="0.25">
      <c r="A112" s="12"/>
      <c r="B112" s="12"/>
      <c r="C112" s="11"/>
      <c r="D112" s="12"/>
      <c r="E112" s="11"/>
      <c r="G112" s="12"/>
      <c r="H112" s="11"/>
    </row>
    <row r="113" spans="1:8" x14ac:dyDescent="0.25">
      <c r="A113" s="12"/>
      <c r="B113" s="12"/>
      <c r="C113" s="11"/>
      <c r="D113" s="12"/>
      <c r="E113" s="11"/>
      <c r="G113" s="11"/>
      <c r="H113" s="11"/>
    </row>
    <row r="114" spans="1:8" x14ac:dyDescent="0.25">
      <c r="A114" s="12"/>
      <c r="B114" s="12"/>
      <c r="C114" s="12"/>
      <c r="D114" s="12"/>
      <c r="E114" s="11"/>
      <c r="G114" s="12"/>
      <c r="H114" s="11"/>
    </row>
    <row r="115" spans="1:8" x14ac:dyDescent="0.25">
      <c r="A115" s="11"/>
      <c r="B115" s="11"/>
      <c r="C115" s="11"/>
      <c r="D115" s="11"/>
      <c r="E115" s="11"/>
      <c r="G115" s="12"/>
      <c r="H115" s="11"/>
    </row>
    <row r="116" spans="1:8" x14ac:dyDescent="0.25">
      <c r="A116" s="12"/>
      <c r="B116" s="12"/>
      <c r="C116" s="11"/>
      <c r="D116" s="12"/>
      <c r="E116" s="11"/>
      <c r="G116" s="12"/>
      <c r="H116" s="11"/>
    </row>
    <row r="117" spans="1:8" x14ac:dyDescent="0.25">
      <c r="A117" s="12"/>
      <c r="B117" s="12"/>
      <c r="C117" s="12"/>
      <c r="D117" s="12"/>
      <c r="E117" s="11"/>
      <c r="G117" s="12"/>
      <c r="H117" s="11"/>
    </row>
    <row r="118" spans="1:8" x14ac:dyDescent="0.25">
      <c r="A118" s="12"/>
      <c r="B118" s="12"/>
      <c r="C118" s="12"/>
      <c r="D118" s="12"/>
      <c r="E118" s="11"/>
      <c r="G118" s="12"/>
      <c r="H118" s="11"/>
    </row>
    <row r="119" spans="1:8" x14ac:dyDescent="0.25">
      <c r="A119" s="12"/>
      <c r="B119" s="12"/>
      <c r="C119" s="11"/>
      <c r="D119" s="12"/>
      <c r="E119" s="11"/>
      <c r="G119" s="12"/>
      <c r="H119" s="11"/>
    </row>
    <row r="120" spans="1:8" x14ac:dyDescent="0.25">
      <c r="A120" s="12"/>
      <c r="B120" s="12"/>
      <c r="C120" s="11"/>
      <c r="D120" s="12"/>
      <c r="E120" s="11"/>
      <c r="G120" s="12"/>
      <c r="H120" s="11"/>
    </row>
    <row r="121" spans="1:8" x14ac:dyDescent="0.25">
      <c r="A121" s="12"/>
      <c r="B121" s="12"/>
      <c r="C121" s="12"/>
      <c r="D121" s="12"/>
      <c r="E121" s="11"/>
      <c r="G121" s="12"/>
      <c r="H121" s="11"/>
    </row>
    <row r="122" spans="1:8" x14ac:dyDescent="0.25">
      <c r="A122" s="12"/>
      <c r="B122" s="12"/>
      <c r="C122" s="12"/>
      <c r="D122" s="12"/>
      <c r="E122" s="11"/>
      <c r="G122" s="12"/>
      <c r="H122" s="11"/>
    </row>
    <row r="123" spans="1:8" x14ac:dyDescent="0.25">
      <c r="A123" s="12"/>
      <c r="B123" s="12"/>
      <c r="C123" s="11"/>
      <c r="D123" s="11"/>
      <c r="E123" s="11"/>
      <c r="G123" s="12"/>
      <c r="H123" s="11"/>
    </row>
    <row r="124" spans="1:8" x14ac:dyDescent="0.25">
      <c r="A124" s="12"/>
      <c r="B124" s="12"/>
      <c r="C124" s="12"/>
      <c r="D124" s="12"/>
      <c r="E124" s="11"/>
      <c r="G124" s="12"/>
      <c r="H124" s="11"/>
    </row>
    <row r="125" spans="1:8" x14ac:dyDescent="0.25">
      <c r="A125" s="12"/>
      <c r="B125" s="12"/>
      <c r="C125" s="12"/>
      <c r="D125" s="12"/>
      <c r="E125" s="11"/>
      <c r="G125" s="12"/>
      <c r="H125" s="11"/>
    </row>
    <row r="126" spans="1:8" x14ac:dyDescent="0.25">
      <c r="A126" s="12"/>
      <c r="B126" s="12"/>
      <c r="C126" s="12"/>
      <c r="D126" s="12"/>
      <c r="E126" s="11"/>
      <c r="G126" s="12"/>
      <c r="H126" s="11"/>
    </row>
    <row r="127" spans="1:8" x14ac:dyDescent="0.25">
      <c r="A127" s="12"/>
      <c r="B127" s="12"/>
      <c r="C127" s="11"/>
      <c r="D127" s="12"/>
      <c r="E127" s="11"/>
      <c r="G127" s="12"/>
      <c r="H127" s="11"/>
    </row>
    <row r="128" spans="1:8" x14ac:dyDescent="0.25">
      <c r="A128" s="12"/>
      <c r="B128" s="12"/>
      <c r="C128" s="12"/>
      <c r="D128" s="12"/>
      <c r="E128" s="11"/>
      <c r="G128" s="11"/>
      <c r="H128" s="11"/>
    </row>
    <row r="129" spans="1:8" x14ac:dyDescent="0.25">
      <c r="A129" s="12"/>
      <c r="B129" s="12"/>
      <c r="C129" s="12"/>
      <c r="D129" s="12"/>
      <c r="E129" s="11"/>
      <c r="G129" s="12"/>
      <c r="H129" s="11"/>
    </row>
    <row r="130" spans="1:8" x14ac:dyDescent="0.25">
      <c r="A130" s="12"/>
      <c r="B130" s="12"/>
      <c r="C130" s="12"/>
      <c r="D130" s="12"/>
      <c r="E130" s="11"/>
      <c r="G130" s="12"/>
      <c r="H130" s="11"/>
    </row>
    <row r="131" spans="1:8" x14ac:dyDescent="0.25">
      <c r="A131" s="12"/>
      <c r="B131" s="12"/>
      <c r="C131" s="11"/>
      <c r="D131" s="12"/>
      <c r="E131" s="11"/>
      <c r="G131" s="12"/>
      <c r="H131" s="11"/>
    </row>
    <row r="132" spans="1:8" x14ac:dyDescent="0.25">
      <c r="A132" s="12"/>
      <c r="B132" s="12"/>
      <c r="C132" s="12"/>
      <c r="D132" s="12"/>
      <c r="E132" s="11"/>
      <c r="G132" s="12"/>
      <c r="H132" s="11"/>
    </row>
    <row r="133" spans="1:8" x14ac:dyDescent="0.25">
      <c r="A133" s="12"/>
      <c r="B133" s="12"/>
      <c r="C133" s="12"/>
      <c r="D133" s="12"/>
      <c r="E133" s="11"/>
      <c r="G133" s="12"/>
      <c r="H133" s="11"/>
    </row>
    <row r="134" spans="1:8" x14ac:dyDescent="0.25">
      <c r="A134" s="12"/>
      <c r="B134" s="12"/>
      <c r="C134" s="12"/>
      <c r="D134" s="12"/>
      <c r="E134" s="11"/>
      <c r="G134" s="12"/>
      <c r="H134" s="11"/>
    </row>
    <row r="135" spans="1:8" x14ac:dyDescent="0.25">
      <c r="A135" s="12"/>
      <c r="B135" s="12"/>
      <c r="C135" s="12"/>
      <c r="D135" s="11"/>
      <c r="E135" s="11"/>
      <c r="G135" s="12"/>
      <c r="H135" s="11"/>
    </row>
    <row r="136" spans="1:8" x14ac:dyDescent="0.25">
      <c r="A136" s="12"/>
      <c r="B136" s="12"/>
      <c r="C136" s="12"/>
      <c r="D136" s="12"/>
      <c r="E136" s="11"/>
      <c r="G136" s="12"/>
      <c r="H136" s="11"/>
    </row>
    <row r="137" spans="1:8" x14ac:dyDescent="0.25">
      <c r="A137" s="12"/>
      <c r="B137" s="12"/>
      <c r="C137" s="12"/>
      <c r="D137" s="12"/>
      <c r="E137" s="11"/>
      <c r="G137" s="12"/>
      <c r="H137" s="11"/>
    </row>
    <row r="138" spans="1:8" x14ac:dyDescent="0.25">
      <c r="A138" s="12"/>
      <c r="B138" s="12"/>
      <c r="C138" s="12"/>
      <c r="D138" s="12"/>
      <c r="E138" s="11"/>
      <c r="G138" s="12"/>
      <c r="H138" s="11"/>
    </row>
    <row r="139" spans="1:8" x14ac:dyDescent="0.25">
      <c r="A139" s="12"/>
      <c r="B139" s="12"/>
      <c r="C139" s="11"/>
      <c r="D139" s="12"/>
      <c r="E139" s="11"/>
      <c r="G139" s="12"/>
      <c r="H139" s="11"/>
    </row>
    <row r="140" spans="1:8" x14ac:dyDescent="0.25">
      <c r="A140" s="12"/>
      <c r="B140" s="12"/>
      <c r="C140" s="12"/>
      <c r="D140" s="12"/>
      <c r="E140" s="11"/>
      <c r="G140" s="12"/>
      <c r="H140" s="11"/>
    </row>
    <row r="141" spans="1:8" x14ac:dyDescent="0.25">
      <c r="A141" s="12"/>
      <c r="B141" s="12"/>
      <c r="C141" s="12"/>
      <c r="D141" s="12"/>
      <c r="E141" s="11"/>
      <c r="G141" s="12"/>
      <c r="H141" s="11"/>
    </row>
    <row r="142" spans="1:8" x14ac:dyDescent="0.25">
      <c r="A142" s="12"/>
      <c r="B142" s="12"/>
      <c r="C142" s="12"/>
      <c r="D142" s="12"/>
      <c r="E142" s="11"/>
      <c r="G142" s="12"/>
      <c r="H142" s="11"/>
    </row>
    <row r="143" spans="1:8" x14ac:dyDescent="0.25">
      <c r="A143" s="12"/>
      <c r="B143" s="12"/>
      <c r="C143" s="12"/>
      <c r="D143" s="11"/>
      <c r="E143" s="11"/>
      <c r="G143" s="11"/>
      <c r="H143" s="11"/>
    </row>
    <row r="144" spans="1:8" x14ac:dyDescent="0.25">
      <c r="A144" s="12"/>
      <c r="B144" s="12"/>
      <c r="C144" s="12"/>
      <c r="D144" s="12"/>
      <c r="E144" s="11"/>
      <c r="G144" s="12"/>
      <c r="H144" s="11"/>
    </row>
    <row r="145" spans="1:8" x14ac:dyDescent="0.25">
      <c r="A145" s="12"/>
      <c r="B145" s="12"/>
      <c r="C145" s="11"/>
      <c r="D145" s="12"/>
      <c r="E145" s="11"/>
      <c r="G145" s="12"/>
      <c r="H145" s="11"/>
    </row>
    <row r="146" spans="1:8" x14ac:dyDescent="0.25">
      <c r="A146" s="12"/>
      <c r="B146" s="12"/>
      <c r="C146" s="12"/>
      <c r="D146" s="12"/>
      <c r="E146" s="11"/>
      <c r="G146" s="12"/>
      <c r="H146" s="11"/>
    </row>
    <row r="147" spans="1:8" x14ac:dyDescent="0.25">
      <c r="A147" s="12"/>
      <c r="B147" s="11"/>
      <c r="C147" s="11"/>
      <c r="D147" s="11"/>
      <c r="E147" s="11"/>
      <c r="G147" s="12"/>
      <c r="H147" s="11"/>
    </row>
    <row r="148" spans="1:8" x14ac:dyDescent="0.25">
      <c r="A148" s="12"/>
      <c r="B148" s="12"/>
      <c r="C148" s="12"/>
      <c r="D148" s="12"/>
      <c r="E148" s="11"/>
      <c r="G148" s="12"/>
      <c r="H148" s="11"/>
    </row>
    <row r="149" spans="1:8" x14ac:dyDescent="0.25">
      <c r="A149" s="12"/>
      <c r="B149" s="12"/>
      <c r="C149" s="12"/>
      <c r="D149" s="12"/>
      <c r="E149" s="11"/>
      <c r="G149" s="12"/>
      <c r="H149" s="11"/>
    </row>
    <row r="150" spans="1:8" x14ac:dyDescent="0.25">
      <c r="A150" s="12"/>
      <c r="B150" s="12"/>
      <c r="C150" s="12"/>
      <c r="D150" s="12"/>
      <c r="E150" s="11"/>
      <c r="G150" s="12"/>
      <c r="H150" s="11"/>
    </row>
    <row r="151" spans="1:8" x14ac:dyDescent="0.25">
      <c r="A151" s="12"/>
      <c r="B151" s="12"/>
      <c r="C151" s="11"/>
      <c r="D151" s="12"/>
      <c r="E151" s="11"/>
      <c r="G151" s="12"/>
      <c r="H151" s="11"/>
    </row>
    <row r="152" spans="1:8" x14ac:dyDescent="0.25">
      <c r="A152" s="12"/>
      <c r="B152" s="12"/>
      <c r="C152" s="12"/>
      <c r="D152" s="12"/>
      <c r="E152" s="11"/>
      <c r="G152" s="12"/>
      <c r="H152" s="11"/>
    </row>
    <row r="153" spans="1:8" x14ac:dyDescent="0.25">
      <c r="A153" s="12"/>
      <c r="B153" s="12"/>
      <c r="C153" s="12"/>
      <c r="D153" s="12"/>
      <c r="E153" s="11"/>
      <c r="G153" s="12"/>
      <c r="H153" s="11"/>
    </row>
    <row r="154" spans="1:8" x14ac:dyDescent="0.25">
      <c r="A154" s="12"/>
      <c r="B154" s="12"/>
      <c r="C154" s="12"/>
      <c r="D154" s="12"/>
      <c r="E154" s="11"/>
      <c r="G154" s="12"/>
      <c r="H154" s="11"/>
    </row>
    <row r="155" spans="1:8" x14ac:dyDescent="0.25">
      <c r="A155" s="12"/>
      <c r="B155" s="12"/>
      <c r="C155" s="11"/>
      <c r="D155" s="11"/>
      <c r="E155" s="11"/>
      <c r="G155" s="12"/>
      <c r="H155" s="11"/>
    </row>
    <row r="156" spans="1:8" x14ac:dyDescent="0.25">
      <c r="A156" s="12"/>
      <c r="B156" s="12"/>
      <c r="C156" s="11"/>
      <c r="D156" s="12"/>
      <c r="E156" s="11"/>
      <c r="G156" s="12"/>
      <c r="H156" s="11"/>
    </row>
    <row r="157" spans="1:8" x14ac:dyDescent="0.25">
      <c r="A157" s="12"/>
      <c r="B157" s="12"/>
      <c r="C157" s="12"/>
      <c r="D157" s="12"/>
      <c r="E157" s="11"/>
      <c r="G157" s="12"/>
      <c r="H157" s="11"/>
    </row>
    <row r="158" spans="1:8" x14ac:dyDescent="0.25">
      <c r="A158" s="12"/>
      <c r="B158" s="12"/>
      <c r="C158" s="12"/>
      <c r="D158" s="12"/>
      <c r="E158" s="11"/>
      <c r="G158" s="12"/>
      <c r="H158" s="11"/>
    </row>
    <row r="159" spans="1:8" x14ac:dyDescent="0.25">
      <c r="A159" s="12"/>
      <c r="B159" s="12"/>
      <c r="C159" s="11"/>
      <c r="D159" s="12"/>
      <c r="E159" s="11"/>
      <c r="G159" s="12"/>
      <c r="H159" s="11"/>
    </row>
    <row r="160" spans="1:8" x14ac:dyDescent="0.25">
      <c r="A160" s="12"/>
      <c r="B160" s="12"/>
      <c r="C160" s="12"/>
      <c r="D160" s="12"/>
      <c r="E160" s="11"/>
      <c r="G160" s="12"/>
      <c r="H160" s="11"/>
    </row>
    <row r="161" spans="1:8" x14ac:dyDescent="0.25">
      <c r="A161" s="12"/>
      <c r="B161" s="12"/>
      <c r="C161" s="12"/>
      <c r="D161" s="12"/>
      <c r="E161" s="11"/>
      <c r="G161" s="12"/>
      <c r="H161" s="11"/>
    </row>
    <row r="162" spans="1:8" x14ac:dyDescent="0.25">
      <c r="A162" s="12"/>
      <c r="B162" s="12"/>
      <c r="C162" s="12"/>
      <c r="D162" s="12"/>
      <c r="E162" s="11"/>
      <c r="G162" s="12"/>
      <c r="H162" s="11"/>
    </row>
    <row r="163" spans="1:8" x14ac:dyDescent="0.25">
      <c r="A163" s="12"/>
      <c r="B163" s="12"/>
      <c r="C163" s="11"/>
      <c r="D163" s="12"/>
      <c r="E163" s="11"/>
      <c r="G163" s="12"/>
      <c r="H163" s="11"/>
    </row>
    <row r="164" spans="1:8" x14ac:dyDescent="0.25">
      <c r="A164" s="12"/>
      <c r="B164" s="12"/>
      <c r="C164" s="12"/>
      <c r="D164" s="12"/>
      <c r="E164" s="11"/>
      <c r="G164" s="12"/>
      <c r="H164" s="11"/>
    </row>
    <row r="165" spans="1:8" x14ac:dyDescent="0.25">
      <c r="A165" s="12"/>
      <c r="B165" s="12"/>
      <c r="C165" s="12"/>
      <c r="D165" s="12"/>
      <c r="E165" s="11"/>
      <c r="G165" s="12"/>
      <c r="H165" s="11"/>
    </row>
    <row r="166" spans="1:8" x14ac:dyDescent="0.25">
      <c r="A166" s="12"/>
      <c r="B166" s="12"/>
      <c r="C166" s="12"/>
      <c r="D166" s="12"/>
      <c r="E166" s="11"/>
      <c r="G166" s="12"/>
      <c r="H166" s="11"/>
    </row>
    <row r="167" spans="1:8" x14ac:dyDescent="0.25">
      <c r="A167" s="12"/>
      <c r="B167" s="12"/>
      <c r="C167" s="11"/>
      <c r="D167" s="12"/>
      <c r="E167" s="11"/>
      <c r="G167" s="12"/>
      <c r="H167" s="11"/>
    </row>
    <row r="168" spans="1:8" x14ac:dyDescent="0.25">
      <c r="A168" s="12"/>
      <c r="B168" s="12"/>
      <c r="C168" s="12"/>
      <c r="D168" s="12"/>
      <c r="E168" s="11"/>
      <c r="G168" s="12"/>
      <c r="H168" s="11"/>
    </row>
    <row r="169" spans="1:8" x14ac:dyDescent="0.25">
      <c r="A169" s="12"/>
      <c r="B169" s="12"/>
      <c r="C169" s="12"/>
      <c r="D169" s="12"/>
      <c r="E169" s="11"/>
      <c r="G169" s="12"/>
      <c r="H169" s="11"/>
    </row>
    <row r="170" spans="1:8" x14ac:dyDescent="0.25">
      <c r="A170" s="12"/>
      <c r="B170" s="12"/>
      <c r="C170" s="12"/>
      <c r="D170" s="12"/>
      <c r="E170" s="11"/>
      <c r="G170" s="11"/>
      <c r="H170" s="11"/>
    </row>
    <row r="171" spans="1:8" x14ac:dyDescent="0.25">
      <c r="A171" s="11"/>
      <c r="B171" s="11"/>
      <c r="C171" s="11"/>
      <c r="D171" s="11"/>
      <c r="E171" s="11"/>
      <c r="G171" s="12"/>
      <c r="H171" s="11"/>
    </row>
    <row r="172" spans="1:8" x14ac:dyDescent="0.25">
      <c r="A172" s="12"/>
      <c r="B172" s="12"/>
      <c r="C172" s="12"/>
      <c r="D172" s="12"/>
      <c r="E172" s="11"/>
      <c r="G172" s="12"/>
      <c r="H172" s="11"/>
    </row>
    <row r="173" spans="1:8" x14ac:dyDescent="0.25">
      <c r="A173" s="12"/>
      <c r="B173" s="12"/>
      <c r="C173" s="12"/>
      <c r="D173" s="12"/>
      <c r="E173" s="11"/>
      <c r="G173" s="12"/>
      <c r="H173" s="11"/>
    </row>
    <row r="174" spans="1:8" x14ac:dyDescent="0.25">
      <c r="A174" s="12"/>
      <c r="B174" s="12"/>
      <c r="C174" s="12"/>
      <c r="D174" s="12"/>
      <c r="E174" s="11"/>
      <c r="G174" s="12"/>
      <c r="H174" s="11"/>
    </row>
    <row r="175" spans="1:8" x14ac:dyDescent="0.25">
      <c r="A175" s="11"/>
      <c r="B175" s="12"/>
      <c r="C175" s="12"/>
      <c r="D175" s="12"/>
      <c r="E175" s="11"/>
      <c r="G175" s="12"/>
      <c r="H175" s="11"/>
    </row>
    <row r="176" spans="1:8" x14ac:dyDescent="0.25">
      <c r="A176" s="12"/>
      <c r="B176" s="12"/>
      <c r="C176" s="11"/>
      <c r="D176" s="12"/>
      <c r="E176" s="11"/>
      <c r="G176" s="12"/>
      <c r="H176" s="11"/>
    </row>
    <row r="177" spans="1:8" x14ac:dyDescent="0.25">
      <c r="A177" s="12"/>
      <c r="B177" s="12"/>
      <c r="C177" s="12"/>
      <c r="D177" s="12"/>
      <c r="E177" s="11"/>
      <c r="G177" s="12"/>
      <c r="H177" s="11"/>
    </row>
    <row r="178" spans="1:8" x14ac:dyDescent="0.25">
      <c r="A178" s="12"/>
      <c r="B178" s="12"/>
      <c r="C178" s="12"/>
      <c r="D178" s="12"/>
      <c r="E178" s="11"/>
      <c r="G178" s="12"/>
      <c r="H178" s="11"/>
    </row>
    <row r="179" spans="1:8" x14ac:dyDescent="0.25">
      <c r="A179" s="12"/>
      <c r="B179" s="12"/>
      <c r="C179" s="12"/>
      <c r="D179" s="12"/>
      <c r="E179" s="11"/>
      <c r="G179" s="12"/>
      <c r="H179" s="11"/>
    </row>
    <row r="180" spans="1:8" x14ac:dyDescent="0.25">
      <c r="A180" s="12"/>
      <c r="B180" s="12"/>
      <c r="C180" s="12"/>
      <c r="D180" s="12"/>
      <c r="E180" s="11"/>
      <c r="G180" s="12"/>
      <c r="H180" s="11"/>
    </row>
    <row r="181" spans="1:8" x14ac:dyDescent="0.25">
      <c r="A181" s="12"/>
      <c r="B181" s="12"/>
      <c r="C181" s="11"/>
      <c r="D181" s="12"/>
      <c r="E181" s="11"/>
      <c r="G181" s="12"/>
      <c r="H181" s="11"/>
    </row>
    <row r="182" spans="1:8" x14ac:dyDescent="0.25">
      <c r="A182" s="12"/>
      <c r="B182" s="12"/>
      <c r="C182" s="12"/>
      <c r="D182" s="12"/>
      <c r="E182" s="11"/>
    </row>
    <row r="183" spans="1:8" x14ac:dyDescent="0.25">
      <c r="A183" s="12"/>
      <c r="B183" s="12"/>
      <c r="C183" s="12"/>
      <c r="D183" s="12"/>
      <c r="E183" s="11"/>
    </row>
    <row r="184" spans="1:8" x14ac:dyDescent="0.25">
      <c r="A184" s="12"/>
      <c r="B184" s="12"/>
      <c r="C184" s="12"/>
      <c r="D184" s="12"/>
      <c r="E184" s="11"/>
    </row>
    <row r="185" spans="1:8" x14ac:dyDescent="0.25">
      <c r="A185" s="12"/>
      <c r="B185" s="12"/>
      <c r="C185" s="12"/>
      <c r="D185" s="12"/>
      <c r="E185" s="11"/>
    </row>
    <row r="186" spans="1:8" x14ac:dyDescent="0.25">
      <c r="A186" s="12"/>
      <c r="B186" s="12"/>
      <c r="C186" s="11"/>
      <c r="D186" s="12"/>
      <c r="E186" s="11"/>
    </row>
    <row r="187" spans="1:8" x14ac:dyDescent="0.25">
      <c r="A187" s="12"/>
      <c r="B187" s="12"/>
      <c r="C187" s="12"/>
      <c r="D187" s="12"/>
      <c r="E187" s="11"/>
    </row>
    <row r="188" spans="1:8" x14ac:dyDescent="0.25">
      <c r="A188" s="12"/>
      <c r="B188" s="12"/>
      <c r="C188" s="12"/>
      <c r="D188" s="12"/>
      <c r="E188" s="11"/>
    </row>
    <row r="189" spans="1:8" x14ac:dyDescent="0.25">
      <c r="A189" s="12"/>
      <c r="B189" s="12"/>
      <c r="C189" s="12"/>
      <c r="D189" s="12"/>
      <c r="E189" s="11"/>
    </row>
    <row r="190" spans="1:8" x14ac:dyDescent="0.25">
      <c r="A190" s="12"/>
      <c r="B190" s="12"/>
      <c r="C190" s="12"/>
      <c r="D190" s="12"/>
      <c r="E190" s="11"/>
    </row>
    <row r="191" spans="1:8" x14ac:dyDescent="0.25">
      <c r="A191" s="12"/>
      <c r="B191" s="12"/>
      <c r="C191" s="11"/>
      <c r="D191" s="12"/>
      <c r="E191" s="11"/>
    </row>
    <row r="192" spans="1:8" x14ac:dyDescent="0.25">
      <c r="A192" s="12"/>
      <c r="B192" s="12"/>
      <c r="C192" s="12"/>
      <c r="D192" s="12"/>
      <c r="E192" s="11"/>
    </row>
    <row r="193" spans="1:5" x14ac:dyDescent="0.25">
      <c r="A193" s="12"/>
      <c r="B193" s="12"/>
      <c r="C193" s="12"/>
      <c r="D193" s="12"/>
      <c r="E193" s="11"/>
    </row>
    <row r="194" spans="1:5" x14ac:dyDescent="0.25">
      <c r="A194" s="12"/>
      <c r="B194" s="12"/>
      <c r="C194" s="12"/>
      <c r="D194" s="12"/>
      <c r="E194" s="11"/>
    </row>
    <row r="195" spans="1:5" x14ac:dyDescent="0.25">
      <c r="A195" s="12"/>
      <c r="B195" s="12"/>
      <c r="C195" s="12"/>
      <c r="D195" s="12"/>
      <c r="E195" s="11"/>
    </row>
    <row r="196" spans="1:5" x14ac:dyDescent="0.25">
      <c r="A196" s="12"/>
      <c r="B196" s="12"/>
      <c r="C196" s="11"/>
      <c r="D196" s="11"/>
      <c r="E196" s="11"/>
    </row>
    <row r="197" spans="1:5" x14ac:dyDescent="0.25">
      <c r="A197" s="12"/>
      <c r="B197" s="12"/>
      <c r="C197" s="12"/>
      <c r="D197" s="12"/>
      <c r="E197" s="11"/>
    </row>
    <row r="198" spans="1:5" x14ac:dyDescent="0.25">
      <c r="A198" s="12"/>
      <c r="B198" s="12"/>
      <c r="C198" s="11"/>
      <c r="D198" s="12"/>
      <c r="E198" s="11"/>
    </row>
    <row r="199" spans="1:5" x14ac:dyDescent="0.25">
      <c r="A199" s="12"/>
      <c r="B199" s="12"/>
      <c r="C199" s="12"/>
      <c r="D199" s="12"/>
      <c r="E199" s="11"/>
    </row>
    <row r="200" spans="1:5" x14ac:dyDescent="0.25">
      <c r="A200" s="12"/>
      <c r="B200" s="12"/>
      <c r="C200" s="12"/>
      <c r="D200" s="12"/>
      <c r="E200" s="11"/>
    </row>
    <row r="201" spans="1:5" x14ac:dyDescent="0.25">
      <c r="A201" s="12"/>
      <c r="B201" s="12"/>
      <c r="C201" s="11"/>
      <c r="D201" s="12"/>
      <c r="E201" s="11"/>
    </row>
    <row r="202" spans="1:5" x14ac:dyDescent="0.25">
      <c r="A202" s="12"/>
      <c r="B202" s="12"/>
      <c r="C202" s="12"/>
      <c r="D202" s="12"/>
      <c r="E202" s="11"/>
    </row>
    <row r="203" spans="1:5" x14ac:dyDescent="0.25">
      <c r="A203" s="12"/>
      <c r="B203" s="12"/>
      <c r="C203" s="12"/>
      <c r="D203" s="12"/>
      <c r="E203" s="11"/>
    </row>
    <row r="204" spans="1:5" x14ac:dyDescent="0.25">
      <c r="A204" s="12"/>
      <c r="B204" s="12"/>
      <c r="C204" s="12"/>
      <c r="D204" s="12"/>
      <c r="E204" s="11"/>
    </row>
    <row r="205" spans="1:5" x14ac:dyDescent="0.25">
      <c r="A205" s="12"/>
      <c r="B205" s="12"/>
      <c r="C205" s="12"/>
      <c r="D205" s="12"/>
      <c r="E205" s="11"/>
    </row>
    <row r="206" spans="1:5" x14ac:dyDescent="0.25">
      <c r="A206" s="12"/>
      <c r="B206" s="12"/>
      <c r="C206" s="11"/>
      <c r="D206" s="12"/>
      <c r="E206" s="11"/>
    </row>
    <row r="207" spans="1:5" x14ac:dyDescent="0.25">
      <c r="A207" s="12"/>
      <c r="B207" s="12"/>
      <c r="C207" s="12"/>
      <c r="D207" s="12"/>
      <c r="E207" s="11"/>
    </row>
    <row r="208" spans="1:5" x14ac:dyDescent="0.25">
      <c r="A208" s="12"/>
      <c r="B208" s="12"/>
      <c r="C208" s="12"/>
      <c r="D208" s="12"/>
      <c r="E208" s="11"/>
    </row>
    <row r="209" spans="1:5" x14ac:dyDescent="0.25">
      <c r="A209" s="12"/>
      <c r="B209" s="12"/>
      <c r="C209" s="12"/>
      <c r="D209" s="12"/>
      <c r="E209" s="11"/>
    </row>
    <row r="210" spans="1:5" x14ac:dyDescent="0.25">
      <c r="A210" s="12"/>
      <c r="B210" s="12"/>
      <c r="C210" s="12"/>
      <c r="D210" s="12"/>
      <c r="E210" s="11"/>
    </row>
    <row r="211" spans="1:5" x14ac:dyDescent="0.25">
      <c r="A211" s="11"/>
      <c r="B211" s="11"/>
      <c r="C211" s="11"/>
      <c r="D211" s="11"/>
      <c r="E211" s="11"/>
    </row>
    <row r="212" spans="1:5" x14ac:dyDescent="0.25">
      <c r="A212" s="12"/>
      <c r="B212" s="12"/>
      <c r="C212" s="12"/>
      <c r="D212" s="12"/>
      <c r="E212" s="11"/>
    </row>
    <row r="213" spans="1:5" x14ac:dyDescent="0.25">
      <c r="A213" s="12"/>
      <c r="B213" s="12"/>
      <c r="C213" s="12"/>
      <c r="D213" s="12"/>
      <c r="E213" s="11"/>
    </row>
    <row r="214" spans="1:5" x14ac:dyDescent="0.25">
      <c r="A214" s="12"/>
      <c r="B214" s="12"/>
      <c r="C214" s="12"/>
      <c r="D214" s="12"/>
      <c r="E214" s="11"/>
    </row>
    <row r="215" spans="1:5" x14ac:dyDescent="0.25">
      <c r="A215" s="12"/>
      <c r="B215" s="12"/>
      <c r="C215" s="12"/>
      <c r="D215" s="12"/>
      <c r="E215" s="11"/>
    </row>
    <row r="216" spans="1:5" x14ac:dyDescent="0.25">
      <c r="A216" s="12"/>
      <c r="B216" s="12"/>
      <c r="C216" s="12"/>
      <c r="D216" s="12"/>
      <c r="E216" s="11"/>
    </row>
    <row r="217" spans="1:5" x14ac:dyDescent="0.25">
      <c r="A217" s="12"/>
      <c r="B217" s="12"/>
      <c r="C217" s="11"/>
      <c r="D217" s="12"/>
      <c r="E217" s="11"/>
    </row>
    <row r="218" spans="1:5" x14ac:dyDescent="0.25">
      <c r="A218" s="12"/>
      <c r="B218" s="12"/>
      <c r="C218" s="12"/>
      <c r="D218" s="12"/>
      <c r="E218" s="11"/>
    </row>
    <row r="219" spans="1:5" x14ac:dyDescent="0.25">
      <c r="A219" s="12"/>
      <c r="B219" s="12"/>
      <c r="C219" s="12"/>
      <c r="D219" s="12"/>
      <c r="E219" s="11"/>
    </row>
    <row r="220" spans="1:5" x14ac:dyDescent="0.25">
      <c r="A220" s="12"/>
      <c r="B220" s="12"/>
      <c r="C220" s="12"/>
      <c r="D220" s="12"/>
      <c r="E220" s="11"/>
    </row>
    <row r="221" spans="1:5" x14ac:dyDescent="0.25">
      <c r="A221" s="12"/>
      <c r="B221" s="12"/>
      <c r="C221" s="12"/>
      <c r="D221" s="12"/>
      <c r="E221" s="11"/>
    </row>
    <row r="222" spans="1:5" x14ac:dyDescent="0.25">
      <c r="A222" s="12"/>
      <c r="B222" s="12"/>
      <c r="C222" s="12"/>
      <c r="D222" s="12"/>
      <c r="E222" s="11"/>
    </row>
    <row r="223" spans="1:5" x14ac:dyDescent="0.25">
      <c r="A223" s="12"/>
      <c r="B223" s="12"/>
      <c r="C223" s="11"/>
      <c r="D223" s="12"/>
      <c r="E223" s="11"/>
    </row>
    <row r="224" spans="1:5" x14ac:dyDescent="0.25">
      <c r="A224" s="12"/>
      <c r="B224" s="12"/>
      <c r="C224" s="12"/>
      <c r="D224" s="12"/>
      <c r="E224" s="11"/>
    </row>
    <row r="225" spans="1:5" x14ac:dyDescent="0.25">
      <c r="A225" s="12"/>
      <c r="B225" s="12"/>
      <c r="C225" s="12"/>
      <c r="D225" s="12"/>
      <c r="E225" s="11"/>
    </row>
    <row r="226" spans="1:5" x14ac:dyDescent="0.25">
      <c r="A226" s="12"/>
      <c r="B226" s="12"/>
      <c r="C226" s="12"/>
      <c r="D226" s="12"/>
      <c r="E226" s="11"/>
    </row>
    <row r="227" spans="1:5" x14ac:dyDescent="0.25">
      <c r="A227" s="12"/>
      <c r="B227" s="12"/>
      <c r="C227" s="12"/>
      <c r="D227" s="12"/>
      <c r="E227" s="11"/>
    </row>
    <row r="228" spans="1:5" x14ac:dyDescent="0.25">
      <c r="A228" s="12"/>
      <c r="B228" s="12"/>
      <c r="C228" s="12"/>
      <c r="D228" s="12"/>
      <c r="E228" s="11"/>
    </row>
    <row r="229" spans="1:5" x14ac:dyDescent="0.25">
      <c r="A229" s="12"/>
      <c r="B229" s="12"/>
      <c r="C229" s="11"/>
      <c r="D229" s="11"/>
      <c r="E229" s="11"/>
    </row>
    <row r="230" spans="1:5" x14ac:dyDescent="0.25">
      <c r="A230" s="12"/>
      <c r="B230" s="12"/>
      <c r="C230" s="12"/>
      <c r="D230" s="12"/>
      <c r="E230" s="11"/>
    </row>
    <row r="231" spans="1:5" x14ac:dyDescent="0.25">
      <c r="A231" s="12"/>
      <c r="B231" s="12"/>
      <c r="C231" s="12"/>
      <c r="D231" s="12"/>
      <c r="E231" s="11"/>
    </row>
    <row r="232" spans="1:5" x14ac:dyDescent="0.25">
      <c r="A232" s="12"/>
      <c r="B232" s="12"/>
      <c r="C232" s="12"/>
      <c r="D232" s="12"/>
      <c r="E232" s="11"/>
    </row>
    <row r="233" spans="1:5" x14ac:dyDescent="0.25">
      <c r="A233" s="12"/>
      <c r="B233" s="12"/>
      <c r="C233" s="12"/>
      <c r="D233" s="12"/>
      <c r="E233" s="11"/>
    </row>
    <row r="234" spans="1:5" x14ac:dyDescent="0.25">
      <c r="A234" s="12"/>
      <c r="B234" s="12"/>
      <c r="C234" s="12"/>
      <c r="D234" s="12"/>
      <c r="E234" s="11"/>
    </row>
    <row r="235" spans="1:5" x14ac:dyDescent="0.25">
      <c r="A235" s="12"/>
      <c r="B235" s="12"/>
      <c r="C235" s="11"/>
      <c r="D235" s="12"/>
      <c r="E235" s="11"/>
    </row>
    <row r="236" spans="1:5" x14ac:dyDescent="0.25">
      <c r="A236" s="12"/>
      <c r="B236" s="12"/>
      <c r="C236" s="12"/>
      <c r="D236" s="12"/>
      <c r="E236" s="11"/>
    </row>
    <row r="237" spans="1:5" x14ac:dyDescent="0.25">
      <c r="A237" s="12"/>
      <c r="B237" s="12"/>
      <c r="C237" s="11"/>
      <c r="D237" s="12"/>
      <c r="E237" s="11"/>
    </row>
    <row r="238" spans="1:5" x14ac:dyDescent="0.25">
      <c r="A238" s="12"/>
      <c r="B238" s="12"/>
      <c r="C238" s="12"/>
      <c r="D238" s="12"/>
      <c r="E238" s="11"/>
    </row>
    <row r="239" spans="1:5" x14ac:dyDescent="0.25">
      <c r="A239" s="12"/>
      <c r="B239" s="12"/>
      <c r="C239" s="12"/>
      <c r="D239" s="12"/>
      <c r="E239" s="11"/>
    </row>
    <row r="240" spans="1:5" x14ac:dyDescent="0.25">
      <c r="A240" s="12"/>
      <c r="B240" s="12"/>
      <c r="C240" s="12"/>
      <c r="D240" s="12"/>
      <c r="E240" s="11"/>
    </row>
    <row r="241" spans="1:5" x14ac:dyDescent="0.25">
      <c r="A241" s="12"/>
      <c r="B241" s="12"/>
      <c r="C241" s="11"/>
      <c r="D241" s="12"/>
      <c r="E241" s="11"/>
    </row>
    <row r="242" spans="1:5" x14ac:dyDescent="0.25">
      <c r="A242" s="12"/>
      <c r="B242" s="12"/>
      <c r="C242" s="12"/>
      <c r="D242" s="12"/>
      <c r="E242" s="11"/>
    </row>
    <row r="243" spans="1:5" x14ac:dyDescent="0.25">
      <c r="A243" s="12"/>
      <c r="B243" s="12"/>
      <c r="C243" s="12"/>
      <c r="D243" s="12"/>
      <c r="E243" s="11"/>
    </row>
    <row r="244" spans="1:5" x14ac:dyDescent="0.25">
      <c r="A244" s="12"/>
      <c r="B244" s="12"/>
      <c r="C244" s="12"/>
      <c r="D244" s="12"/>
      <c r="E244" s="11"/>
    </row>
    <row r="245" spans="1:5" x14ac:dyDescent="0.25">
      <c r="A245" s="12"/>
      <c r="B245" s="12"/>
      <c r="C245" s="12"/>
      <c r="D245" s="12"/>
      <c r="E245" s="11"/>
    </row>
    <row r="246" spans="1:5" x14ac:dyDescent="0.25">
      <c r="A246" s="12"/>
      <c r="B246" s="12"/>
      <c r="C246" s="12"/>
      <c r="D246" s="12"/>
      <c r="E246" s="11"/>
    </row>
    <row r="247" spans="1:5" x14ac:dyDescent="0.25">
      <c r="A247" s="11"/>
      <c r="B247" s="11"/>
      <c r="C247" s="11"/>
      <c r="D247" s="11"/>
      <c r="E247" s="11"/>
    </row>
    <row r="248" spans="1:5" x14ac:dyDescent="0.25">
      <c r="A248" s="12"/>
      <c r="B248" s="12"/>
      <c r="C248" s="12"/>
      <c r="D248" s="12"/>
      <c r="E248" s="11"/>
    </row>
    <row r="249" spans="1:5" x14ac:dyDescent="0.25">
      <c r="A249" s="12"/>
      <c r="B249" s="12"/>
      <c r="C249" s="12"/>
      <c r="D249" s="12"/>
      <c r="E249" s="11"/>
    </row>
    <row r="250" spans="1:5" x14ac:dyDescent="0.25">
      <c r="A250" s="12"/>
      <c r="B250" s="12"/>
      <c r="C250" s="12"/>
      <c r="D250" s="12"/>
      <c r="E250" s="11"/>
    </row>
    <row r="251" spans="1:5" x14ac:dyDescent="0.25">
      <c r="A251" s="12"/>
      <c r="B251" s="12"/>
      <c r="C251" s="12"/>
      <c r="D251" s="12"/>
      <c r="E251" s="11"/>
    </row>
    <row r="252" spans="1:5" x14ac:dyDescent="0.25">
      <c r="A252" s="12"/>
      <c r="B252" s="12"/>
      <c r="C252" s="12"/>
      <c r="D252" s="12"/>
      <c r="E252" s="11"/>
    </row>
    <row r="253" spans="1:5" x14ac:dyDescent="0.25">
      <c r="A253" s="12"/>
      <c r="B253" s="12"/>
      <c r="C253" s="12"/>
      <c r="D253" s="12"/>
      <c r="E253" s="11"/>
    </row>
    <row r="254" spans="1:5" x14ac:dyDescent="0.25">
      <c r="A254" s="12"/>
      <c r="B254" s="12"/>
      <c r="C254" s="11"/>
      <c r="D254" s="12"/>
      <c r="E254" s="11"/>
    </row>
    <row r="255" spans="1:5" x14ac:dyDescent="0.25">
      <c r="A255" s="12"/>
      <c r="B255" s="12"/>
      <c r="C255" s="12"/>
      <c r="D255" s="12"/>
      <c r="E255" s="11"/>
    </row>
    <row r="256" spans="1:5" x14ac:dyDescent="0.25">
      <c r="A256" s="12"/>
      <c r="B256" s="12"/>
      <c r="C256" s="12"/>
      <c r="D256" s="12"/>
      <c r="E256" s="11"/>
    </row>
    <row r="257" spans="1:5" x14ac:dyDescent="0.25">
      <c r="A257" s="12"/>
      <c r="B257" s="12"/>
      <c r="C257" s="12"/>
      <c r="D257" s="12"/>
      <c r="E257" s="11"/>
    </row>
    <row r="258" spans="1:5" x14ac:dyDescent="0.25">
      <c r="A258" s="12"/>
      <c r="B258" s="12"/>
      <c r="C258" s="12"/>
      <c r="D258" s="12"/>
      <c r="E258" s="11"/>
    </row>
    <row r="259" spans="1:5" x14ac:dyDescent="0.25">
      <c r="A259" s="12"/>
      <c r="B259" s="12"/>
      <c r="C259" s="12"/>
      <c r="D259" s="12"/>
      <c r="E259" s="11"/>
    </row>
    <row r="260" spans="1:5" x14ac:dyDescent="0.25">
      <c r="A260" s="12"/>
      <c r="B260" s="12"/>
      <c r="C260" s="12"/>
      <c r="D260" s="12"/>
      <c r="E260" s="11"/>
    </row>
    <row r="261" spans="1:5" x14ac:dyDescent="0.25">
      <c r="A261" s="12"/>
      <c r="B261" s="12"/>
      <c r="C261" s="11"/>
      <c r="D261" s="12"/>
      <c r="E261" s="11"/>
    </row>
    <row r="262" spans="1:5" x14ac:dyDescent="0.25">
      <c r="A262" s="12"/>
      <c r="B262" s="12"/>
      <c r="C262" s="12"/>
      <c r="D262" s="12"/>
      <c r="E262" s="11"/>
    </row>
    <row r="263" spans="1:5" x14ac:dyDescent="0.25">
      <c r="A263" s="12"/>
      <c r="B263" s="12"/>
      <c r="C263" s="12"/>
      <c r="D263" s="12"/>
      <c r="E263" s="11"/>
    </row>
    <row r="264" spans="1:5" x14ac:dyDescent="0.25">
      <c r="A264" s="12"/>
      <c r="B264" s="12"/>
      <c r="C264" s="12"/>
      <c r="D264" s="12"/>
      <c r="E264" s="11"/>
    </row>
    <row r="265" spans="1:5" x14ac:dyDescent="0.25">
      <c r="A265" s="12"/>
      <c r="B265" s="12"/>
      <c r="C265" s="12"/>
      <c r="D265" s="12"/>
      <c r="E265" s="11"/>
    </row>
    <row r="266" spans="1:5" x14ac:dyDescent="0.25">
      <c r="A266" s="12"/>
      <c r="B266" s="12"/>
      <c r="C266" s="12"/>
      <c r="D266" s="12"/>
      <c r="E266" s="11"/>
    </row>
    <row r="267" spans="1:5" x14ac:dyDescent="0.25">
      <c r="A267" s="12"/>
      <c r="B267" s="12"/>
      <c r="C267" s="12"/>
      <c r="D267" s="12"/>
      <c r="E267" s="11"/>
    </row>
    <row r="268" spans="1:5" x14ac:dyDescent="0.25">
      <c r="A268" s="12"/>
      <c r="B268" s="12"/>
      <c r="C268" s="11"/>
      <c r="D268" s="12"/>
      <c r="E268" s="11"/>
    </row>
    <row r="269" spans="1:5" x14ac:dyDescent="0.25">
      <c r="A269" s="12"/>
      <c r="B269" s="12"/>
      <c r="C269" s="12"/>
      <c r="D269" s="12"/>
      <c r="E269" s="11"/>
    </row>
    <row r="270" spans="1:5" x14ac:dyDescent="0.25">
      <c r="A270" s="12"/>
      <c r="B270" s="12"/>
      <c r="C270" s="12"/>
      <c r="D270" s="12"/>
      <c r="E270" s="11"/>
    </row>
    <row r="271" spans="1:5" x14ac:dyDescent="0.25">
      <c r="A271" s="12"/>
      <c r="B271" s="12"/>
      <c r="C271" s="12"/>
      <c r="D271" s="12"/>
      <c r="E271" s="11"/>
    </row>
    <row r="272" spans="1:5" x14ac:dyDescent="0.25">
      <c r="A272" s="12"/>
      <c r="B272" s="12"/>
      <c r="C272" s="12"/>
      <c r="D272" s="12"/>
      <c r="E272" s="11"/>
    </row>
    <row r="273" spans="1:5" x14ac:dyDescent="0.25">
      <c r="A273" s="12"/>
      <c r="B273" s="12"/>
      <c r="C273" s="12"/>
      <c r="D273" s="12"/>
      <c r="E273" s="11"/>
    </row>
    <row r="274" spans="1:5" x14ac:dyDescent="0.25">
      <c r="A274" s="12"/>
      <c r="B274" s="12"/>
      <c r="C274" s="12"/>
      <c r="D274" s="12"/>
      <c r="E274" s="11"/>
    </row>
    <row r="275" spans="1:5" x14ac:dyDescent="0.25">
      <c r="A275" s="12"/>
      <c r="B275" s="12"/>
      <c r="C275" s="11"/>
      <c r="D275" s="12"/>
      <c r="E275" s="11"/>
    </row>
    <row r="276" spans="1:5" x14ac:dyDescent="0.25">
      <c r="A276" s="12"/>
      <c r="B276" s="12"/>
      <c r="C276" s="12"/>
      <c r="D276" s="12"/>
      <c r="E276" s="11"/>
    </row>
    <row r="277" spans="1:5" x14ac:dyDescent="0.25">
      <c r="A277" s="12"/>
      <c r="B277" s="12"/>
      <c r="C277" s="12"/>
      <c r="D277" s="12"/>
      <c r="E277" s="11"/>
    </row>
    <row r="278" spans="1:5" x14ac:dyDescent="0.25">
      <c r="A278" s="12"/>
      <c r="B278" s="12"/>
      <c r="C278" s="12"/>
      <c r="D278" s="12"/>
      <c r="E278" s="11"/>
    </row>
    <row r="279" spans="1:5" x14ac:dyDescent="0.25">
      <c r="A279" s="12"/>
      <c r="B279" s="12"/>
      <c r="C279" s="12"/>
      <c r="D279" s="12"/>
      <c r="E279" s="11"/>
    </row>
    <row r="280" spans="1:5" x14ac:dyDescent="0.25">
      <c r="A280" s="12"/>
      <c r="B280" s="12"/>
      <c r="C280" s="12"/>
      <c r="D280" s="12"/>
      <c r="E280" s="11"/>
    </row>
    <row r="281" spans="1:5" x14ac:dyDescent="0.25">
      <c r="A281" s="12"/>
      <c r="B281" s="12"/>
      <c r="C281" s="12"/>
      <c r="D281" s="12"/>
      <c r="E281" s="11"/>
    </row>
    <row r="282" spans="1:5" x14ac:dyDescent="0.25">
      <c r="A282" s="12"/>
      <c r="B282" s="12"/>
      <c r="C282" s="11"/>
      <c r="D282" s="11"/>
      <c r="E282" s="11"/>
    </row>
    <row r="283" spans="1:5" x14ac:dyDescent="0.25">
      <c r="A283" s="12"/>
      <c r="B283" s="12"/>
      <c r="C283" s="12"/>
      <c r="D283" s="12"/>
      <c r="E283" s="11"/>
    </row>
    <row r="284" spans="1:5" x14ac:dyDescent="0.25">
      <c r="A284" s="12"/>
      <c r="B284" s="12"/>
      <c r="C284" s="12"/>
      <c r="D284" s="12"/>
      <c r="E284" s="11"/>
    </row>
    <row r="285" spans="1:5" x14ac:dyDescent="0.25">
      <c r="A285" s="12"/>
      <c r="B285" s="12"/>
      <c r="C285" s="12"/>
      <c r="D285" s="12"/>
      <c r="E285" s="11"/>
    </row>
    <row r="286" spans="1:5" x14ac:dyDescent="0.25">
      <c r="A286" s="12"/>
      <c r="B286" s="12"/>
      <c r="C286" s="12"/>
      <c r="D286" s="12"/>
      <c r="E286" s="11"/>
    </row>
    <row r="287" spans="1:5" x14ac:dyDescent="0.25">
      <c r="A287" s="12"/>
      <c r="B287" s="12"/>
      <c r="C287" s="12"/>
      <c r="D287" s="12"/>
      <c r="E287" s="11"/>
    </row>
    <row r="288" spans="1:5" x14ac:dyDescent="0.25">
      <c r="A288" s="12"/>
      <c r="B288" s="11"/>
      <c r="C288" s="12"/>
      <c r="D288" s="11"/>
      <c r="E288" s="11"/>
    </row>
    <row r="289" spans="1:5" x14ac:dyDescent="0.25">
      <c r="A289" s="12"/>
      <c r="B289" s="12"/>
      <c r="C289" s="11"/>
      <c r="D289" s="12"/>
      <c r="E289" s="11"/>
    </row>
    <row r="290" spans="1:5" x14ac:dyDescent="0.25">
      <c r="A290" s="12"/>
      <c r="B290" s="12"/>
      <c r="C290" s="12"/>
      <c r="D290" s="12"/>
      <c r="E290" s="11"/>
    </row>
    <row r="291" spans="1:5" x14ac:dyDescent="0.25">
      <c r="A291" s="12"/>
      <c r="B291" s="12"/>
      <c r="C291" s="12"/>
      <c r="D291" s="12"/>
      <c r="E291" s="11"/>
    </row>
    <row r="292" spans="1:5" x14ac:dyDescent="0.25">
      <c r="A292" s="12"/>
      <c r="B292" s="12"/>
      <c r="C292" s="12"/>
      <c r="D292" s="12"/>
      <c r="E292" s="11"/>
    </row>
    <row r="293" spans="1:5" x14ac:dyDescent="0.25">
      <c r="A293" s="12"/>
      <c r="B293" s="12"/>
      <c r="C293" s="12"/>
      <c r="D293" s="12"/>
      <c r="E293" s="11"/>
    </row>
    <row r="294" spans="1:5" x14ac:dyDescent="0.25">
      <c r="A294" s="12"/>
      <c r="B294" s="12"/>
      <c r="C294" s="12"/>
      <c r="D294" s="12"/>
      <c r="E294" s="11"/>
    </row>
    <row r="295" spans="1:5" x14ac:dyDescent="0.25">
      <c r="A295" s="12"/>
      <c r="B295" s="12"/>
      <c r="C295" s="12"/>
      <c r="D295" s="12"/>
      <c r="E295" s="11"/>
    </row>
    <row r="296" spans="1:5" x14ac:dyDescent="0.25">
      <c r="A296" s="11"/>
      <c r="B296" s="11"/>
      <c r="C296" s="11"/>
      <c r="D296" s="11"/>
      <c r="E296" s="11"/>
    </row>
    <row r="297" spans="1:5" x14ac:dyDescent="0.25">
      <c r="A297" s="12"/>
      <c r="B297" s="12"/>
      <c r="C297" s="12"/>
      <c r="D297" s="12"/>
      <c r="E297" s="11"/>
    </row>
    <row r="298" spans="1:5" x14ac:dyDescent="0.25">
      <c r="A298" s="12"/>
      <c r="B298" s="12"/>
      <c r="C298" s="12"/>
      <c r="D298" s="12"/>
      <c r="E298" s="11"/>
    </row>
    <row r="299" spans="1:5" x14ac:dyDescent="0.25">
      <c r="A299" s="12"/>
      <c r="B299" s="12"/>
      <c r="C299" s="12"/>
      <c r="D299" s="12"/>
      <c r="E299" s="11"/>
    </row>
    <row r="300" spans="1:5" x14ac:dyDescent="0.25">
      <c r="A300" s="12"/>
      <c r="B300" s="12"/>
      <c r="C300" s="12"/>
      <c r="D300" s="12"/>
      <c r="E300" s="11"/>
    </row>
    <row r="301" spans="1:5" x14ac:dyDescent="0.25">
      <c r="A301" s="12"/>
      <c r="B301" s="12"/>
      <c r="C301" s="11"/>
      <c r="D301" s="12"/>
      <c r="E301" s="11"/>
    </row>
    <row r="302" spans="1:5" x14ac:dyDescent="0.25">
      <c r="A302" s="12"/>
      <c r="B302" s="12"/>
      <c r="C302" s="12"/>
      <c r="D302" s="12"/>
      <c r="E302" s="11"/>
    </row>
    <row r="303" spans="1:5" x14ac:dyDescent="0.25">
      <c r="A303" s="12"/>
      <c r="B303" s="12"/>
      <c r="C303" s="12"/>
      <c r="D303" s="12"/>
      <c r="E303" s="11"/>
    </row>
    <row r="304" spans="1:5" x14ac:dyDescent="0.25">
      <c r="A304" s="12"/>
      <c r="B304" s="12"/>
      <c r="C304" s="12"/>
      <c r="D304" s="12"/>
      <c r="E304" s="11"/>
    </row>
    <row r="305" spans="1:5" x14ac:dyDescent="0.25">
      <c r="A305" s="12"/>
      <c r="B305" s="12"/>
      <c r="C305" s="12"/>
      <c r="D305" s="12"/>
      <c r="E305" s="11"/>
    </row>
    <row r="306" spans="1:5" x14ac:dyDescent="0.25">
      <c r="A306" s="12"/>
      <c r="B306" s="12"/>
      <c r="C306" s="11"/>
      <c r="D306" s="12"/>
      <c r="E306" s="11"/>
    </row>
    <row r="307" spans="1:5" x14ac:dyDescent="0.25">
      <c r="A307" s="12"/>
      <c r="B307" s="12"/>
      <c r="C307" s="12"/>
      <c r="D307" s="12"/>
      <c r="E307" s="11"/>
    </row>
    <row r="308" spans="1:5" x14ac:dyDescent="0.25">
      <c r="A308" s="12"/>
      <c r="B308" s="12"/>
      <c r="C308" s="12"/>
      <c r="D308" s="12"/>
      <c r="E308" s="11"/>
    </row>
    <row r="309" spans="1:5" x14ac:dyDescent="0.25">
      <c r="A309" s="12"/>
      <c r="B309" s="12"/>
      <c r="C309" s="12"/>
      <c r="D309" s="12"/>
      <c r="E309" s="11"/>
    </row>
    <row r="310" spans="1:5" x14ac:dyDescent="0.25">
      <c r="A310" s="12"/>
      <c r="B310" s="12"/>
      <c r="C310" s="12"/>
      <c r="D310" s="12"/>
      <c r="E310" s="11"/>
    </row>
    <row r="311" spans="1:5" x14ac:dyDescent="0.25">
      <c r="A311" s="12"/>
      <c r="B311" s="12"/>
      <c r="C311" s="11"/>
      <c r="D311" s="12"/>
      <c r="E311" s="11"/>
    </row>
    <row r="312" spans="1:5" x14ac:dyDescent="0.25">
      <c r="A312" s="12"/>
      <c r="B312" s="12"/>
      <c r="C312" s="12"/>
      <c r="D312" s="12"/>
      <c r="E312" s="11"/>
    </row>
    <row r="313" spans="1:5" x14ac:dyDescent="0.25">
      <c r="A313" s="12"/>
      <c r="B313" s="12"/>
      <c r="C313" s="12"/>
      <c r="D313" s="12"/>
      <c r="E313" s="11"/>
    </row>
    <row r="314" spans="1:5" x14ac:dyDescent="0.25">
      <c r="A314" s="12"/>
      <c r="B314" s="12"/>
      <c r="C314" s="12"/>
      <c r="D314" s="12"/>
      <c r="E314" s="11"/>
    </row>
    <row r="315" spans="1:5" x14ac:dyDescent="0.25">
      <c r="A315" s="12"/>
      <c r="B315" s="12"/>
      <c r="C315" s="12"/>
      <c r="D315" s="12"/>
      <c r="E315" s="11"/>
    </row>
    <row r="316" spans="1:5" x14ac:dyDescent="0.25">
      <c r="A316" s="12"/>
      <c r="B316" s="12"/>
      <c r="C316" s="12"/>
      <c r="D316" s="12"/>
      <c r="E316" s="11"/>
    </row>
    <row r="317" spans="1:5" x14ac:dyDescent="0.25">
      <c r="A317" s="12"/>
      <c r="B317" s="12"/>
      <c r="C317" s="12"/>
      <c r="D317" s="12"/>
      <c r="E317" s="11"/>
    </row>
    <row r="318" spans="1:5" x14ac:dyDescent="0.25">
      <c r="A318" s="12"/>
      <c r="B318" s="12"/>
      <c r="C318" s="11"/>
      <c r="D318" s="12"/>
      <c r="E318" s="11"/>
    </row>
    <row r="319" spans="1:5" x14ac:dyDescent="0.25">
      <c r="A319" s="12"/>
      <c r="B319" s="12"/>
      <c r="C319" s="12"/>
      <c r="D319" s="12"/>
      <c r="E319" s="11"/>
    </row>
    <row r="320" spans="1:5" x14ac:dyDescent="0.25">
      <c r="A320" s="12"/>
      <c r="B320" s="12"/>
      <c r="C320" s="12"/>
      <c r="D320" s="12"/>
      <c r="E320" s="11"/>
    </row>
    <row r="321" spans="1:5" x14ac:dyDescent="0.25">
      <c r="A321" s="12"/>
      <c r="B321" s="12"/>
      <c r="C321" s="12"/>
      <c r="D321" s="12"/>
      <c r="E321" s="11"/>
    </row>
    <row r="322" spans="1:5" x14ac:dyDescent="0.25">
      <c r="A322" s="12"/>
      <c r="B322" s="12"/>
      <c r="C322" s="12"/>
      <c r="D322" s="12"/>
      <c r="E322" s="11"/>
    </row>
    <row r="323" spans="1:5" x14ac:dyDescent="0.25">
      <c r="A323" s="12"/>
      <c r="B323" s="12"/>
      <c r="C323" s="12"/>
      <c r="D323" s="12"/>
      <c r="E323" s="11"/>
    </row>
    <row r="324" spans="1:5" x14ac:dyDescent="0.25">
      <c r="A324" s="12"/>
      <c r="B324" s="12"/>
      <c r="C324" s="12"/>
      <c r="D324" s="12"/>
      <c r="E324" s="11"/>
    </row>
    <row r="325" spans="1:5" x14ac:dyDescent="0.25">
      <c r="A325" s="11"/>
      <c r="B325" s="11"/>
      <c r="C325" s="11"/>
      <c r="D325" s="12"/>
      <c r="E325" s="11"/>
    </row>
    <row r="326" spans="1:5" x14ac:dyDescent="0.25">
      <c r="A326" s="12"/>
      <c r="B326" s="12"/>
      <c r="C326" s="12"/>
      <c r="D326" s="12"/>
      <c r="E326" s="11"/>
    </row>
    <row r="327" spans="1:5" x14ac:dyDescent="0.25">
      <c r="A327" s="12"/>
      <c r="B327" s="12"/>
      <c r="C327" s="12"/>
      <c r="D327" s="12"/>
      <c r="E327" s="11"/>
    </row>
    <row r="328" spans="1:5" x14ac:dyDescent="0.25">
      <c r="A328" s="12"/>
      <c r="B328" s="12"/>
      <c r="C328" s="12"/>
      <c r="D328" s="12"/>
      <c r="E328" s="11"/>
    </row>
    <row r="329" spans="1:5" x14ac:dyDescent="0.25">
      <c r="A329" s="12"/>
      <c r="B329" s="12"/>
      <c r="C329" s="12"/>
      <c r="D329" s="12"/>
      <c r="E329" s="11"/>
    </row>
    <row r="330" spans="1:5" x14ac:dyDescent="0.25">
      <c r="A330" s="12"/>
      <c r="B330" s="12"/>
      <c r="C330" s="12"/>
      <c r="D330" s="12"/>
      <c r="E330" s="11"/>
    </row>
    <row r="331" spans="1:5" x14ac:dyDescent="0.25">
      <c r="A331" s="12"/>
      <c r="B331" s="12"/>
      <c r="C331" s="11"/>
      <c r="D331" s="12"/>
      <c r="E331" s="11"/>
    </row>
    <row r="332" spans="1:5" x14ac:dyDescent="0.25">
      <c r="A332" s="12"/>
      <c r="B332" s="12"/>
      <c r="C332" s="12"/>
      <c r="D332" s="12"/>
      <c r="E332" s="11"/>
    </row>
    <row r="333" spans="1:5" x14ac:dyDescent="0.25">
      <c r="A333" s="12"/>
      <c r="B333" s="12"/>
      <c r="C333" s="12"/>
      <c r="D333" s="12"/>
      <c r="E333" s="11"/>
    </row>
    <row r="334" spans="1:5" x14ac:dyDescent="0.25">
      <c r="A334" s="12"/>
      <c r="B334" s="12"/>
      <c r="C334" s="12"/>
      <c r="D334" s="12"/>
      <c r="E334" s="11"/>
    </row>
    <row r="335" spans="1:5" x14ac:dyDescent="0.25">
      <c r="A335" s="12"/>
      <c r="B335" s="12"/>
      <c r="C335" s="12"/>
      <c r="D335" s="12"/>
      <c r="E335" s="11"/>
    </row>
    <row r="336" spans="1:5" x14ac:dyDescent="0.25">
      <c r="A336" s="12"/>
      <c r="B336" s="12"/>
      <c r="C336" s="12"/>
      <c r="D336" s="12"/>
      <c r="E336" s="11"/>
    </row>
    <row r="337" spans="1:5" x14ac:dyDescent="0.25">
      <c r="A337" s="12"/>
      <c r="B337" s="12"/>
      <c r="C337" s="11"/>
      <c r="D337" s="12"/>
      <c r="E337" s="11"/>
    </row>
    <row r="338" spans="1:5" x14ac:dyDescent="0.25">
      <c r="A338" s="12"/>
      <c r="B338" s="12"/>
      <c r="C338" s="12"/>
      <c r="D338" s="12"/>
      <c r="E338" s="11"/>
    </row>
    <row r="339" spans="1:5" x14ac:dyDescent="0.25">
      <c r="A339" s="12"/>
      <c r="B339" s="12"/>
      <c r="C339" s="12"/>
      <c r="D339" s="12"/>
      <c r="E339" s="11"/>
    </row>
    <row r="340" spans="1:5" x14ac:dyDescent="0.25">
      <c r="A340" s="12"/>
      <c r="B340" s="12"/>
      <c r="C340" s="12"/>
      <c r="D340" s="12"/>
      <c r="E340" s="11"/>
    </row>
    <row r="341" spans="1:5" x14ac:dyDescent="0.25">
      <c r="A341" s="12"/>
      <c r="B341" s="12"/>
      <c r="C341" s="12"/>
      <c r="D341" s="12"/>
      <c r="E341" s="11"/>
    </row>
    <row r="342" spans="1:5" x14ac:dyDescent="0.25">
      <c r="A342" s="12"/>
      <c r="B342" s="12"/>
      <c r="C342" s="12"/>
      <c r="D342" s="12"/>
      <c r="E342" s="11"/>
    </row>
    <row r="343" spans="1:5" x14ac:dyDescent="0.25">
      <c r="A343" s="12"/>
      <c r="B343" s="12"/>
      <c r="C343" s="11"/>
      <c r="D343" s="12"/>
      <c r="E343" s="11"/>
    </row>
    <row r="344" spans="1:5" x14ac:dyDescent="0.25">
      <c r="A344" s="12"/>
      <c r="B344" s="12"/>
      <c r="C344" s="12"/>
      <c r="D344" s="12"/>
      <c r="E344" s="11"/>
    </row>
    <row r="345" spans="1:5" x14ac:dyDescent="0.25">
      <c r="A345" s="12"/>
      <c r="B345" s="12"/>
      <c r="C345" s="12"/>
      <c r="D345" s="12"/>
      <c r="E345" s="11"/>
    </row>
    <row r="346" spans="1:5" x14ac:dyDescent="0.25">
      <c r="A346" s="12"/>
      <c r="B346" s="12"/>
      <c r="C346" s="12"/>
      <c r="D346" s="12"/>
      <c r="E346" s="11"/>
    </row>
    <row r="347" spans="1:5" x14ac:dyDescent="0.25">
      <c r="A347" s="12"/>
      <c r="B347" s="12"/>
      <c r="C347" s="12"/>
      <c r="D347" s="12"/>
      <c r="E347" s="11"/>
    </row>
    <row r="348" spans="1:5" x14ac:dyDescent="0.25">
      <c r="A348" s="12"/>
      <c r="B348" s="12"/>
      <c r="C348" s="12"/>
      <c r="D348" s="12"/>
      <c r="E348" s="11"/>
    </row>
    <row r="349" spans="1:5" x14ac:dyDescent="0.25">
      <c r="A349" s="12"/>
      <c r="B349" s="12"/>
      <c r="C349" s="11"/>
      <c r="D349" s="12"/>
      <c r="E349" s="11"/>
    </row>
    <row r="350" spans="1:5" x14ac:dyDescent="0.25">
      <c r="A350" s="12"/>
      <c r="B350" s="12"/>
      <c r="C350" s="12"/>
      <c r="D350" s="12"/>
      <c r="E350" s="11"/>
    </row>
    <row r="351" spans="1:5" x14ac:dyDescent="0.25">
      <c r="A351" s="12"/>
      <c r="B351" s="12"/>
      <c r="C351" s="12"/>
      <c r="D351" s="12"/>
      <c r="E351" s="11"/>
    </row>
    <row r="352" spans="1:5" x14ac:dyDescent="0.25">
      <c r="A352" s="12"/>
      <c r="B352" s="12"/>
      <c r="C352" s="12"/>
      <c r="D352" s="12"/>
      <c r="E352" s="11"/>
    </row>
    <row r="353" spans="1:5" x14ac:dyDescent="0.25">
      <c r="A353" s="12"/>
      <c r="B353" s="12"/>
      <c r="C353" s="12"/>
      <c r="D353" s="12"/>
      <c r="E353" s="11"/>
    </row>
    <row r="354" spans="1:5" x14ac:dyDescent="0.25">
      <c r="A354" s="12"/>
      <c r="B354" s="12"/>
      <c r="C354" s="12"/>
      <c r="D354" s="12"/>
      <c r="E354" s="11"/>
    </row>
    <row r="355" spans="1:5" x14ac:dyDescent="0.25">
      <c r="A355" s="12"/>
      <c r="B355" s="12"/>
      <c r="C355" s="12"/>
      <c r="D355" s="12"/>
      <c r="E355" s="11"/>
    </row>
    <row r="356" spans="1:5" x14ac:dyDescent="0.25">
      <c r="A356" s="12"/>
      <c r="B356" s="12"/>
      <c r="C356" s="12"/>
      <c r="D356" s="12"/>
      <c r="E356" s="11"/>
    </row>
    <row r="357" spans="1:5" x14ac:dyDescent="0.25">
      <c r="A357" s="12"/>
      <c r="B357" s="12"/>
      <c r="C357" s="11"/>
      <c r="D357" s="12"/>
      <c r="E357" s="11"/>
    </row>
    <row r="358" spans="1:5" x14ac:dyDescent="0.25">
      <c r="A358" s="12"/>
      <c r="B358" s="12"/>
      <c r="C358" s="12"/>
      <c r="D358" s="12"/>
      <c r="E358" s="11"/>
    </row>
    <row r="359" spans="1:5" x14ac:dyDescent="0.25">
      <c r="A359" s="12"/>
      <c r="B359" s="12"/>
      <c r="C359" s="12"/>
      <c r="D359" s="12"/>
      <c r="E359" s="11"/>
    </row>
    <row r="360" spans="1:5" x14ac:dyDescent="0.25">
      <c r="A360" s="12"/>
      <c r="B360" s="12"/>
      <c r="C360" s="12"/>
      <c r="D360" s="12"/>
      <c r="E360" s="11"/>
    </row>
    <row r="361" spans="1:5" x14ac:dyDescent="0.25">
      <c r="A361" s="12"/>
      <c r="B361" s="12"/>
      <c r="C361" s="12"/>
      <c r="D361" s="12"/>
      <c r="E361" s="11"/>
    </row>
    <row r="362" spans="1:5" x14ac:dyDescent="0.25">
      <c r="A362" s="12"/>
      <c r="B362" s="12"/>
      <c r="C362" s="12"/>
      <c r="D362" s="12"/>
      <c r="E362" s="11"/>
    </row>
    <row r="363" spans="1:5" x14ac:dyDescent="0.25">
      <c r="A363" s="12"/>
      <c r="B363" s="12"/>
      <c r="C363" s="12"/>
      <c r="D363" s="12"/>
      <c r="E363" s="11"/>
    </row>
    <row r="364" spans="1:5" x14ac:dyDescent="0.25">
      <c r="A364" s="12"/>
      <c r="B364" s="12"/>
      <c r="C364" s="12"/>
      <c r="D364" s="12"/>
      <c r="E364" s="11"/>
    </row>
    <row r="365" spans="1:5" x14ac:dyDescent="0.25">
      <c r="A365" s="11"/>
      <c r="B365" s="11"/>
      <c r="C365" s="11"/>
      <c r="D365" s="11"/>
      <c r="E365" s="11"/>
    </row>
    <row r="366" spans="1:5" x14ac:dyDescent="0.25">
      <c r="A366" s="12"/>
      <c r="B366" s="12"/>
      <c r="C366" s="12"/>
      <c r="D366" s="12"/>
      <c r="E366" s="11"/>
    </row>
    <row r="367" spans="1:5" x14ac:dyDescent="0.25">
      <c r="A367" s="12"/>
      <c r="B367" s="12"/>
      <c r="C367" s="12"/>
      <c r="D367" s="12"/>
      <c r="E367" s="11"/>
    </row>
    <row r="368" spans="1:5" x14ac:dyDescent="0.25">
      <c r="A368" s="12"/>
      <c r="B368" s="12"/>
      <c r="C368" s="12"/>
      <c r="D368" s="12"/>
      <c r="E368" s="11"/>
    </row>
    <row r="369" spans="1:5" x14ac:dyDescent="0.25">
      <c r="A369" s="12"/>
      <c r="B369" s="12"/>
      <c r="C369" s="12"/>
      <c r="D369" s="12"/>
      <c r="E369" s="11"/>
    </row>
    <row r="370" spans="1:5" x14ac:dyDescent="0.25">
      <c r="A370" s="12"/>
      <c r="B370" s="12"/>
      <c r="C370" s="12"/>
      <c r="D370" s="12"/>
      <c r="E370" s="11"/>
    </row>
    <row r="371" spans="1:5" x14ac:dyDescent="0.25">
      <c r="A371" s="12"/>
      <c r="B371" s="12"/>
      <c r="C371" s="11"/>
      <c r="D371" s="12"/>
      <c r="E371" s="11"/>
    </row>
    <row r="372" spans="1:5" x14ac:dyDescent="0.25">
      <c r="A372" s="12"/>
      <c r="B372" s="12"/>
      <c r="C372" s="12"/>
      <c r="D372" s="12"/>
      <c r="E372" s="11"/>
    </row>
    <row r="373" spans="1:5" x14ac:dyDescent="0.25">
      <c r="A373" s="12"/>
      <c r="B373" s="12"/>
      <c r="C373" s="12"/>
      <c r="D373" s="12"/>
      <c r="E373" s="11"/>
    </row>
    <row r="374" spans="1:5" x14ac:dyDescent="0.25">
      <c r="A374" s="12"/>
      <c r="B374" s="12"/>
      <c r="C374" s="12"/>
      <c r="D374" s="12"/>
      <c r="E374" s="11"/>
    </row>
    <row r="375" spans="1:5" x14ac:dyDescent="0.25">
      <c r="A375" s="12"/>
      <c r="B375" s="12"/>
      <c r="C375" s="12"/>
      <c r="D375" s="12"/>
      <c r="E375" s="11"/>
    </row>
    <row r="376" spans="1:5" x14ac:dyDescent="0.25">
      <c r="A376" s="12"/>
      <c r="B376" s="12"/>
      <c r="C376" s="12"/>
      <c r="D376" s="12"/>
      <c r="E376" s="11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C8ED-0CBF-4CE9-82A8-AAE83822A784}">
  <sheetPr codeName="Лист10"/>
  <dimension ref="A1:D21"/>
  <sheetViews>
    <sheetView workbookViewId="0">
      <selection activeCell="E22" sqref="E22"/>
    </sheetView>
  </sheetViews>
  <sheetFormatPr defaultRowHeight="15" x14ac:dyDescent="0.25"/>
  <cols>
    <col min="1" max="3" width="9.140625" style="1"/>
  </cols>
  <sheetData>
    <row r="1" spans="1:4" x14ac:dyDescent="0.25">
      <c r="A1" s="1" t="s">
        <v>2760</v>
      </c>
      <c r="B1" s="1" t="s">
        <v>2343</v>
      </c>
      <c r="C1" s="1" t="s">
        <v>2761</v>
      </c>
      <c r="D1" s="1" t="s">
        <v>11</v>
      </c>
    </row>
    <row r="2" spans="1:4" x14ac:dyDescent="0.25">
      <c r="A2" s="1" t="s">
        <v>114</v>
      </c>
      <c r="B2" s="1" t="s">
        <v>131</v>
      </c>
      <c r="C2" s="1" t="s">
        <v>22</v>
      </c>
      <c r="D2" t="s">
        <v>2762</v>
      </c>
    </row>
    <row r="3" spans="1:4" x14ac:dyDescent="0.25">
      <c r="A3" s="1" t="s">
        <v>136</v>
      </c>
      <c r="B3" s="1" t="s">
        <v>152</v>
      </c>
      <c r="C3" s="1" t="s">
        <v>22</v>
      </c>
      <c r="D3" t="s">
        <v>2763</v>
      </c>
    </row>
    <row r="4" spans="1:4" x14ac:dyDescent="0.25">
      <c r="A4" s="1" t="s">
        <v>170</v>
      </c>
      <c r="B4" s="1" t="s">
        <v>195</v>
      </c>
      <c r="C4" s="1" t="s">
        <v>22</v>
      </c>
      <c r="D4">
        <v>4</v>
      </c>
    </row>
    <row r="5" spans="1:4" x14ac:dyDescent="0.25">
      <c r="A5" s="1" t="s">
        <v>221</v>
      </c>
      <c r="B5" s="1" t="s">
        <v>258</v>
      </c>
      <c r="C5" s="1" t="s">
        <v>26</v>
      </c>
      <c r="D5" t="s">
        <v>2475</v>
      </c>
    </row>
    <row r="6" spans="1:4" x14ac:dyDescent="0.25">
      <c r="A6" s="1" t="s">
        <v>272</v>
      </c>
      <c r="B6" s="1" t="s">
        <v>298</v>
      </c>
      <c r="C6" s="1" t="s">
        <v>26</v>
      </c>
      <c r="D6" t="s">
        <v>2764</v>
      </c>
    </row>
    <row r="7" spans="1:4" x14ac:dyDescent="0.25">
      <c r="A7" s="1" t="s">
        <v>337</v>
      </c>
      <c r="B7" s="1" t="s">
        <v>358</v>
      </c>
      <c r="C7" s="1" t="s">
        <v>26</v>
      </c>
      <c r="D7" t="s">
        <v>2765</v>
      </c>
    </row>
    <row r="8" spans="1:4" x14ac:dyDescent="0.25">
      <c r="A8" s="1" t="s">
        <v>407</v>
      </c>
      <c r="B8" s="1" t="s">
        <v>428</v>
      </c>
      <c r="C8" s="1" t="s">
        <v>29</v>
      </c>
      <c r="D8" t="s">
        <v>2766</v>
      </c>
    </row>
    <row r="9" spans="1:4" x14ac:dyDescent="0.25">
      <c r="A9" s="1" t="s">
        <v>473</v>
      </c>
      <c r="B9" s="1" t="s">
        <v>498</v>
      </c>
      <c r="C9" s="1" t="s">
        <v>29</v>
      </c>
      <c r="D9" t="s">
        <v>2767</v>
      </c>
    </row>
    <row r="10" spans="1:4" x14ac:dyDescent="0.25">
      <c r="A10" s="1" t="s">
        <v>608</v>
      </c>
      <c r="B10" s="1" t="s">
        <v>656</v>
      </c>
      <c r="C10" s="1" t="s">
        <v>34</v>
      </c>
      <c r="D10" t="s">
        <v>2768</v>
      </c>
    </row>
    <row r="11" spans="1:4" x14ac:dyDescent="0.25">
      <c r="A11" s="1" t="s">
        <v>739</v>
      </c>
      <c r="B11" s="1" t="s">
        <v>800</v>
      </c>
      <c r="C11" s="1" t="s">
        <v>41</v>
      </c>
      <c r="D11" t="s">
        <v>2769</v>
      </c>
    </row>
    <row r="12" spans="1:4" x14ac:dyDescent="0.25">
      <c r="A12" s="1" t="s">
        <v>866</v>
      </c>
      <c r="B12" s="1" t="s">
        <v>931</v>
      </c>
      <c r="C12" s="1" t="s">
        <v>41</v>
      </c>
      <c r="D12" t="s">
        <v>2770</v>
      </c>
    </row>
    <row r="13" spans="1:4" x14ac:dyDescent="0.25">
      <c r="A13" s="1" t="s">
        <v>996</v>
      </c>
      <c r="B13" s="1" t="s">
        <v>1077</v>
      </c>
      <c r="C13" s="1" t="s">
        <v>45</v>
      </c>
      <c r="D13" t="s">
        <v>2771</v>
      </c>
    </row>
    <row r="14" spans="1:4" x14ac:dyDescent="0.25">
      <c r="A14" s="1" t="s">
        <v>1142</v>
      </c>
      <c r="B14" s="1" t="s">
        <v>1221</v>
      </c>
      <c r="C14" s="1" t="s">
        <v>45</v>
      </c>
      <c r="D14" t="s">
        <v>2772</v>
      </c>
    </row>
    <row r="15" spans="1:4" x14ac:dyDescent="0.25">
      <c r="A15" s="1" t="s">
        <v>1428</v>
      </c>
      <c r="B15" s="1" t="s">
        <v>1512</v>
      </c>
      <c r="C15" s="1" t="s">
        <v>45</v>
      </c>
      <c r="D15" t="s">
        <v>2773</v>
      </c>
    </row>
    <row r="16" spans="1:4" x14ac:dyDescent="0.25">
      <c r="A16" s="1" t="s">
        <v>1721</v>
      </c>
      <c r="B16" s="1" t="s">
        <v>1809</v>
      </c>
      <c r="C16" s="1" t="s">
        <v>17</v>
      </c>
      <c r="D16" t="s">
        <v>2774</v>
      </c>
    </row>
    <row r="17" spans="1:4" x14ac:dyDescent="0.25">
      <c r="A17" s="1" t="s">
        <v>2021</v>
      </c>
      <c r="B17" s="1" t="s">
        <v>1969</v>
      </c>
      <c r="C17" s="1" t="s">
        <v>17</v>
      </c>
      <c r="D17" t="s">
        <v>2775</v>
      </c>
    </row>
    <row r="18" spans="1:4" x14ac:dyDescent="0.25">
      <c r="A18" s="1" t="s">
        <v>2322</v>
      </c>
      <c r="B18" s="1" t="s">
        <v>2042</v>
      </c>
      <c r="C18" s="1" t="s">
        <v>17</v>
      </c>
      <c r="D18" t="s">
        <v>2776</v>
      </c>
    </row>
    <row r="19" spans="1:4" x14ac:dyDescent="0.25">
      <c r="A19" s="1" t="s">
        <v>2371</v>
      </c>
      <c r="B19" s="1" t="s">
        <v>2155</v>
      </c>
      <c r="C19" s="1" t="s">
        <v>33</v>
      </c>
      <c r="D19" t="s">
        <v>2777</v>
      </c>
    </row>
    <row r="20" spans="1:4" x14ac:dyDescent="0.25">
      <c r="A20" s="1" t="s">
        <v>2372</v>
      </c>
      <c r="B20" s="1" t="s">
        <v>2269</v>
      </c>
      <c r="C20" s="1" t="s">
        <v>33</v>
      </c>
      <c r="D20" t="s">
        <v>2778</v>
      </c>
    </row>
    <row r="21" spans="1:4" x14ac:dyDescent="0.25">
      <c r="A21" s="1" t="s">
        <v>2758</v>
      </c>
      <c r="B21" s="1" t="s">
        <v>2306</v>
      </c>
      <c r="C21" s="1" t="s">
        <v>58</v>
      </c>
      <c r="D21" t="s">
        <v>2779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08F8-475D-49B7-AF2F-12FF2BE1FCD9}">
  <sheetPr codeName="Лист23"/>
  <dimension ref="A1:D21"/>
  <sheetViews>
    <sheetView workbookViewId="0">
      <selection activeCell="J46" sqref="J46"/>
    </sheetView>
  </sheetViews>
  <sheetFormatPr defaultRowHeight="15" x14ac:dyDescent="0.25"/>
  <cols>
    <col min="1" max="3" width="9.140625" style="1"/>
  </cols>
  <sheetData>
    <row r="1" spans="1:4" ht="15.75" thickBot="1" x14ac:dyDescent="0.3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.5" thickBot="1" x14ac:dyDescent="0.3">
      <c r="A2" s="1" t="s">
        <v>114</v>
      </c>
      <c r="B2" s="1" t="s">
        <v>131</v>
      </c>
      <c r="C2" s="1" t="s">
        <v>22</v>
      </c>
      <c r="D2" s="21">
        <v>2.59</v>
      </c>
    </row>
    <row r="3" spans="1:4" ht="16.5" thickBot="1" x14ac:dyDescent="0.3">
      <c r="A3" s="1" t="s">
        <v>136</v>
      </c>
      <c r="B3" s="1" t="s">
        <v>152</v>
      </c>
      <c r="C3" s="1" t="s">
        <v>22</v>
      </c>
      <c r="D3" s="22">
        <v>3.16</v>
      </c>
    </row>
    <row r="4" spans="1:4" ht="16.5" thickBot="1" x14ac:dyDescent="0.3">
      <c r="A4" s="1" t="s">
        <v>170</v>
      </c>
      <c r="B4" s="1" t="s">
        <v>195</v>
      </c>
      <c r="C4" s="1" t="s">
        <v>22</v>
      </c>
      <c r="D4" s="22">
        <v>4.07</v>
      </c>
    </row>
    <row r="5" spans="1:4" ht="16.5" thickBot="1" x14ac:dyDescent="0.3">
      <c r="A5" s="1" t="s">
        <v>221</v>
      </c>
      <c r="B5" s="1" t="s">
        <v>258</v>
      </c>
      <c r="C5" s="1" t="s">
        <v>22</v>
      </c>
      <c r="D5" s="22">
        <v>5.5</v>
      </c>
    </row>
    <row r="6" spans="1:4" ht="16.5" thickBot="1" x14ac:dyDescent="0.3">
      <c r="A6" s="1" t="s">
        <v>272</v>
      </c>
      <c r="B6" s="1" t="s">
        <v>298</v>
      </c>
      <c r="C6" s="1" t="s">
        <v>22</v>
      </c>
      <c r="D6" s="22">
        <v>6.47</v>
      </c>
    </row>
    <row r="7" spans="1:4" ht="16.5" thickBot="1" x14ac:dyDescent="0.3">
      <c r="A7" s="1" t="s">
        <v>337</v>
      </c>
      <c r="B7" s="1" t="s">
        <v>358</v>
      </c>
      <c r="C7" s="1" t="s">
        <v>22</v>
      </c>
      <c r="D7" s="22">
        <v>7.9</v>
      </c>
    </row>
    <row r="8" spans="1:4" ht="16.5" thickBot="1" x14ac:dyDescent="0.3">
      <c r="A8" s="1" t="s">
        <v>407</v>
      </c>
      <c r="B8" s="1" t="s">
        <v>428</v>
      </c>
      <c r="C8" s="1" t="s">
        <v>26</v>
      </c>
      <c r="D8" s="22">
        <v>9.8000000000000007</v>
      </c>
    </row>
    <row r="9" spans="1:4" ht="16.5" thickBot="1" x14ac:dyDescent="0.3">
      <c r="A9" s="1" t="s">
        <v>473</v>
      </c>
      <c r="B9" s="1" t="s">
        <v>498</v>
      </c>
      <c r="C9" s="1" t="s">
        <v>26</v>
      </c>
      <c r="D9" s="22">
        <v>15.6</v>
      </c>
    </row>
    <row r="10" spans="1:4" ht="16.5" thickBot="1" x14ac:dyDescent="0.3">
      <c r="A10" s="1" t="s">
        <v>608</v>
      </c>
      <c r="B10" s="1" t="s">
        <v>656</v>
      </c>
      <c r="C10" s="1" t="s">
        <v>26</v>
      </c>
      <c r="D10" s="22">
        <v>21.6</v>
      </c>
    </row>
    <row r="11" spans="1:4" ht="16.5" thickBot="1" x14ac:dyDescent="0.3">
      <c r="A11" s="1" t="s">
        <v>739</v>
      </c>
      <c r="B11" s="1" t="s">
        <v>800</v>
      </c>
      <c r="C11" s="1" t="s">
        <v>34</v>
      </c>
      <c r="D11" s="22">
        <v>40.200000000000003</v>
      </c>
    </row>
    <row r="12" spans="1:4" ht="16.5" thickBot="1" x14ac:dyDescent="0.3">
      <c r="A12" s="1" t="s">
        <v>866</v>
      </c>
      <c r="B12" s="1" t="s">
        <v>931</v>
      </c>
      <c r="C12" s="1" t="s">
        <v>34</v>
      </c>
      <c r="D12" s="22">
        <v>47.9</v>
      </c>
    </row>
    <row r="13" spans="1:4" ht="16.5" thickBot="1" x14ac:dyDescent="0.3">
      <c r="A13" s="1" t="s">
        <v>996</v>
      </c>
      <c r="B13" s="1" t="s">
        <v>1077</v>
      </c>
      <c r="C13" s="1" t="s">
        <v>34</v>
      </c>
      <c r="D13" s="21">
        <v>54.8</v>
      </c>
    </row>
    <row r="14" spans="1:4" ht="16.5" thickBot="1" x14ac:dyDescent="0.3">
      <c r="A14" s="1" t="s">
        <v>1142</v>
      </c>
      <c r="B14" s="1" t="s">
        <v>1221</v>
      </c>
      <c r="C14" s="1" t="s">
        <v>34</v>
      </c>
      <c r="D14" s="22">
        <v>62.1</v>
      </c>
    </row>
    <row r="15" spans="1:4" ht="16.5" thickBot="1" x14ac:dyDescent="0.3">
      <c r="A15" s="1" t="s">
        <v>1428</v>
      </c>
      <c r="B15" s="1" t="s">
        <v>1512</v>
      </c>
      <c r="C15" s="1" t="s">
        <v>34</v>
      </c>
      <c r="D15" s="22">
        <v>77.599999999999994</v>
      </c>
    </row>
    <row r="16" spans="1:4" ht="16.5" thickBot="1" x14ac:dyDescent="0.3">
      <c r="A16" s="1" t="s">
        <v>1721</v>
      </c>
      <c r="B16" s="1" t="s">
        <v>1809</v>
      </c>
      <c r="C16" s="1" t="s">
        <v>41</v>
      </c>
      <c r="D16" s="22">
        <v>123.1</v>
      </c>
    </row>
    <row r="17" spans="1:4" ht="16.5" thickBot="1" x14ac:dyDescent="0.3">
      <c r="A17" s="1" t="s">
        <v>2021</v>
      </c>
      <c r="B17" s="1" t="s">
        <v>1969</v>
      </c>
      <c r="C17" s="1" t="s">
        <v>41</v>
      </c>
      <c r="D17" s="22">
        <v>140.9</v>
      </c>
    </row>
    <row r="18" spans="1:4" ht="16.5" thickBot="1" x14ac:dyDescent="0.3">
      <c r="A18" s="1" t="s">
        <v>2322</v>
      </c>
      <c r="B18" s="1" t="s">
        <v>2042</v>
      </c>
      <c r="C18" s="1" t="s">
        <v>41</v>
      </c>
      <c r="D18" s="22">
        <v>160.80000000000001</v>
      </c>
    </row>
    <row r="19" spans="1:4" ht="16.5" thickBot="1" x14ac:dyDescent="0.3">
      <c r="A19" s="1" t="s">
        <v>2371</v>
      </c>
      <c r="B19" s="1" t="s">
        <v>2155</v>
      </c>
      <c r="C19" s="1" t="s">
        <v>17</v>
      </c>
      <c r="D19" s="22">
        <v>250.2</v>
      </c>
    </row>
    <row r="20" spans="1:4" ht="16.5" thickBot="1" x14ac:dyDescent="0.3">
      <c r="A20" s="1" t="s">
        <v>2372</v>
      </c>
      <c r="B20" s="1" t="s">
        <v>2269</v>
      </c>
      <c r="C20" s="1" t="s">
        <v>17</v>
      </c>
      <c r="D20" s="22">
        <v>300</v>
      </c>
    </row>
    <row r="21" spans="1:4" ht="16.5" thickBot="1" x14ac:dyDescent="0.3">
      <c r="A21" s="1" t="s">
        <v>2758</v>
      </c>
      <c r="B21" s="1" t="s">
        <v>2306</v>
      </c>
      <c r="C21" s="1" t="s">
        <v>17</v>
      </c>
      <c r="D21" s="22">
        <v>349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9270-DB81-40A6-804D-B15CB61D8485}">
  <sheetPr codeName="Лист24"/>
  <dimension ref="A1:D21"/>
  <sheetViews>
    <sheetView workbookViewId="0">
      <selection activeCell="G47" sqref="G47"/>
    </sheetView>
  </sheetViews>
  <sheetFormatPr defaultRowHeight="15" x14ac:dyDescent="0.25"/>
  <cols>
    <col min="1" max="3" width="9.140625" style="1"/>
  </cols>
  <sheetData>
    <row r="1" spans="1:4" ht="15.75" thickBot="1" x14ac:dyDescent="0.3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.5" thickBot="1" x14ac:dyDescent="0.3">
      <c r="A2" s="1" t="s">
        <v>29</v>
      </c>
      <c r="B2" s="1" t="s">
        <v>29</v>
      </c>
      <c r="C2" s="1" t="s">
        <v>2403</v>
      </c>
      <c r="D2" s="21">
        <v>4.9000000000000002E-2</v>
      </c>
    </row>
    <row r="3" spans="1:4" ht="16.5" thickBot="1" x14ac:dyDescent="0.3">
      <c r="A3" s="1" t="s">
        <v>34</v>
      </c>
      <c r="B3" s="1" t="s">
        <v>34</v>
      </c>
      <c r="C3" s="1" t="s">
        <v>22</v>
      </c>
      <c r="D3" s="22">
        <v>3.16</v>
      </c>
    </row>
    <row r="4" spans="1:4" ht="16.5" thickBot="1" x14ac:dyDescent="0.3">
      <c r="A4" s="1" t="s">
        <v>37</v>
      </c>
      <c r="B4" s="1" t="s">
        <v>37</v>
      </c>
      <c r="C4" s="1" t="s">
        <v>22</v>
      </c>
      <c r="D4" s="22">
        <v>4.07</v>
      </c>
    </row>
    <row r="5" spans="1:4" ht="16.5" thickBot="1" x14ac:dyDescent="0.3">
      <c r="A5" s="1" t="s">
        <v>41</v>
      </c>
      <c r="B5" s="1" t="s">
        <v>41</v>
      </c>
      <c r="C5" s="1" t="s">
        <v>22</v>
      </c>
      <c r="D5" s="22">
        <v>5.5</v>
      </c>
    </row>
    <row r="6" spans="1:4" ht="16.5" thickBot="1" x14ac:dyDescent="0.3">
      <c r="A6" s="1" t="s">
        <v>45</v>
      </c>
      <c r="B6" s="1" t="s">
        <v>45</v>
      </c>
      <c r="C6" s="1" t="s">
        <v>22</v>
      </c>
      <c r="D6" s="22">
        <v>6.47</v>
      </c>
    </row>
    <row r="7" spans="1:4" ht="16.5" thickBot="1" x14ac:dyDescent="0.3">
      <c r="A7" s="1" t="s">
        <v>17</v>
      </c>
      <c r="B7" s="1" t="s">
        <v>17</v>
      </c>
      <c r="C7" s="1" t="s">
        <v>22</v>
      </c>
      <c r="D7" s="22">
        <v>7.9</v>
      </c>
    </row>
    <row r="8" spans="1:4" ht="16.5" thickBot="1" x14ac:dyDescent="0.3">
      <c r="A8" s="1" t="s">
        <v>51</v>
      </c>
      <c r="B8" s="1" t="s">
        <v>51</v>
      </c>
      <c r="C8" s="1" t="s">
        <v>26</v>
      </c>
      <c r="D8" s="22">
        <v>9.8000000000000007</v>
      </c>
    </row>
    <row r="9" spans="1:4" ht="16.5" thickBot="1" x14ac:dyDescent="0.3">
      <c r="A9" s="1" t="s">
        <v>33</v>
      </c>
      <c r="B9" s="1" t="s">
        <v>33</v>
      </c>
      <c r="C9" s="1" t="s">
        <v>26</v>
      </c>
      <c r="D9" s="22">
        <v>15.6</v>
      </c>
    </row>
    <row r="10" spans="1:4" ht="16.5" thickBot="1" x14ac:dyDescent="0.3">
      <c r="A10" s="1" t="s">
        <v>50</v>
      </c>
      <c r="B10" s="1" t="s">
        <v>50</v>
      </c>
      <c r="C10" s="1" t="s">
        <v>26</v>
      </c>
      <c r="D10" s="22">
        <v>21.6</v>
      </c>
    </row>
    <row r="11" spans="1:4" ht="16.5" thickBot="1" x14ac:dyDescent="0.3">
      <c r="A11" s="1" t="s">
        <v>58</v>
      </c>
      <c r="B11" s="1" t="s">
        <v>58</v>
      </c>
      <c r="C11" s="1" t="s">
        <v>34</v>
      </c>
      <c r="D11" s="22">
        <v>40.200000000000003</v>
      </c>
    </row>
    <row r="12" spans="1:4" ht="16.5" thickBot="1" x14ac:dyDescent="0.3">
      <c r="A12" s="1" t="s">
        <v>61</v>
      </c>
      <c r="B12" s="1" t="s">
        <v>61</v>
      </c>
      <c r="C12" s="1" t="s">
        <v>34</v>
      </c>
      <c r="D12" s="22">
        <v>47.9</v>
      </c>
    </row>
    <row r="13" spans="1:4" ht="16.5" thickBot="1" x14ac:dyDescent="0.3">
      <c r="A13" s="1" t="s">
        <v>65</v>
      </c>
      <c r="B13" s="1" t="s">
        <v>65</v>
      </c>
      <c r="C13" s="1" t="s">
        <v>34</v>
      </c>
      <c r="D13" s="21">
        <v>54.8</v>
      </c>
    </row>
    <row r="14" spans="1:4" ht="16.5" thickBot="1" x14ac:dyDescent="0.3">
      <c r="A14" s="1" t="s">
        <v>68</v>
      </c>
      <c r="B14" s="1" t="s">
        <v>68</v>
      </c>
      <c r="C14" s="1" t="s">
        <v>34</v>
      </c>
      <c r="D14" s="22">
        <v>62.1</v>
      </c>
    </row>
    <row r="15" spans="1:4" ht="16.5" thickBot="1" x14ac:dyDescent="0.3">
      <c r="A15" s="1" t="s">
        <v>71</v>
      </c>
      <c r="B15" s="1" t="s">
        <v>71</v>
      </c>
      <c r="C15" s="1" t="s">
        <v>34</v>
      </c>
      <c r="D15" s="22">
        <v>77.599999999999994</v>
      </c>
    </row>
    <row r="16" spans="1:4" ht="16.5" thickBot="1" x14ac:dyDescent="0.3">
      <c r="A16" s="1" t="s">
        <v>74</v>
      </c>
      <c r="B16" s="1" t="s">
        <v>74</v>
      </c>
      <c r="C16" s="1" t="s">
        <v>41</v>
      </c>
      <c r="D16" s="22">
        <v>123.1</v>
      </c>
    </row>
    <row r="17" spans="1:4" ht="16.5" thickBot="1" x14ac:dyDescent="0.3">
      <c r="A17" s="1" t="s">
        <v>78</v>
      </c>
      <c r="B17" s="1" t="s">
        <v>78</v>
      </c>
      <c r="C17" s="1" t="s">
        <v>41</v>
      </c>
      <c r="D17" s="22">
        <v>140.9</v>
      </c>
    </row>
    <row r="18" spans="1:4" ht="16.5" thickBot="1" x14ac:dyDescent="0.3">
      <c r="D18" s="22"/>
    </row>
    <row r="19" spans="1:4" ht="16.5" thickBot="1" x14ac:dyDescent="0.3">
      <c r="D19" s="22"/>
    </row>
    <row r="20" spans="1:4" ht="16.5" thickBot="1" x14ac:dyDescent="0.3">
      <c r="D20" s="22"/>
    </row>
    <row r="21" spans="1:4" ht="16.5" thickBot="1" x14ac:dyDescent="0.3">
      <c r="D21" s="2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86A5-C4D1-46E4-80D5-621C76E28E26}">
  <sheetPr codeName="Лист13"/>
  <dimension ref="A1:M16"/>
  <sheetViews>
    <sheetView workbookViewId="0">
      <selection activeCell="G50" sqref="G50"/>
    </sheetView>
  </sheetViews>
  <sheetFormatPr defaultRowHeight="15" x14ac:dyDescent="0.25"/>
  <cols>
    <col min="1" max="3" width="9.140625" style="1"/>
  </cols>
  <sheetData>
    <row r="1" spans="1:13" x14ac:dyDescent="0.25">
      <c r="A1" s="1" t="s">
        <v>2760</v>
      </c>
      <c r="B1" s="1" t="s">
        <v>2343</v>
      </c>
      <c r="C1" s="1" t="s">
        <v>2761</v>
      </c>
      <c r="D1" s="1" t="s">
        <v>11</v>
      </c>
    </row>
    <row r="2" spans="1:13" x14ac:dyDescent="0.25">
      <c r="A2" s="11">
        <v>6</v>
      </c>
      <c r="B2" s="11">
        <v>10.199999999999999</v>
      </c>
      <c r="C2" s="11">
        <v>2</v>
      </c>
      <c r="D2" s="11">
        <v>0.4</v>
      </c>
      <c r="F2" s="11"/>
      <c r="G2" s="11"/>
      <c r="H2" s="11"/>
      <c r="I2" s="11"/>
      <c r="J2" s="11"/>
      <c r="K2" s="11"/>
      <c r="L2" s="11"/>
      <c r="M2" s="11"/>
    </row>
    <row r="3" spans="1:13" x14ac:dyDescent="0.25">
      <c r="A3" s="11">
        <v>8</v>
      </c>
      <c r="B3" s="11">
        <v>13.5</v>
      </c>
      <c r="C3" s="11">
        <v>2.2000000000000002</v>
      </c>
      <c r="D3" s="11">
        <v>0.61</v>
      </c>
      <c r="F3" s="11"/>
      <c r="G3" s="11"/>
      <c r="H3" s="11"/>
      <c r="I3" s="11"/>
      <c r="J3" s="11"/>
      <c r="K3" s="11"/>
      <c r="L3" s="11"/>
      <c r="M3" s="11"/>
    </row>
    <row r="4" spans="1:13" x14ac:dyDescent="0.25">
      <c r="A4" s="11">
        <v>10</v>
      </c>
      <c r="B4" s="11">
        <v>17</v>
      </c>
      <c r="C4" s="11">
        <v>2.2000000000000002</v>
      </c>
      <c r="D4" s="11">
        <v>0.8</v>
      </c>
      <c r="F4" s="11"/>
      <c r="G4" s="11"/>
      <c r="H4" s="11"/>
      <c r="I4" s="11"/>
      <c r="J4" s="11"/>
      <c r="K4" s="11"/>
      <c r="L4" s="11"/>
      <c r="M4" s="11"/>
    </row>
    <row r="5" spans="1:13" x14ac:dyDescent="0.25">
      <c r="A5" s="11">
        <v>15</v>
      </c>
      <c r="B5" s="11">
        <v>21.3</v>
      </c>
      <c r="C5" s="11">
        <v>2.8</v>
      </c>
      <c r="D5" s="11">
        <v>1.28</v>
      </c>
      <c r="F5" s="11"/>
      <c r="G5" s="11"/>
      <c r="H5" s="11"/>
      <c r="I5" s="11"/>
      <c r="J5" s="11"/>
      <c r="K5" s="11"/>
      <c r="L5" s="11"/>
      <c r="M5" s="11"/>
    </row>
    <row r="6" spans="1:13" x14ac:dyDescent="0.25">
      <c r="A6" s="11">
        <v>20</v>
      </c>
      <c r="B6" s="11">
        <v>26.8</v>
      </c>
      <c r="C6" s="11">
        <v>2.8</v>
      </c>
      <c r="D6" s="11">
        <v>1.66</v>
      </c>
      <c r="F6" s="11"/>
      <c r="G6" s="11"/>
      <c r="H6" s="11"/>
      <c r="I6" s="11"/>
      <c r="J6" s="11"/>
      <c r="K6" s="11"/>
      <c r="L6" s="11"/>
      <c r="M6" s="11"/>
    </row>
    <row r="7" spans="1:13" x14ac:dyDescent="0.25">
      <c r="A7" s="11">
        <v>25</v>
      </c>
      <c r="B7" s="11">
        <v>33.5</v>
      </c>
      <c r="C7" s="11">
        <v>3.2</v>
      </c>
      <c r="D7" s="11">
        <v>2.39</v>
      </c>
      <c r="F7" s="11"/>
      <c r="G7" s="11"/>
      <c r="H7" s="11"/>
      <c r="I7" s="11"/>
      <c r="J7" s="11"/>
      <c r="K7" s="11"/>
      <c r="L7" s="11"/>
      <c r="M7" s="11"/>
    </row>
    <row r="8" spans="1:13" x14ac:dyDescent="0.25">
      <c r="A8" s="11">
        <v>32</v>
      </c>
      <c r="B8" s="11">
        <v>42.3</v>
      </c>
      <c r="C8" s="11">
        <v>3.2</v>
      </c>
      <c r="D8" s="11">
        <v>3.09</v>
      </c>
      <c r="F8" s="11"/>
      <c r="G8" s="11"/>
      <c r="H8" s="11"/>
      <c r="I8" s="11"/>
      <c r="J8" s="11"/>
      <c r="K8" s="11"/>
      <c r="L8" s="11"/>
      <c r="M8" s="11"/>
    </row>
    <row r="9" spans="1:13" x14ac:dyDescent="0.25">
      <c r="A9" s="11">
        <v>40</v>
      </c>
      <c r="B9" s="11">
        <v>48</v>
      </c>
      <c r="C9" s="11">
        <v>3.5</v>
      </c>
      <c r="D9" s="11">
        <v>3.84</v>
      </c>
      <c r="F9" s="11"/>
      <c r="G9" s="11"/>
      <c r="H9" s="11"/>
      <c r="I9" s="11"/>
      <c r="J9" s="11"/>
      <c r="K9" s="11"/>
      <c r="L9" s="11"/>
      <c r="M9" s="11"/>
    </row>
    <row r="10" spans="1:13" x14ac:dyDescent="0.25">
      <c r="A10" s="11">
        <v>50</v>
      </c>
      <c r="B10" s="11">
        <v>60</v>
      </c>
      <c r="C10" s="11">
        <v>3.5</v>
      </c>
      <c r="D10" s="11">
        <v>4.88</v>
      </c>
      <c r="F10" s="11"/>
      <c r="G10" s="11"/>
      <c r="H10" s="11"/>
      <c r="I10" s="11"/>
      <c r="J10" s="11"/>
      <c r="K10" s="11"/>
      <c r="L10" s="11"/>
      <c r="M10" s="11"/>
    </row>
    <row r="11" spans="1:13" x14ac:dyDescent="0.25">
      <c r="A11" s="11">
        <v>65</v>
      </c>
      <c r="B11" s="11">
        <v>75.5</v>
      </c>
      <c r="C11" s="11">
        <v>4</v>
      </c>
      <c r="D11" s="11">
        <v>7.05</v>
      </c>
      <c r="F11" s="11"/>
      <c r="G11" s="11"/>
      <c r="H11" s="11"/>
      <c r="I11" s="11"/>
      <c r="J11" s="11"/>
      <c r="K11" s="11"/>
      <c r="L11" s="11"/>
      <c r="M11" s="11"/>
    </row>
    <row r="12" spans="1:13" x14ac:dyDescent="0.25">
      <c r="A12" s="11">
        <v>80</v>
      </c>
      <c r="B12" s="11">
        <v>88.5</v>
      </c>
      <c r="C12" s="11">
        <v>4</v>
      </c>
      <c r="D12" s="11">
        <v>8.34</v>
      </c>
      <c r="F12" s="11"/>
      <c r="G12" s="11"/>
      <c r="H12" s="11"/>
      <c r="I12" s="11"/>
      <c r="J12" s="11"/>
      <c r="K12" s="11"/>
      <c r="L12" s="11"/>
      <c r="M12" s="11"/>
    </row>
    <row r="13" spans="1:13" x14ac:dyDescent="0.25">
      <c r="A13" s="11">
        <v>90</v>
      </c>
      <c r="B13" s="11">
        <v>101.3</v>
      </c>
      <c r="C13" s="11">
        <v>4</v>
      </c>
      <c r="D13" s="11">
        <v>9.6</v>
      </c>
      <c r="F13" s="11"/>
      <c r="G13" s="11"/>
      <c r="H13" s="11"/>
      <c r="I13" s="11"/>
      <c r="J13" s="11"/>
      <c r="K13" s="11"/>
      <c r="L13" s="11"/>
      <c r="M13" s="11"/>
    </row>
    <row r="14" spans="1:13" x14ac:dyDescent="0.25">
      <c r="A14" s="11">
        <v>100</v>
      </c>
      <c r="B14" s="11">
        <v>114</v>
      </c>
      <c r="C14" s="11">
        <v>4.5</v>
      </c>
      <c r="D14" s="11">
        <v>12.15</v>
      </c>
      <c r="F14" s="11"/>
      <c r="G14" s="11"/>
      <c r="H14" s="11"/>
      <c r="I14" s="11"/>
      <c r="J14" s="11"/>
      <c r="K14" s="11"/>
      <c r="L14" s="11"/>
      <c r="M14" s="11"/>
    </row>
    <row r="15" spans="1:13" x14ac:dyDescent="0.25">
      <c r="A15" s="11">
        <v>125</v>
      </c>
      <c r="B15" s="11">
        <v>140</v>
      </c>
      <c r="C15" s="11">
        <v>4.5</v>
      </c>
      <c r="D15" s="11">
        <v>15.04</v>
      </c>
      <c r="F15" s="11"/>
      <c r="G15" s="11"/>
      <c r="H15" s="11"/>
      <c r="I15" s="11"/>
      <c r="J15" s="11"/>
      <c r="K15" s="11"/>
      <c r="L15" s="11"/>
      <c r="M15" s="11"/>
    </row>
    <row r="16" spans="1:13" x14ac:dyDescent="0.25">
      <c r="A16" s="11">
        <v>150</v>
      </c>
      <c r="B16" s="11">
        <v>165</v>
      </c>
      <c r="C16" s="11">
        <v>4.5</v>
      </c>
      <c r="D16" s="11">
        <v>17.809999999999999</v>
      </c>
      <c r="F16" s="11"/>
      <c r="G16" s="11"/>
      <c r="H16" s="11"/>
      <c r="I16" s="11"/>
      <c r="J16" s="11"/>
      <c r="K16" s="11"/>
      <c r="L16" s="11"/>
      <c r="M16" s="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F52"/>
  <sheetViews>
    <sheetView workbookViewId="0">
      <selection activeCell="R45" sqref="R45"/>
    </sheetView>
  </sheetViews>
  <sheetFormatPr defaultRowHeight="15" x14ac:dyDescent="0.25"/>
  <cols>
    <col min="1" max="5" width="9.140625" style="1"/>
  </cols>
  <sheetData>
    <row r="1" spans="1:6" x14ac:dyDescent="0.2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25">
      <c r="A2" s="1" t="s">
        <v>136</v>
      </c>
      <c r="B2" s="1" t="s">
        <v>170</v>
      </c>
      <c r="C2" s="1" t="s">
        <v>22</v>
      </c>
      <c r="D2">
        <v>0.45600000000000002</v>
      </c>
      <c r="E2" s="1" t="s">
        <v>17</v>
      </c>
      <c r="F2" s="1" t="s">
        <v>3255</v>
      </c>
    </row>
    <row r="3" spans="1:6" x14ac:dyDescent="0.25">
      <c r="A3" s="1" t="s">
        <v>170</v>
      </c>
      <c r="B3" s="1" t="s">
        <v>214</v>
      </c>
      <c r="C3" s="1" t="s">
        <v>2462</v>
      </c>
      <c r="D3">
        <v>0.72399999999999998</v>
      </c>
      <c r="E3" s="1" t="s">
        <v>17</v>
      </c>
      <c r="F3" s="1" t="s">
        <v>3255</v>
      </c>
    </row>
    <row r="4" spans="1:6" x14ac:dyDescent="0.25">
      <c r="A4" s="1" t="s">
        <v>221</v>
      </c>
      <c r="B4" s="1" t="s">
        <v>255</v>
      </c>
      <c r="C4" s="1" t="s">
        <v>2410</v>
      </c>
      <c r="D4">
        <v>1.02</v>
      </c>
      <c r="E4" s="1" t="s">
        <v>17</v>
      </c>
      <c r="F4" s="1" t="s">
        <v>3255</v>
      </c>
    </row>
    <row r="5" spans="1:6" x14ac:dyDescent="0.25">
      <c r="A5" s="1" t="s">
        <v>272</v>
      </c>
      <c r="B5" s="1" t="s">
        <v>302</v>
      </c>
      <c r="C5" s="1" t="s">
        <v>2469</v>
      </c>
      <c r="D5">
        <v>1.48</v>
      </c>
      <c r="E5" s="1" t="s">
        <v>17</v>
      </c>
      <c r="F5" s="1" t="s">
        <v>3255</v>
      </c>
    </row>
    <row r="6" spans="1:6" x14ac:dyDescent="0.25">
      <c r="A6" s="1" t="s">
        <v>337</v>
      </c>
      <c r="B6" s="1" t="s">
        <v>364</v>
      </c>
      <c r="C6" s="1" t="s">
        <v>2420</v>
      </c>
      <c r="D6">
        <v>2.19</v>
      </c>
      <c r="E6" s="1" t="s">
        <v>17</v>
      </c>
      <c r="F6" s="1" t="s">
        <v>3255</v>
      </c>
    </row>
    <row r="7" spans="1:6" x14ac:dyDescent="0.25">
      <c r="A7" s="1" t="s">
        <v>337</v>
      </c>
      <c r="B7" s="1" t="s">
        <v>407</v>
      </c>
      <c r="C7" s="1" t="s">
        <v>2466</v>
      </c>
      <c r="D7">
        <v>2.81</v>
      </c>
      <c r="E7" s="1" t="s">
        <v>17</v>
      </c>
      <c r="F7" s="1" t="s">
        <v>3255</v>
      </c>
    </row>
    <row r="8" spans="1:6" x14ac:dyDescent="0.25">
      <c r="A8" s="1" t="s">
        <v>407</v>
      </c>
      <c r="B8" s="1" t="s">
        <v>447</v>
      </c>
      <c r="C8" s="1" t="s">
        <v>2488</v>
      </c>
      <c r="D8">
        <v>3.52</v>
      </c>
      <c r="E8" s="1" t="s">
        <v>17</v>
      </c>
      <c r="F8" s="1" t="s">
        <v>3255</v>
      </c>
    </row>
    <row r="9" spans="1:6" x14ac:dyDescent="0.25">
      <c r="A9" s="1" t="s">
        <v>473</v>
      </c>
      <c r="B9" s="1" t="s">
        <v>501</v>
      </c>
      <c r="C9" s="1" t="s">
        <v>3258</v>
      </c>
      <c r="D9">
        <v>4.5999999999999996</v>
      </c>
      <c r="E9" s="1" t="s">
        <v>17</v>
      </c>
      <c r="F9" s="1" t="s">
        <v>3255</v>
      </c>
    </row>
    <row r="10" spans="1:6" x14ac:dyDescent="0.25">
      <c r="A10" s="1" t="s">
        <v>473</v>
      </c>
      <c r="B10" s="1" t="s">
        <v>555</v>
      </c>
      <c r="C10" s="1" t="s">
        <v>2615</v>
      </c>
      <c r="D10">
        <v>5.83</v>
      </c>
      <c r="E10" s="1" t="s">
        <v>17</v>
      </c>
      <c r="F10" s="1" t="s">
        <v>3255</v>
      </c>
    </row>
    <row r="11" spans="1:6" x14ac:dyDescent="0.25">
      <c r="A11" s="1" t="s">
        <v>608</v>
      </c>
      <c r="B11" s="1" t="s">
        <v>608</v>
      </c>
      <c r="C11" s="1" t="s">
        <v>3236</v>
      </c>
      <c r="D11">
        <v>7.18</v>
      </c>
      <c r="E11" s="1" t="s">
        <v>17</v>
      </c>
      <c r="F11" s="1" t="s">
        <v>3255</v>
      </c>
    </row>
    <row r="12" spans="1:6" x14ac:dyDescent="0.25">
      <c r="A12" s="1" t="s">
        <v>608</v>
      </c>
      <c r="B12" s="1" t="s">
        <v>673</v>
      </c>
      <c r="C12" s="1" t="s">
        <v>2671</v>
      </c>
      <c r="D12">
        <v>9.1199999999999992</v>
      </c>
      <c r="E12" s="1" t="s">
        <v>17</v>
      </c>
      <c r="F12" s="1" t="s">
        <v>3255</v>
      </c>
    </row>
    <row r="13" spans="1:6" x14ac:dyDescent="0.25">
      <c r="A13" s="1" t="s">
        <v>739</v>
      </c>
      <c r="B13" s="1" t="s">
        <v>739</v>
      </c>
      <c r="C13" s="1" t="s">
        <v>2672</v>
      </c>
      <c r="D13">
        <v>11.2</v>
      </c>
      <c r="E13" s="1" t="s">
        <v>17</v>
      </c>
      <c r="F13" s="1" t="s">
        <v>3255</v>
      </c>
    </row>
    <row r="14" spans="1:6" x14ac:dyDescent="0.25">
      <c r="A14" s="1" t="s">
        <v>739</v>
      </c>
      <c r="B14" s="1" t="s">
        <v>818</v>
      </c>
      <c r="C14" s="1" t="s">
        <v>3259</v>
      </c>
      <c r="D14">
        <v>14</v>
      </c>
      <c r="E14" s="1" t="s">
        <v>17</v>
      </c>
      <c r="F14" s="1" t="s">
        <v>3255</v>
      </c>
    </row>
    <row r="15" spans="1:6" x14ac:dyDescent="0.25">
      <c r="A15" s="1" t="s">
        <v>866</v>
      </c>
      <c r="B15" s="1" t="s">
        <v>907</v>
      </c>
      <c r="C15" s="1" t="s">
        <v>3260</v>
      </c>
      <c r="D15">
        <v>17.8</v>
      </c>
      <c r="E15" s="1" t="s">
        <v>17</v>
      </c>
      <c r="F15" s="1" t="s">
        <v>3255</v>
      </c>
    </row>
    <row r="16" spans="1:6" x14ac:dyDescent="0.25">
      <c r="A16" s="1" t="s">
        <v>996</v>
      </c>
      <c r="B16" s="1" t="s">
        <v>1009</v>
      </c>
      <c r="C16" s="1" t="s">
        <v>3211</v>
      </c>
      <c r="D16">
        <v>22.6</v>
      </c>
      <c r="E16" s="1" t="s">
        <v>17</v>
      </c>
      <c r="F16" s="1" t="s">
        <v>3255</v>
      </c>
    </row>
    <row r="17" spans="1:6" x14ac:dyDescent="0.25">
      <c r="A17" s="1" t="s">
        <v>1142</v>
      </c>
      <c r="B17" s="1" t="s">
        <v>1142</v>
      </c>
      <c r="C17" s="1" t="s">
        <v>2703</v>
      </c>
      <c r="D17">
        <v>28.6</v>
      </c>
      <c r="E17" s="1" t="s">
        <v>17</v>
      </c>
      <c r="F17" s="1" t="s">
        <v>3255</v>
      </c>
    </row>
    <row r="18" spans="1:6" x14ac:dyDescent="0.25">
      <c r="A18" s="1" t="s">
        <v>1428</v>
      </c>
      <c r="B18" s="1" t="s">
        <v>1288</v>
      </c>
      <c r="C18" s="1" t="s">
        <v>3245</v>
      </c>
      <c r="D18">
        <v>36.299999999999997</v>
      </c>
      <c r="E18" s="1" t="s">
        <v>17</v>
      </c>
      <c r="F18" s="1" t="s">
        <v>3255</v>
      </c>
    </row>
    <row r="19" spans="1:6" x14ac:dyDescent="0.25">
      <c r="A19" s="1" t="s">
        <v>1428</v>
      </c>
      <c r="B19" s="1" t="s">
        <v>1428</v>
      </c>
      <c r="C19" s="1" t="s">
        <v>2815</v>
      </c>
      <c r="D19" s="1" t="s">
        <v>3267</v>
      </c>
      <c r="E19" s="1" t="s">
        <v>17</v>
      </c>
      <c r="F19" s="1" t="s">
        <v>3255</v>
      </c>
    </row>
    <row r="20" spans="1:6" x14ac:dyDescent="0.25">
      <c r="A20" s="1" t="s">
        <v>1721</v>
      </c>
      <c r="B20" s="1" t="s">
        <v>1600</v>
      </c>
      <c r="C20" s="1" t="s">
        <v>3261</v>
      </c>
      <c r="D20">
        <v>56.1</v>
      </c>
      <c r="E20" s="1" t="s">
        <v>17</v>
      </c>
      <c r="F20" s="1" t="s">
        <v>3255</v>
      </c>
    </row>
    <row r="21" spans="1:6" x14ac:dyDescent="0.25">
      <c r="A21" s="1" t="s">
        <v>1721</v>
      </c>
      <c r="B21" s="1" t="s">
        <v>1809</v>
      </c>
      <c r="C21" s="1" t="s">
        <v>3262</v>
      </c>
      <c r="D21">
        <v>71.2</v>
      </c>
      <c r="E21" s="1" t="s">
        <v>17</v>
      </c>
      <c r="F21" s="1" t="s">
        <v>3255</v>
      </c>
    </row>
    <row r="22" spans="1:6" x14ac:dyDescent="0.25">
      <c r="A22" s="1" t="s">
        <v>2021</v>
      </c>
      <c r="B22" s="1" t="s">
        <v>2051</v>
      </c>
      <c r="C22" s="1" t="s">
        <v>3263</v>
      </c>
      <c r="D22">
        <v>90.3</v>
      </c>
      <c r="E22" s="1" t="s">
        <v>17</v>
      </c>
      <c r="F22" s="1" t="s">
        <v>3255</v>
      </c>
    </row>
    <row r="23" spans="1:6" x14ac:dyDescent="0.25">
      <c r="A23" s="1" t="s">
        <v>2322</v>
      </c>
      <c r="B23" s="1" t="s">
        <v>2322</v>
      </c>
      <c r="C23" s="1" t="s">
        <v>3264</v>
      </c>
      <c r="D23">
        <v>114.5</v>
      </c>
      <c r="E23" s="1" t="s">
        <v>17</v>
      </c>
      <c r="F23" s="1" t="s">
        <v>3255</v>
      </c>
    </row>
    <row r="24" spans="1:6" x14ac:dyDescent="0.25">
      <c r="A24" s="1" t="s">
        <v>3257</v>
      </c>
      <c r="B24" s="1" t="s">
        <v>3257</v>
      </c>
      <c r="C24" s="1" t="s">
        <v>2989</v>
      </c>
      <c r="D24">
        <v>144.69999999999999</v>
      </c>
      <c r="E24" s="1" t="s">
        <v>17</v>
      </c>
      <c r="F24" s="1" t="s">
        <v>3255</v>
      </c>
    </row>
    <row r="25" spans="1:6" x14ac:dyDescent="0.25">
      <c r="A25" s="1" t="s">
        <v>2371</v>
      </c>
      <c r="B25" s="1" t="s">
        <v>2371</v>
      </c>
      <c r="C25" s="1" t="s">
        <v>3265</v>
      </c>
      <c r="D25">
        <v>178.9</v>
      </c>
      <c r="E25" s="1" t="s">
        <v>17</v>
      </c>
      <c r="F25" s="1" t="s">
        <v>3255</v>
      </c>
    </row>
    <row r="26" spans="1:6" x14ac:dyDescent="0.25">
      <c r="A26" s="1" t="s">
        <v>136</v>
      </c>
      <c r="B26" s="1" t="s">
        <v>170</v>
      </c>
      <c r="C26" s="1" t="s">
        <v>2412</v>
      </c>
      <c r="D26">
        <v>0.45600000000000002</v>
      </c>
      <c r="E26" s="1" t="s">
        <v>2389</v>
      </c>
      <c r="F26" s="1" t="s">
        <v>3256</v>
      </c>
    </row>
    <row r="27" spans="1:6" x14ac:dyDescent="0.25">
      <c r="A27" s="1" t="s">
        <v>170</v>
      </c>
      <c r="B27" s="1" t="s">
        <v>214</v>
      </c>
      <c r="C27" s="1" t="s">
        <v>2459</v>
      </c>
      <c r="D27">
        <v>0.72399999999999998</v>
      </c>
      <c r="E27" s="1" t="s">
        <v>2389</v>
      </c>
      <c r="F27" s="1" t="s">
        <v>3256</v>
      </c>
    </row>
    <row r="28" spans="1:6" x14ac:dyDescent="0.25">
      <c r="A28" s="1" t="s">
        <v>221</v>
      </c>
      <c r="B28" s="1" t="s">
        <v>255</v>
      </c>
      <c r="C28" s="1" t="s">
        <v>2473</v>
      </c>
      <c r="D28">
        <v>1.02</v>
      </c>
      <c r="E28" s="1" t="s">
        <v>2389</v>
      </c>
      <c r="F28" s="1" t="s">
        <v>3256</v>
      </c>
    </row>
    <row r="29" spans="1:6" x14ac:dyDescent="0.25">
      <c r="A29" s="1" t="s">
        <v>272</v>
      </c>
      <c r="B29" s="1" t="s">
        <v>302</v>
      </c>
      <c r="C29" s="1" t="s">
        <v>2470</v>
      </c>
      <c r="D29">
        <v>1.48</v>
      </c>
      <c r="E29" s="1" t="s">
        <v>2389</v>
      </c>
      <c r="F29" s="1" t="s">
        <v>3256</v>
      </c>
    </row>
    <row r="30" spans="1:6" x14ac:dyDescent="0.25">
      <c r="A30" s="1" t="s">
        <v>337</v>
      </c>
      <c r="B30" s="1" t="s">
        <v>364</v>
      </c>
      <c r="C30" s="1" t="s">
        <v>2471</v>
      </c>
      <c r="D30">
        <v>2.19</v>
      </c>
      <c r="E30" s="1" t="s">
        <v>2389</v>
      </c>
      <c r="F30" s="1" t="s">
        <v>3256</v>
      </c>
    </row>
    <row r="31" spans="1:6" x14ac:dyDescent="0.25">
      <c r="A31" s="1" t="s">
        <v>337</v>
      </c>
      <c r="B31" s="1" t="s">
        <v>407</v>
      </c>
      <c r="C31" s="1" t="s">
        <v>3173</v>
      </c>
      <c r="D31">
        <v>2.81</v>
      </c>
      <c r="E31" s="1" t="s">
        <v>2389</v>
      </c>
      <c r="F31" s="1" t="s">
        <v>3256</v>
      </c>
    </row>
    <row r="32" spans="1:6" x14ac:dyDescent="0.25">
      <c r="A32" s="1" t="s">
        <v>407</v>
      </c>
      <c r="B32" s="1" t="s">
        <v>447</v>
      </c>
      <c r="C32" s="1" t="s">
        <v>2665</v>
      </c>
      <c r="D32">
        <v>3.52</v>
      </c>
      <c r="E32" s="1" t="s">
        <v>2389</v>
      </c>
      <c r="F32" s="1" t="s">
        <v>3256</v>
      </c>
    </row>
    <row r="33" spans="1:6" x14ac:dyDescent="0.25">
      <c r="A33" s="1" t="s">
        <v>473</v>
      </c>
      <c r="B33" s="1" t="s">
        <v>501</v>
      </c>
      <c r="C33" s="1" t="s">
        <v>2648</v>
      </c>
      <c r="D33">
        <v>4.5999999999999996</v>
      </c>
      <c r="E33" s="1" t="s">
        <v>2389</v>
      </c>
      <c r="F33" s="1" t="s">
        <v>3256</v>
      </c>
    </row>
    <row r="34" spans="1:6" x14ac:dyDescent="0.25">
      <c r="A34" s="1" t="s">
        <v>473</v>
      </c>
      <c r="B34" s="1" t="s">
        <v>555</v>
      </c>
      <c r="C34" s="1" t="s">
        <v>2642</v>
      </c>
      <c r="D34">
        <v>5.83</v>
      </c>
      <c r="E34" s="1" t="s">
        <v>2389</v>
      </c>
      <c r="F34" s="1" t="s">
        <v>3256</v>
      </c>
    </row>
    <row r="35" spans="1:6" x14ac:dyDescent="0.25">
      <c r="A35" s="1" t="s">
        <v>608</v>
      </c>
      <c r="B35" s="1" t="s">
        <v>608</v>
      </c>
      <c r="C35" s="1" t="s">
        <v>3268</v>
      </c>
      <c r="D35">
        <v>7.18</v>
      </c>
      <c r="E35" s="1" t="s">
        <v>2389</v>
      </c>
      <c r="F35" s="1" t="s">
        <v>3256</v>
      </c>
    </row>
    <row r="36" spans="1:6" x14ac:dyDescent="0.25">
      <c r="A36" s="1" t="s">
        <v>608</v>
      </c>
      <c r="B36" s="1" t="s">
        <v>673</v>
      </c>
      <c r="C36" s="1" t="s">
        <v>3259</v>
      </c>
      <c r="D36">
        <v>9.1199999999999992</v>
      </c>
      <c r="E36" s="1" t="s">
        <v>2389</v>
      </c>
      <c r="F36" s="1" t="s">
        <v>3256</v>
      </c>
    </row>
    <row r="37" spans="1:6" x14ac:dyDescent="0.25">
      <c r="A37" s="1" t="s">
        <v>739</v>
      </c>
      <c r="B37" s="1" t="s">
        <v>739</v>
      </c>
      <c r="C37" s="1" t="s">
        <v>2428</v>
      </c>
      <c r="D37">
        <v>11.2</v>
      </c>
      <c r="E37" s="1" t="s">
        <v>2389</v>
      </c>
      <c r="F37" s="1" t="s">
        <v>3256</v>
      </c>
    </row>
    <row r="38" spans="1:6" x14ac:dyDescent="0.25">
      <c r="A38" s="1" t="s">
        <v>739</v>
      </c>
      <c r="B38" s="1" t="s">
        <v>818</v>
      </c>
      <c r="C38" s="1" t="s">
        <v>2695</v>
      </c>
      <c r="D38">
        <v>14</v>
      </c>
      <c r="E38" s="1" t="s">
        <v>2389</v>
      </c>
      <c r="F38" s="1" t="s">
        <v>3256</v>
      </c>
    </row>
    <row r="39" spans="1:6" x14ac:dyDescent="0.25">
      <c r="A39" s="1" t="s">
        <v>866</v>
      </c>
      <c r="B39" s="1" t="s">
        <v>907</v>
      </c>
      <c r="C39" s="1" t="s">
        <v>3230</v>
      </c>
      <c r="D39">
        <v>17.8</v>
      </c>
      <c r="E39" s="1" t="s">
        <v>2389</v>
      </c>
      <c r="F39" s="1" t="s">
        <v>3256</v>
      </c>
    </row>
    <row r="40" spans="1:6" x14ac:dyDescent="0.25">
      <c r="A40" s="1" t="s">
        <v>996</v>
      </c>
      <c r="B40" s="1" t="s">
        <v>1009</v>
      </c>
      <c r="C40" s="1" t="s">
        <v>3269</v>
      </c>
      <c r="D40">
        <v>22.6</v>
      </c>
      <c r="E40" s="1" t="s">
        <v>2389</v>
      </c>
      <c r="F40" s="1" t="s">
        <v>3256</v>
      </c>
    </row>
    <row r="41" spans="1:6" x14ac:dyDescent="0.25">
      <c r="A41" s="1" t="s">
        <v>1142</v>
      </c>
      <c r="B41" s="1" t="s">
        <v>1142</v>
      </c>
      <c r="C41" s="1" t="s">
        <v>3270</v>
      </c>
      <c r="D41">
        <v>28.6</v>
      </c>
      <c r="E41" s="1" t="s">
        <v>2389</v>
      </c>
      <c r="F41" s="1" t="s">
        <v>3256</v>
      </c>
    </row>
    <row r="42" spans="1:6" x14ac:dyDescent="0.25">
      <c r="A42" s="1" t="s">
        <v>1428</v>
      </c>
      <c r="B42" s="1" t="s">
        <v>1288</v>
      </c>
      <c r="C42" s="1" t="s">
        <v>2685</v>
      </c>
      <c r="D42">
        <v>36.299999999999997</v>
      </c>
      <c r="E42" s="1" t="s">
        <v>2389</v>
      </c>
      <c r="F42" s="1" t="s">
        <v>3256</v>
      </c>
    </row>
    <row r="43" spans="1:6" x14ac:dyDescent="0.25">
      <c r="A43" s="1" t="s">
        <v>1428</v>
      </c>
      <c r="B43" s="1" t="s">
        <v>1428</v>
      </c>
      <c r="C43" s="1" t="s">
        <v>3271</v>
      </c>
      <c r="D43" s="1" t="s">
        <v>3267</v>
      </c>
      <c r="E43" s="1" t="s">
        <v>2389</v>
      </c>
      <c r="F43" s="1" t="s">
        <v>3256</v>
      </c>
    </row>
    <row r="44" spans="1:6" x14ac:dyDescent="0.25">
      <c r="A44" s="1" t="s">
        <v>1721</v>
      </c>
      <c r="B44" s="1" t="s">
        <v>1600</v>
      </c>
      <c r="C44" s="1" t="s">
        <v>3272</v>
      </c>
      <c r="D44">
        <v>56.1</v>
      </c>
      <c r="E44" s="1" t="s">
        <v>2389</v>
      </c>
      <c r="F44" s="1" t="s">
        <v>3256</v>
      </c>
    </row>
    <row r="45" spans="1:6" x14ac:dyDescent="0.25">
      <c r="A45" s="1" t="s">
        <v>1721</v>
      </c>
      <c r="B45" s="1" t="s">
        <v>1809</v>
      </c>
      <c r="C45" s="1" t="s">
        <v>3273</v>
      </c>
      <c r="D45">
        <v>71.2</v>
      </c>
      <c r="E45" s="1" t="s">
        <v>2389</v>
      </c>
      <c r="F45" s="1" t="s">
        <v>3256</v>
      </c>
    </row>
    <row r="46" spans="1:6" x14ac:dyDescent="0.25">
      <c r="A46" s="1" t="s">
        <v>2021</v>
      </c>
      <c r="B46" s="1" t="s">
        <v>2051</v>
      </c>
      <c r="C46" s="1" t="s">
        <v>3274</v>
      </c>
      <c r="D46">
        <v>90.3</v>
      </c>
      <c r="E46" s="1" t="s">
        <v>2389</v>
      </c>
      <c r="F46" s="1" t="s">
        <v>3256</v>
      </c>
    </row>
    <row r="47" spans="1:6" x14ac:dyDescent="0.25">
      <c r="A47" s="1" t="s">
        <v>2322</v>
      </c>
      <c r="B47" s="1" t="s">
        <v>2322</v>
      </c>
      <c r="C47" s="1" t="s">
        <v>3275</v>
      </c>
      <c r="D47">
        <v>114.5</v>
      </c>
      <c r="E47" s="1" t="s">
        <v>2389</v>
      </c>
      <c r="F47" s="1" t="s">
        <v>3256</v>
      </c>
    </row>
    <row r="48" spans="1:6" x14ac:dyDescent="0.25">
      <c r="D48"/>
      <c r="F48" s="1"/>
    </row>
    <row r="49" spans="4:6" x14ac:dyDescent="0.25">
      <c r="D49"/>
      <c r="F49" s="1"/>
    </row>
    <row r="50" spans="4:6" x14ac:dyDescent="0.25">
      <c r="D50"/>
      <c r="F50" s="1"/>
    </row>
    <row r="51" spans="4:6" x14ac:dyDescent="0.25">
      <c r="D51"/>
      <c r="F51" s="1"/>
    </row>
    <row r="52" spans="4:6" x14ac:dyDescent="0.25">
      <c r="D52"/>
      <c r="F52" s="1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4BA4-A934-4421-A423-09E22256CD46}">
  <sheetPr codeName="Лист29"/>
  <dimension ref="A1:I54"/>
  <sheetViews>
    <sheetView workbookViewId="0">
      <selection activeCell="H18" sqref="H18"/>
    </sheetView>
  </sheetViews>
  <sheetFormatPr defaultRowHeight="15" x14ac:dyDescent="0.25"/>
  <cols>
    <col min="1" max="5" width="9.140625" style="1"/>
  </cols>
  <sheetData>
    <row r="1" spans="1:9" x14ac:dyDescent="0.2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9" x14ac:dyDescent="0.25">
      <c r="A2" s="1" t="s">
        <v>78</v>
      </c>
      <c r="B2" s="1" t="s">
        <v>114</v>
      </c>
      <c r="C2" s="1" t="s">
        <v>2449</v>
      </c>
      <c r="D2" s="1" t="s">
        <v>3315</v>
      </c>
      <c r="E2" s="1" t="s">
        <v>17</v>
      </c>
      <c r="F2" s="1" t="s">
        <v>3255</v>
      </c>
      <c r="G2" s="1"/>
    </row>
    <row r="3" spans="1:9" x14ac:dyDescent="0.25">
      <c r="A3" s="1" t="s">
        <v>114</v>
      </c>
      <c r="B3" s="1" t="s">
        <v>136</v>
      </c>
      <c r="C3" s="1" t="s">
        <v>2452</v>
      </c>
      <c r="D3" s="1" t="s">
        <v>3316</v>
      </c>
      <c r="E3" s="1" t="s">
        <v>17</v>
      </c>
      <c r="F3" s="1" t="s">
        <v>3255</v>
      </c>
      <c r="G3" s="1"/>
    </row>
    <row r="4" spans="1:9" x14ac:dyDescent="0.25">
      <c r="A4" s="1" t="s">
        <v>136</v>
      </c>
      <c r="B4" s="1" t="s">
        <v>170</v>
      </c>
      <c r="C4" s="1" t="s">
        <v>22</v>
      </c>
      <c r="D4">
        <v>0.45600000000000002</v>
      </c>
      <c r="E4" s="1" t="s">
        <v>17</v>
      </c>
      <c r="F4" s="1" t="s">
        <v>3255</v>
      </c>
      <c r="G4" s="1"/>
      <c r="H4" s="1"/>
      <c r="I4" s="1"/>
    </row>
    <row r="5" spans="1:9" x14ac:dyDescent="0.25">
      <c r="A5" s="1" t="s">
        <v>170</v>
      </c>
      <c r="B5" s="1" t="s">
        <v>214</v>
      </c>
      <c r="C5" s="1" t="s">
        <v>2462</v>
      </c>
      <c r="D5">
        <v>0.72399999999999998</v>
      </c>
      <c r="E5" s="1" t="s">
        <v>17</v>
      </c>
      <c r="F5" s="1" t="s">
        <v>3255</v>
      </c>
      <c r="G5" s="1"/>
    </row>
    <row r="6" spans="1:9" x14ac:dyDescent="0.25">
      <c r="A6" s="1" t="s">
        <v>221</v>
      </c>
      <c r="B6" s="1" t="s">
        <v>255</v>
      </c>
      <c r="C6" s="1" t="s">
        <v>2410</v>
      </c>
      <c r="D6">
        <v>1.02</v>
      </c>
      <c r="E6" s="1" t="s">
        <v>17</v>
      </c>
      <c r="F6" s="1" t="s">
        <v>3255</v>
      </c>
      <c r="G6" s="1"/>
    </row>
    <row r="7" spans="1:9" x14ac:dyDescent="0.25">
      <c r="A7" s="1" t="s">
        <v>272</v>
      </c>
      <c r="B7" s="1" t="s">
        <v>302</v>
      </c>
      <c r="C7" s="1" t="s">
        <v>2469</v>
      </c>
      <c r="D7">
        <v>1.48</v>
      </c>
      <c r="E7" s="1" t="s">
        <v>17</v>
      </c>
      <c r="F7" s="1" t="s">
        <v>3255</v>
      </c>
      <c r="G7" s="1"/>
    </row>
    <row r="8" spans="1:9" x14ac:dyDescent="0.25">
      <c r="A8" s="1" t="s">
        <v>337</v>
      </c>
      <c r="B8" s="1" t="s">
        <v>364</v>
      </c>
      <c r="C8" s="1" t="s">
        <v>2420</v>
      </c>
      <c r="D8">
        <v>2.19</v>
      </c>
      <c r="E8" s="1" t="s">
        <v>17</v>
      </c>
      <c r="F8" s="1" t="s">
        <v>3255</v>
      </c>
      <c r="G8" s="1"/>
    </row>
    <row r="9" spans="1:9" x14ac:dyDescent="0.25">
      <c r="A9" s="1" t="s">
        <v>337</v>
      </c>
      <c r="B9" s="1" t="s">
        <v>407</v>
      </c>
      <c r="C9" s="1" t="s">
        <v>2466</v>
      </c>
      <c r="D9">
        <v>2.81</v>
      </c>
      <c r="E9" s="1" t="s">
        <v>17</v>
      </c>
      <c r="F9" s="1" t="s">
        <v>3255</v>
      </c>
      <c r="G9" s="1"/>
    </row>
    <row r="10" spans="1:9" x14ac:dyDescent="0.25">
      <c r="A10" s="1" t="s">
        <v>407</v>
      </c>
      <c r="B10" s="1" t="s">
        <v>447</v>
      </c>
      <c r="C10" s="1" t="s">
        <v>2488</v>
      </c>
      <c r="D10">
        <v>3.52</v>
      </c>
      <c r="E10" s="1" t="s">
        <v>17</v>
      </c>
      <c r="F10" s="1" t="s">
        <v>3255</v>
      </c>
      <c r="G10" s="1"/>
    </row>
    <row r="11" spans="1:9" x14ac:dyDescent="0.25">
      <c r="A11" s="1" t="s">
        <v>473</v>
      </c>
      <c r="B11" s="1" t="s">
        <v>501</v>
      </c>
      <c r="C11" s="1" t="s">
        <v>3258</v>
      </c>
      <c r="D11">
        <v>4.5999999999999996</v>
      </c>
      <c r="E11" s="1" t="s">
        <v>17</v>
      </c>
      <c r="F11" s="1" t="s">
        <v>3255</v>
      </c>
      <c r="G11" s="1"/>
    </row>
    <row r="12" spans="1:9" x14ac:dyDescent="0.25">
      <c r="A12" s="1" t="s">
        <v>473</v>
      </c>
      <c r="B12" s="1" t="s">
        <v>555</v>
      </c>
      <c r="C12" s="1" t="s">
        <v>2615</v>
      </c>
      <c r="D12">
        <v>5.83</v>
      </c>
      <c r="E12" s="1" t="s">
        <v>17</v>
      </c>
      <c r="F12" s="1" t="s">
        <v>3255</v>
      </c>
      <c r="G12" s="1"/>
    </row>
    <row r="13" spans="1:9" x14ac:dyDescent="0.25">
      <c r="A13" s="1" t="s">
        <v>608</v>
      </c>
      <c r="B13" s="1" t="s">
        <v>608</v>
      </c>
      <c r="C13" s="1" t="s">
        <v>3236</v>
      </c>
      <c r="D13">
        <v>7.18</v>
      </c>
      <c r="E13" s="1" t="s">
        <v>17</v>
      </c>
      <c r="F13" s="1" t="s">
        <v>3255</v>
      </c>
      <c r="G13" s="1"/>
    </row>
    <row r="14" spans="1:9" x14ac:dyDescent="0.25">
      <c r="A14" s="1" t="s">
        <v>608</v>
      </c>
      <c r="B14" s="1" t="s">
        <v>673</v>
      </c>
      <c r="C14" s="1" t="s">
        <v>2671</v>
      </c>
      <c r="D14">
        <v>9.1199999999999992</v>
      </c>
      <c r="E14" s="1" t="s">
        <v>17</v>
      </c>
      <c r="F14" s="1" t="s">
        <v>3255</v>
      </c>
      <c r="G14" s="1"/>
    </row>
    <row r="15" spans="1:9" x14ac:dyDescent="0.25">
      <c r="A15" s="1" t="s">
        <v>739</v>
      </c>
      <c r="B15" s="1" t="s">
        <v>739</v>
      </c>
      <c r="C15" s="1" t="s">
        <v>2672</v>
      </c>
      <c r="D15">
        <v>11.2</v>
      </c>
      <c r="E15" s="1" t="s">
        <v>17</v>
      </c>
      <c r="F15" s="1" t="s">
        <v>3255</v>
      </c>
      <c r="G15" s="1"/>
    </row>
    <row r="16" spans="1:9" x14ac:dyDescent="0.25">
      <c r="A16" s="1" t="s">
        <v>739</v>
      </c>
      <c r="B16" s="1" t="s">
        <v>818</v>
      </c>
      <c r="C16" s="1" t="s">
        <v>3259</v>
      </c>
      <c r="D16">
        <v>14</v>
      </c>
      <c r="E16" s="1" t="s">
        <v>17</v>
      </c>
      <c r="F16" s="1" t="s">
        <v>3255</v>
      </c>
      <c r="G16" s="1"/>
    </row>
    <row r="17" spans="1:7" x14ac:dyDescent="0.25">
      <c r="A17" s="1" t="s">
        <v>866</v>
      </c>
      <c r="B17" s="1" t="s">
        <v>907</v>
      </c>
      <c r="C17" s="1" t="s">
        <v>3260</v>
      </c>
      <c r="D17">
        <v>17.8</v>
      </c>
      <c r="E17" s="1" t="s">
        <v>17</v>
      </c>
      <c r="F17" s="1" t="s">
        <v>3255</v>
      </c>
      <c r="G17" s="1"/>
    </row>
    <row r="18" spans="1:7" x14ac:dyDescent="0.25">
      <c r="A18" s="1" t="s">
        <v>996</v>
      </c>
      <c r="B18" s="1" t="s">
        <v>1009</v>
      </c>
      <c r="C18" s="1" t="s">
        <v>3211</v>
      </c>
      <c r="D18">
        <v>22.6</v>
      </c>
      <c r="E18" s="1" t="s">
        <v>17</v>
      </c>
      <c r="F18" s="1" t="s">
        <v>3255</v>
      </c>
      <c r="G18" s="1"/>
    </row>
    <row r="19" spans="1:7" x14ac:dyDescent="0.25">
      <c r="A19" s="1" t="s">
        <v>1142</v>
      </c>
      <c r="B19" s="1" t="s">
        <v>1142</v>
      </c>
      <c r="C19" s="1" t="s">
        <v>2703</v>
      </c>
      <c r="D19">
        <v>28.6</v>
      </c>
      <c r="E19" s="1" t="s">
        <v>17</v>
      </c>
      <c r="F19" s="1" t="s">
        <v>3255</v>
      </c>
      <c r="G19" s="1"/>
    </row>
    <row r="20" spans="1:7" x14ac:dyDescent="0.25">
      <c r="A20" s="1" t="s">
        <v>1428</v>
      </c>
      <c r="B20" s="1" t="s">
        <v>1288</v>
      </c>
      <c r="C20" s="1" t="s">
        <v>3245</v>
      </c>
      <c r="D20">
        <v>36.299999999999997</v>
      </c>
      <c r="E20" s="1" t="s">
        <v>17</v>
      </c>
      <c r="F20" s="1" t="s">
        <v>3255</v>
      </c>
      <c r="G20" s="1"/>
    </row>
    <row r="21" spans="1:7" x14ac:dyDescent="0.25">
      <c r="A21" s="1" t="s">
        <v>1428</v>
      </c>
      <c r="B21" s="1" t="s">
        <v>1428</v>
      </c>
      <c r="C21" s="1" t="s">
        <v>2815</v>
      </c>
      <c r="D21" s="1" t="s">
        <v>3267</v>
      </c>
      <c r="E21" s="1" t="s">
        <v>17</v>
      </c>
      <c r="F21" s="1" t="s">
        <v>3255</v>
      </c>
      <c r="G21" s="1"/>
    </row>
    <row r="22" spans="1:7" x14ac:dyDescent="0.25">
      <c r="A22" s="1" t="s">
        <v>1721</v>
      </c>
      <c r="B22" s="1" t="s">
        <v>1600</v>
      </c>
      <c r="C22" s="1" t="s">
        <v>3261</v>
      </c>
      <c r="D22">
        <v>56.1</v>
      </c>
      <c r="E22" s="1" t="s">
        <v>17</v>
      </c>
      <c r="F22" s="1" t="s">
        <v>3255</v>
      </c>
      <c r="G22" s="1"/>
    </row>
    <row r="23" spans="1:7" x14ac:dyDescent="0.25">
      <c r="A23" s="1" t="s">
        <v>1721</v>
      </c>
      <c r="B23" s="1" t="s">
        <v>1809</v>
      </c>
      <c r="C23" s="1" t="s">
        <v>3262</v>
      </c>
      <c r="D23">
        <v>71.2</v>
      </c>
      <c r="E23" s="1" t="s">
        <v>17</v>
      </c>
      <c r="F23" s="1" t="s">
        <v>3255</v>
      </c>
      <c r="G23" s="1"/>
    </row>
    <row r="24" spans="1:7" x14ac:dyDescent="0.25">
      <c r="A24" s="1" t="s">
        <v>2021</v>
      </c>
      <c r="B24" s="1" t="s">
        <v>2051</v>
      </c>
      <c r="C24" s="1" t="s">
        <v>3263</v>
      </c>
      <c r="D24">
        <v>90.3</v>
      </c>
      <c r="E24" s="1" t="s">
        <v>17</v>
      </c>
      <c r="F24" s="1" t="s">
        <v>3255</v>
      </c>
      <c r="G24" s="1"/>
    </row>
    <row r="25" spans="1:7" x14ac:dyDescent="0.25">
      <c r="A25" s="1" t="s">
        <v>2322</v>
      </c>
      <c r="B25" s="1" t="s">
        <v>2322</v>
      </c>
      <c r="C25" s="1" t="s">
        <v>3264</v>
      </c>
      <c r="D25">
        <v>114.5</v>
      </c>
      <c r="E25" s="1" t="s">
        <v>17</v>
      </c>
      <c r="F25" s="1" t="s">
        <v>3255</v>
      </c>
      <c r="G25" s="1"/>
    </row>
    <row r="26" spans="1:7" x14ac:dyDescent="0.25">
      <c r="A26" s="1" t="s">
        <v>3257</v>
      </c>
      <c r="B26" s="1" t="s">
        <v>3257</v>
      </c>
      <c r="C26" s="1" t="s">
        <v>2989</v>
      </c>
      <c r="D26">
        <v>144.69999999999999</v>
      </c>
      <c r="E26" s="1" t="s">
        <v>17</v>
      </c>
      <c r="F26" s="1" t="s">
        <v>3255</v>
      </c>
      <c r="G26" s="1"/>
    </row>
    <row r="27" spans="1:7" x14ac:dyDescent="0.25">
      <c r="A27" s="1" t="s">
        <v>2371</v>
      </c>
      <c r="B27" s="1" t="s">
        <v>2371</v>
      </c>
      <c r="C27" s="1" t="s">
        <v>3265</v>
      </c>
      <c r="D27">
        <v>178.9</v>
      </c>
      <c r="E27" s="1" t="s">
        <v>17</v>
      </c>
      <c r="F27" s="1" t="s">
        <v>3255</v>
      </c>
      <c r="G27" s="1"/>
    </row>
    <row r="28" spans="1:7" x14ac:dyDescent="0.25">
      <c r="F28" s="1"/>
    </row>
    <row r="29" spans="1:7" x14ac:dyDescent="0.25">
      <c r="D29"/>
      <c r="F29" s="1"/>
    </row>
    <row r="30" spans="1:7" x14ac:dyDescent="0.25">
      <c r="D30"/>
      <c r="F30" s="1"/>
    </row>
    <row r="31" spans="1:7" x14ac:dyDescent="0.25">
      <c r="D31"/>
      <c r="F31" s="1"/>
    </row>
    <row r="32" spans="1:7" x14ac:dyDescent="0.25">
      <c r="D32"/>
      <c r="F32" s="1"/>
    </row>
    <row r="33" spans="4:6" x14ac:dyDescent="0.25">
      <c r="D33"/>
      <c r="F33" s="1"/>
    </row>
    <row r="34" spans="4:6" x14ac:dyDescent="0.25">
      <c r="D34"/>
      <c r="F34" s="1"/>
    </row>
    <row r="35" spans="4:6" x14ac:dyDescent="0.25">
      <c r="D35"/>
      <c r="F35" s="1"/>
    </row>
    <row r="36" spans="4:6" x14ac:dyDescent="0.25">
      <c r="D36"/>
      <c r="F36" s="1"/>
    </row>
    <row r="37" spans="4:6" x14ac:dyDescent="0.25">
      <c r="D37"/>
      <c r="F37" s="1"/>
    </row>
    <row r="38" spans="4:6" x14ac:dyDescent="0.25">
      <c r="D38"/>
      <c r="F38" s="1"/>
    </row>
    <row r="39" spans="4:6" x14ac:dyDescent="0.25">
      <c r="D39"/>
      <c r="F39" s="1"/>
    </row>
    <row r="40" spans="4:6" x14ac:dyDescent="0.25">
      <c r="D40"/>
      <c r="F40" s="1"/>
    </row>
    <row r="41" spans="4:6" x14ac:dyDescent="0.25">
      <c r="D41"/>
      <c r="F41" s="1"/>
    </row>
    <row r="42" spans="4:6" x14ac:dyDescent="0.25">
      <c r="D42"/>
      <c r="F42" s="1"/>
    </row>
    <row r="43" spans="4:6" x14ac:dyDescent="0.25">
      <c r="D43"/>
      <c r="F43" s="1"/>
    </row>
    <row r="44" spans="4:6" x14ac:dyDescent="0.25">
      <c r="D44"/>
      <c r="F44" s="1"/>
    </row>
    <row r="45" spans="4:6" x14ac:dyDescent="0.25">
      <c r="F45" s="1"/>
    </row>
    <row r="46" spans="4:6" x14ac:dyDescent="0.25">
      <c r="D46"/>
      <c r="F46" s="1"/>
    </row>
    <row r="47" spans="4:6" x14ac:dyDescent="0.25">
      <c r="D47"/>
      <c r="F47" s="1"/>
    </row>
    <row r="48" spans="4:6" x14ac:dyDescent="0.25">
      <c r="D48"/>
      <c r="F48" s="1"/>
    </row>
    <row r="49" spans="4:6" x14ac:dyDescent="0.25">
      <c r="D49"/>
      <c r="F49" s="1"/>
    </row>
    <row r="50" spans="4:6" x14ac:dyDescent="0.25">
      <c r="D50"/>
      <c r="F50" s="1"/>
    </row>
    <row r="51" spans="4:6" x14ac:dyDescent="0.25">
      <c r="D51"/>
      <c r="F51" s="1"/>
    </row>
    <row r="52" spans="4:6" x14ac:dyDescent="0.25">
      <c r="D52"/>
      <c r="F52" s="1"/>
    </row>
    <row r="53" spans="4:6" x14ac:dyDescent="0.25">
      <c r="D53"/>
      <c r="F53" s="1"/>
    </row>
    <row r="54" spans="4:6" x14ac:dyDescent="0.25">
      <c r="D54"/>
      <c r="F54" s="1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E14"/>
  <sheetViews>
    <sheetView workbookViewId="0">
      <selection activeCell="Q49" sqref="Q49"/>
    </sheetView>
  </sheetViews>
  <sheetFormatPr defaultRowHeight="15" x14ac:dyDescent="0.25"/>
  <cols>
    <col min="1" max="5" width="9.140625" style="1"/>
  </cols>
  <sheetData>
    <row r="1" spans="1:5" x14ac:dyDescent="0.2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25">
      <c r="A2" s="1">
        <v>1</v>
      </c>
      <c r="B2" s="1">
        <v>10</v>
      </c>
      <c r="C2" s="1" t="s">
        <v>68</v>
      </c>
      <c r="D2" s="1" t="s">
        <v>2353</v>
      </c>
      <c r="E2" s="1" t="s">
        <v>2346</v>
      </c>
    </row>
    <row r="3" spans="1:5" x14ac:dyDescent="0.25">
      <c r="A3" s="1">
        <v>2</v>
      </c>
      <c r="B3" s="1">
        <v>15</v>
      </c>
      <c r="C3" s="1" t="s">
        <v>191</v>
      </c>
      <c r="D3" s="1" t="s">
        <v>2353</v>
      </c>
      <c r="E3" s="1" t="s">
        <v>2347</v>
      </c>
    </row>
    <row r="4" spans="1:5" x14ac:dyDescent="0.25">
      <c r="A4" s="1">
        <v>3</v>
      </c>
      <c r="B4" s="1">
        <v>20</v>
      </c>
      <c r="C4" s="1" t="s">
        <v>2373</v>
      </c>
      <c r="D4" s="1" t="s">
        <v>2353</v>
      </c>
      <c r="E4" s="1" t="s">
        <v>2348</v>
      </c>
    </row>
    <row r="5" spans="1:5" x14ac:dyDescent="0.25">
      <c r="A5" s="1">
        <v>4</v>
      </c>
      <c r="B5" s="1">
        <v>25</v>
      </c>
      <c r="C5" s="1" t="s">
        <v>1532</v>
      </c>
      <c r="D5" s="1" t="s">
        <v>2353</v>
      </c>
      <c r="E5" s="1" t="s">
        <v>14</v>
      </c>
    </row>
    <row r="6" spans="1:5" x14ac:dyDescent="0.25">
      <c r="A6" s="1">
        <v>5</v>
      </c>
      <c r="B6" s="1">
        <v>32</v>
      </c>
      <c r="C6" s="1" t="s">
        <v>2374</v>
      </c>
      <c r="D6" s="1" t="s">
        <v>2353</v>
      </c>
      <c r="E6" s="1" t="s">
        <v>2349</v>
      </c>
    </row>
    <row r="7" spans="1:5" x14ac:dyDescent="0.25">
      <c r="A7" s="1">
        <v>6</v>
      </c>
      <c r="B7" s="1">
        <v>40</v>
      </c>
      <c r="C7" s="1" t="s">
        <v>164</v>
      </c>
      <c r="D7" s="1" t="s">
        <v>2353</v>
      </c>
      <c r="E7" s="1" t="s">
        <v>2350</v>
      </c>
    </row>
    <row r="8" spans="1:5" x14ac:dyDescent="0.25">
      <c r="A8" s="1">
        <v>7</v>
      </c>
      <c r="B8" s="1">
        <v>50</v>
      </c>
      <c r="C8" s="1" t="s">
        <v>205</v>
      </c>
      <c r="D8" s="1" t="s">
        <v>2353</v>
      </c>
      <c r="E8" s="1" t="s">
        <v>18</v>
      </c>
    </row>
    <row r="9" spans="1:5" x14ac:dyDescent="0.25">
      <c r="A9" s="1">
        <v>8</v>
      </c>
      <c r="B9" s="1">
        <v>65</v>
      </c>
      <c r="C9" s="1" t="s">
        <v>2375</v>
      </c>
      <c r="D9" s="1" t="s">
        <v>2353</v>
      </c>
      <c r="E9" s="1" t="s">
        <v>2351</v>
      </c>
    </row>
    <row r="10" spans="1:5" x14ac:dyDescent="0.25">
      <c r="A10" s="1">
        <v>9</v>
      </c>
      <c r="B10" s="1">
        <v>80</v>
      </c>
      <c r="C10" s="1" t="s">
        <v>2376</v>
      </c>
      <c r="D10" s="1" t="s">
        <v>2353</v>
      </c>
      <c r="E10" s="1" t="s">
        <v>22</v>
      </c>
    </row>
    <row r="11" spans="1:5" x14ac:dyDescent="0.25">
      <c r="A11" s="1">
        <v>10</v>
      </c>
      <c r="B11" s="1">
        <v>90</v>
      </c>
      <c r="C11" s="1" t="s">
        <v>2377</v>
      </c>
      <c r="D11" s="1" t="s">
        <v>2353</v>
      </c>
      <c r="E11" s="1" t="s">
        <v>2352</v>
      </c>
    </row>
    <row r="12" spans="1:5" x14ac:dyDescent="0.25">
      <c r="A12" s="1">
        <v>11</v>
      </c>
      <c r="B12" s="1">
        <v>100</v>
      </c>
      <c r="C12" s="1" t="s">
        <v>375</v>
      </c>
      <c r="D12" s="1" t="s">
        <v>2353</v>
      </c>
      <c r="E12" s="1" t="s">
        <v>26</v>
      </c>
    </row>
    <row r="13" spans="1:5" x14ac:dyDescent="0.25">
      <c r="A13" s="1">
        <v>12</v>
      </c>
      <c r="B13" s="1">
        <v>125</v>
      </c>
      <c r="C13" s="1" t="s">
        <v>447</v>
      </c>
      <c r="D13" s="1" t="s">
        <v>2353</v>
      </c>
      <c r="E13" s="1" t="s">
        <v>29</v>
      </c>
    </row>
    <row r="14" spans="1:5" x14ac:dyDescent="0.25">
      <c r="A14" s="1">
        <v>13</v>
      </c>
      <c r="B14" s="1">
        <v>150</v>
      </c>
      <c r="C14" s="1" t="s">
        <v>518</v>
      </c>
      <c r="D14" s="1" t="s">
        <v>2353</v>
      </c>
      <c r="E14" s="1" t="s">
        <v>34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E805"/>
  <sheetViews>
    <sheetView workbookViewId="0"/>
  </sheetViews>
  <sheetFormatPr defaultRowHeight="15" x14ac:dyDescent="0.25"/>
  <cols>
    <col min="1" max="5" width="9.140625" style="1"/>
  </cols>
  <sheetData>
    <row r="1" spans="1:5" x14ac:dyDescent="0.25">
      <c r="A1" s="1" t="s">
        <v>2337</v>
      </c>
      <c r="B1" s="1" t="s">
        <v>2338</v>
      </c>
      <c r="C1" s="1" t="s">
        <v>11</v>
      </c>
      <c r="D1" s="1" t="s">
        <v>12</v>
      </c>
      <c r="E1" s="1" t="s">
        <v>13</v>
      </c>
    </row>
    <row r="2" spans="1:5" x14ac:dyDescent="0.25">
      <c r="A2" s="1" t="s">
        <v>14</v>
      </c>
      <c r="B2" s="1" t="s">
        <v>15</v>
      </c>
      <c r="C2" s="1" t="s">
        <v>16</v>
      </c>
      <c r="D2" s="1" t="s">
        <v>17</v>
      </c>
      <c r="E2" s="1" t="s">
        <v>14</v>
      </c>
    </row>
    <row r="3" spans="1:5" x14ac:dyDescent="0.25">
      <c r="A3" s="1" t="s">
        <v>18</v>
      </c>
      <c r="B3" s="1" t="s">
        <v>19</v>
      </c>
      <c r="C3" s="1" t="s">
        <v>20</v>
      </c>
      <c r="D3" s="1" t="s">
        <v>17</v>
      </c>
      <c r="E3" s="1" t="s">
        <v>21</v>
      </c>
    </row>
    <row r="4" spans="1:5" x14ac:dyDescent="0.25">
      <c r="A4" s="1" t="s">
        <v>22</v>
      </c>
      <c r="B4" s="1" t="s">
        <v>23</v>
      </c>
      <c r="C4" s="1" t="s">
        <v>24</v>
      </c>
      <c r="D4" s="1" t="s">
        <v>25</v>
      </c>
      <c r="E4" s="1" t="s">
        <v>14</v>
      </c>
    </row>
    <row r="5" spans="1:5" x14ac:dyDescent="0.25">
      <c r="A5" s="1" t="s">
        <v>26</v>
      </c>
      <c r="B5" s="1" t="s">
        <v>27</v>
      </c>
      <c r="C5" s="1" t="s">
        <v>28</v>
      </c>
      <c r="D5" s="1" t="s">
        <v>25</v>
      </c>
      <c r="E5" s="1" t="s">
        <v>21</v>
      </c>
    </row>
    <row r="6" spans="1:5" x14ac:dyDescent="0.25">
      <c r="A6" s="1" t="s">
        <v>29</v>
      </c>
      <c r="B6" s="1" t="s">
        <v>30</v>
      </c>
      <c r="C6" s="1" t="s">
        <v>31</v>
      </c>
      <c r="D6" s="1" t="s">
        <v>33</v>
      </c>
      <c r="E6" s="1" t="s">
        <v>14</v>
      </c>
    </row>
    <row r="7" spans="1:5" x14ac:dyDescent="0.25">
      <c r="A7" s="1" t="s">
        <v>34</v>
      </c>
      <c r="B7" s="1" t="s">
        <v>35</v>
      </c>
      <c r="C7" s="1" t="s">
        <v>36</v>
      </c>
      <c r="D7" s="1" t="s">
        <v>33</v>
      </c>
      <c r="E7" s="1" t="s">
        <v>21</v>
      </c>
    </row>
    <row r="8" spans="1:5" x14ac:dyDescent="0.25">
      <c r="A8" s="1" t="s">
        <v>37</v>
      </c>
      <c r="B8" s="1" t="s">
        <v>38</v>
      </c>
      <c r="C8" s="1" t="s">
        <v>39</v>
      </c>
      <c r="D8" s="1" t="s">
        <v>33</v>
      </c>
      <c r="E8" s="1" t="s">
        <v>40</v>
      </c>
    </row>
    <row r="9" spans="1:5" x14ac:dyDescent="0.25">
      <c r="A9" s="1" t="s">
        <v>41</v>
      </c>
      <c r="B9" s="1" t="s">
        <v>42</v>
      </c>
      <c r="C9" s="1" t="s">
        <v>43</v>
      </c>
      <c r="D9" s="1" t="s">
        <v>33</v>
      </c>
      <c r="E9" s="1" t="s">
        <v>44</v>
      </c>
    </row>
    <row r="10" spans="1:5" x14ac:dyDescent="0.25">
      <c r="A10" s="1" t="s">
        <v>45</v>
      </c>
      <c r="B10" s="1" t="s">
        <v>46</v>
      </c>
      <c r="C10" s="1" t="s">
        <v>32</v>
      </c>
      <c r="D10" s="1" t="s">
        <v>33</v>
      </c>
      <c r="E10" s="1" t="s">
        <v>47</v>
      </c>
    </row>
    <row r="11" spans="1:5" x14ac:dyDescent="0.25">
      <c r="A11" s="1" t="s">
        <v>17</v>
      </c>
      <c r="B11" s="1" t="s">
        <v>48</v>
      </c>
      <c r="C11" s="1" t="s">
        <v>49</v>
      </c>
      <c r="D11" s="1" t="s">
        <v>50</v>
      </c>
      <c r="E11" s="1" t="s">
        <v>14</v>
      </c>
    </row>
    <row r="12" spans="1:5" x14ac:dyDescent="0.25">
      <c r="A12" s="1" t="s">
        <v>51</v>
      </c>
      <c r="B12" s="1" t="s">
        <v>52</v>
      </c>
      <c r="C12" s="1" t="s">
        <v>53</v>
      </c>
      <c r="D12" s="1" t="s">
        <v>50</v>
      </c>
      <c r="E12" s="1" t="s">
        <v>21</v>
      </c>
    </row>
    <row r="13" spans="1:5" x14ac:dyDescent="0.25">
      <c r="A13" s="1" t="s">
        <v>33</v>
      </c>
      <c r="B13" s="1" t="s">
        <v>54</v>
      </c>
      <c r="C13" s="1" t="s">
        <v>55</v>
      </c>
      <c r="D13" s="1" t="s">
        <v>50</v>
      </c>
      <c r="E13" s="1" t="s">
        <v>40</v>
      </c>
    </row>
    <row r="14" spans="1:5" x14ac:dyDescent="0.25">
      <c r="A14" s="1" t="s">
        <v>50</v>
      </c>
      <c r="B14" s="1" t="s">
        <v>56</v>
      </c>
      <c r="C14" s="1" t="s">
        <v>57</v>
      </c>
      <c r="D14" s="1" t="s">
        <v>50</v>
      </c>
      <c r="E14" s="1" t="s">
        <v>44</v>
      </c>
    </row>
    <row r="15" spans="1:5" x14ac:dyDescent="0.25">
      <c r="A15" s="1" t="s">
        <v>58</v>
      </c>
      <c r="B15" s="1" t="s">
        <v>59</v>
      </c>
      <c r="C15" s="1" t="s">
        <v>60</v>
      </c>
      <c r="D15" s="1" t="s">
        <v>50</v>
      </c>
      <c r="E15" s="1" t="s">
        <v>47</v>
      </c>
    </row>
    <row r="16" spans="1:5" x14ac:dyDescent="0.25">
      <c r="A16" s="1" t="s">
        <v>61</v>
      </c>
      <c r="B16" s="1" t="s">
        <v>62</v>
      </c>
      <c r="C16" s="1" t="s">
        <v>63</v>
      </c>
      <c r="D16" s="1" t="s">
        <v>58</v>
      </c>
      <c r="E16" s="1" t="s">
        <v>14</v>
      </c>
    </row>
    <row r="17" spans="1:5" x14ac:dyDescent="0.25">
      <c r="A17" s="1" t="s">
        <v>65</v>
      </c>
      <c r="B17" s="1" t="s">
        <v>66</v>
      </c>
      <c r="C17" s="1" t="s">
        <v>67</v>
      </c>
      <c r="D17" s="1" t="s">
        <v>58</v>
      </c>
      <c r="E17" s="1" t="s">
        <v>21</v>
      </c>
    </row>
    <row r="18" spans="1:5" x14ac:dyDescent="0.25">
      <c r="A18" s="1" t="s">
        <v>68</v>
      </c>
      <c r="B18" s="1" t="s">
        <v>69</v>
      </c>
      <c r="C18" s="1" t="s">
        <v>70</v>
      </c>
      <c r="D18" s="1" t="s">
        <v>58</v>
      </c>
      <c r="E18" s="1" t="s">
        <v>40</v>
      </c>
    </row>
    <row r="19" spans="1:5" x14ac:dyDescent="0.25">
      <c r="A19" s="1" t="s">
        <v>71</v>
      </c>
      <c r="B19" s="1" t="s">
        <v>72</v>
      </c>
      <c r="C19" s="1" t="s">
        <v>73</v>
      </c>
      <c r="D19" s="1" t="s">
        <v>58</v>
      </c>
      <c r="E19" s="1" t="s">
        <v>44</v>
      </c>
    </row>
    <row r="20" spans="1:5" x14ac:dyDescent="0.25">
      <c r="A20" s="1" t="s">
        <v>74</v>
      </c>
      <c r="B20" s="1" t="s">
        <v>75</v>
      </c>
      <c r="C20" s="1" t="s">
        <v>76</v>
      </c>
      <c r="D20" s="1" t="s">
        <v>58</v>
      </c>
      <c r="E20" s="1" t="s">
        <v>47</v>
      </c>
    </row>
    <row r="21" spans="1:5" x14ac:dyDescent="0.25">
      <c r="A21" s="1" t="s">
        <v>78</v>
      </c>
      <c r="B21" s="1" t="s">
        <v>79</v>
      </c>
      <c r="C21" s="1" t="s">
        <v>80</v>
      </c>
      <c r="D21" s="1" t="s">
        <v>61</v>
      </c>
      <c r="E21" s="1" t="s">
        <v>14</v>
      </c>
    </row>
    <row r="22" spans="1:5" x14ac:dyDescent="0.25">
      <c r="A22" s="1" t="s">
        <v>81</v>
      </c>
      <c r="B22" s="1" t="s">
        <v>82</v>
      </c>
      <c r="C22" s="1" t="s">
        <v>83</v>
      </c>
      <c r="D22" s="1" t="s">
        <v>61</v>
      </c>
      <c r="E22" s="1" t="s">
        <v>21</v>
      </c>
    </row>
    <row r="23" spans="1:5" x14ac:dyDescent="0.25">
      <c r="A23" s="1" t="s">
        <v>85</v>
      </c>
      <c r="B23" s="1" t="s">
        <v>86</v>
      </c>
      <c r="C23" s="1" t="s">
        <v>64</v>
      </c>
      <c r="D23" s="1" t="s">
        <v>61</v>
      </c>
      <c r="E23" s="1" t="s">
        <v>40</v>
      </c>
    </row>
    <row r="24" spans="1:5" x14ac:dyDescent="0.25">
      <c r="A24" s="1" t="s">
        <v>87</v>
      </c>
      <c r="B24" s="1" t="s">
        <v>88</v>
      </c>
      <c r="C24" s="1" t="s">
        <v>89</v>
      </c>
      <c r="D24" s="1" t="s">
        <v>61</v>
      </c>
      <c r="E24" s="1" t="s">
        <v>44</v>
      </c>
    </row>
    <row r="25" spans="1:5" x14ac:dyDescent="0.25">
      <c r="A25" s="1" t="s">
        <v>90</v>
      </c>
      <c r="B25" s="1" t="s">
        <v>91</v>
      </c>
      <c r="C25" s="1" t="s">
        <v>92</v>
      </c>
      <c r="D25" s="1" t="s">
        <v>61</v>
      </c>
      <c r="E25" s="1" t="s">
        <v>47</v>
      </c>
    </row>
    <row r="26" spans="1:5" x14ac:dyDescent="0.25">
      <c r="A26" s="1" t="s">
        <v>93</v>
      </c>
      <c r="B26" s="1" t="s">
        <v>94</v>
      </c>
      <c r="C26" s="1" t="s">
        <v>95</v>
      </c>
      <c r="D26" s="1" t="s">
        <v>65</v>
      </c>
      <c r="E26" s="1" t="s">
        <v>14</v>
      </c>
    </row>
    <row r="27" spans="1:5" x14ac:dyDescent="0.25">
      <c r="A27" s="1" t="s">
        <v>96</v>
      </c>
      <c r="B27" s="1" t="s">
        <v>97</v>
      </c>
      <c r="C27" s="1" t="s">
        <v>98</v>
      </c>
      <c r="D27" s="1" t="s">
        <v>65</v>
      </c>
      <c r="E27" s="1" t="s">
        <v>21</v>
      </c>
    </row>
    <row r="28" spans="1:5" x14ac:dyDescent="0.25">
      <c r="A28" s="1" t="s">
        <v>99</v>
      </c>
      <c r="B28" s="1" t="s">
        <v>100</v>
      </c>
      <c r="C28" s="1" t="s">
        <v>101</v>
      </c>
      <c r="D28" s="1" t="s">
        <v>65</v>
      </c>
      <c r="E28" s="1" t="s">
        <v>40</v>
      </c>
    </row>
    <row r="29" spans="1:5" x14ac:dyDescent="0.25">
      <c r="A29" s="1" t="s">
        <v>102</v>
      </c>
      <c r="B29" s="1" t="s">
        <v>103</v>
      </c>
      <c r="C29" s="1" t="s">
        <v>104</v>
      </c>
      <c r="D29" s="1" t="s">
        <v>65</v>
      </c>
      <c r="E29" s="1" t="s">
        <v>44</v>
      </c>
    </row>
    <row r="30" spans="1:5" x14ac:dyDescent="0.25">
      <c r="A30" s="1" t="s">
        <v>105</v>
      </c>
      <c r="B30" s="1" t="s">
        <v>106</v>
      </c>
      <c r="C30" s="1" t="s">
        <v>107</v>
      </c>
      <c r="D30" s="1" t="s">
        <v>65</v>
      </c>
      <c r="E30" s="1" t="s">
        <v>47</v>
      </c>
    </row>
    <row r="31" spans="1:5" x14ac:dyDescent="0.25">
      <c r="A31" s="1" t="s">
        <v>108</v>
      </c>
      <c r="B31" s="1" t="s">
        <v>109</v>
      </c>
      <c r="C31" s="1" t="s">
        <v>110</v>
      </c>
      <c r="D31" s="1" t="s">
        <v>68</v>
      </c>
      <c r="E31" s="1" t="s">
        <v>14</v>
      </c>
    </row>
    <row r="32" spans="1:5" x14ac:dyDescent="0.25">
      <c r="A32" s="1" t="s">
        <v>111</v>
      </c>
      <c r="B32" s="1" t="s">
        <v>112</v>
      </c>
      <c r="C32" s="1" t="s">
        <v>113</v>
      </c>
      <c r="D32" s="1" t="s">
        <v>68</v>
      </c>
      <c r="E32" s="1" t="s">
        <v>21</v>
      </c>
    </row>
    <row r="33" spans="1:5" x14ac:dyDescent="0.25">
      <c r="A33" s="1" t="s">
        <v>114</v>
      </c>
      <c r="B33" s="1" t="s">
        <v>115</v>
      </c>
      <c r="C33" s="1" t="s">
        <v>116</v>
      </c>
      <c r="D33" s="1" t="s">
        <v>68</v>
      </c>
      <c r="E33" s="1" t="s">
        <v>40</v>
      </c>
    </row>
    <row r="34" spans="1:5" x14ac:dyDescent="0.25">
      <c r="A34" s="1" t="s">
        <v>117</v>
      </c>
      <c r="B34" s="1" t="s">
        <v>118</v>
      </c>
      <c r="C34" s="1" t="s">
        <v>119</v>
      </c>
      <c r="D34" s="1" t="s">
        <v>68</v>
      </c>
      <c r="E34" s="1" t="s">
        <v>44</v>
      </c>
    </row>
    <row r="35" spans="1:5" x14ac:dyDescent="0.25">
      <c r="A35" s="1" t="s">
        <v>120</v>
      </c>
      <c r="B35" s="1" t="s">
        <v>121</v>
      </c>
      <c r="C35" s="1" t="s">
        <v>122</v>
      </c>
      <c r="D35" s="1" t="s">
        <v>68</v>
      </c>
      <c r="E35" s="1" t="s">
        <v>47</v>
      </c>
    </row>
    <row r="36" spans="1:5" x14ac:dyDescent="0.25">
      <c r="A36" s="1" t="s">
        <v>123</v>
      </c>
      <c r="B36" s="1" t="s">
        <v>124</v>
      </c>
      <c r="C36" s="1" t="s">
        <v>125</v>
      </c>
      <c r="D36" s="1" t="s">
        <v>71</v>
      </c>
      <c r="E36" s="1" t="s">
        <v>14</v>
      </c>
    </row>
    <row r="37" spans="1:5" x14ac:dyDescent="0.25">
      <c r="A37" s="1" t="s">
        <v>126</v>
      </c>
      <c r="B37" s="1" t="s">
        <v>127</v>
      </c>
      <c r="C37" s="1" t="s">
        <v>128</v>
      </c>
      <c r="D37" s="1" t="s">
        <v>71</v>
      </c>
      <c r="E37" s="1" t="s">
        <v>21</v>
      </c>
    </row>
    <row r="38" spans="1:5" x14ac:dyDescent="0.25">
      <c r="A38" s="1" t="s">
        <v>129</v>
      </c>
      <c r="B38" s="1" t="s">
        <v>130</v>
      </c>
      <c r="C38" s="1" t="s">
        <v>119</v>
      </c>
      <c r="D38" s="1" t="s">
        <v>71</v>
      </c>
      <c r="E38" s="1" t="s">
        <v>40</v>
      </c>
    </row>
    <row r="39" spans="1:5" x14ac:dyDescent="0.25">
      <c r="A39" s="1" t="s">
        <v>131</v>
      </c>
      <c r="B39" s="1" t="s">
        <v>132</v>
      </c>
      <c r="C39" s="1" t="s">
        <v>84</v>
      </c>
      <c r="D39" s="1" t="s">
        <v>71</v>
      </c>
      <c r="E39" s="1" t="s">
        <v>44</v>
      </c>
    </row>
    <row r="40" spans="1:5" x14ac:dyDescent="0.25">
      <c r="A40" s="1" t="s">
        <v>133</v>
      </c>
      <c r="B40" s="1" t="s">
        <v>134</v>
      </c>
      <c r="C40" s="1" t="s">
        <v>135</v>
      </c>
      <c r="D40" s="1" t="s">
        <v>71</v>
      </c>
      <c r="E40" s="1" t="s">
        <v>47</v>
      </c>
    </row>
    <row r="41" spans="1:5" x14ac:dyDescent="0.25">
      <c r="A41" s="1" t="s">
        <v>136</v>
      </c>
      <c r="B41" s="1" t="s">
        <v>137</v>
      </c>
      <c r="C41" s="1" t="s">
        <v>138</v>
      </c>
      <c r="D41" s="1" t="s">
        <v>71</v>
      </c>
      <c r="E41" s="1" t="s">
        <v>140</v>
      </c>
    </row>
    <row r="42" spans="1:5" x14ac:dyDescent="0.25">
      <c r="A42" s="1" t="s">
        <v>141</v>
      </c>
      <c r="B42" s="1" t="s">
        <v>142</v>
      </c>
      <c r="C42" s="1" t="s">
        <v>143</v>
      </c>
      <c r="D42" s="1" t="s">
        <v>74</v>
      </c>
      <c r="E42" s="1" t="s">
        <v>14</v>
      </c>
    </row>
    <row r="43" spans="1:5" x14ac:dyDescent="0.25">
      <c r="A43" s="1" t="s">
        <v>144</v>
      </c>
      <c r="B43" s="1" t="s">
        <v>145</v>
      </c>
      <c r="C43" s="1" t="s">
        <v>146</v>
      </c>
      <c r="D43" s="1" t="s">
        <v>74</v>
      </c>
      <c r="E43" s="1" t="s">
        <v>21</v>
      </c>
    </row>
    <row r="44" spans="1:5" x14ac:dyDescent="0.25">
      <c r="A44" s="1" t="s">
        <v>147</v>
      </c>
      <c r="B44" s="1" t="s">
        <v>148</v>
      </c>
      <c r="C44" s="1" t="s">
        <v>122</v>
      </c>
      <c r="D44" s="1" t="s">
        <v>74</v>
      </c>
      <c r="E44" s="1" t="s">
        <v>40</v>
      </c>
    </row>
    <row r="45" spans="1:5" x14ac:dyDescent="0.25">
      <c r="A45" s="1" t="s">
        <v>149</v>
      </c>
      <c r="B45" s="1" t="s">
        <v>150</v>
      </c>
      <c r="C45" s="1" t="s">
        <v>151</v>
      </c>
      <c r="D45" s="1" t="s">
        <v>74</v>
      </c>
      <c r="E45" s="1" t="s">
        <v>44</v>
      </c>
    </row>
    <row r="46" spans="1:5" x14ac:dyDescent="0.25">
      <c r="A46" s="1" t="s">
        <v>152</v>
      </c>
      <c r="B46" s="1" t="s">
        <v>153</v>
      </c>
      <c r="C46" s="1" t="s">
        <v>154</v>
      </c>
      <c r="D46" s="1" t="s">
        <v>74</v>
      </c>
      <c r="E46" s="1" t="s">
        <v>47</v>
      </c>
    </row>
    <row r="47" spans="1:5" x14ac:dyDescent="0.25">
      <c r="A47" s="1" t="s">
        <v>156</v>
      </c>
      <c r="B47" s="1" t="s">
        <v>157</v>
      </c>
      <c r="C47" s="1" t="s">
        <v>158</v>
      </c>
      <c r="D47" s="1" t="s">
        <v>74</v>
      </c>
      <c r="E47" s="1" t="s">
        <v>140</v>
      </c>
    </row>
    <row r="48" spans="1:5" x14ac:dyDescent="0.25">
      <c r="A48" s="1" t="s">
        <v>160</v>
      </c>
      <c r="B48" s="1" t="s">
        <v>161</v>
      </c>
      <c r="C48" s="1" t="s">
        <v>162</v>
      </c>
      <c r="D48" s="1" t="s">
        <v>74</v>
      </c>
      <c r="E48" s="1" t="s">
        <v>18</v>
      </c>
    </row>
    <row r="49" spans="1:5" x14ac:dyDescent="0.25">
      <c r="A49" s="1" t="s">
        <v>164</v>
      </c>
      <c r="B49" s="1" t="s">
        <v>165</v>
      </c>
      <c r="C49" s="1" t="s">
        <v>166</v>
      </c>
      <c r="D49" s="1" t="s">
        <v>78</v>
      </c>
      <c r="E49" s="1" t="s">
        <v>14</v>
      </c>
    </row>
    <row r="50" spans="1:5" x14ac:dyDescent="0.25">
      <c r="A50" s="1" t="s">
        <v>167</v>
      </c>
      <c r="B50" s="1" t="s">
        <v>168</v>
      </c>
      <c r="C50" s="1" t="s">
        <v>169</v>
      </c>
      <c r="D50" s="1" t="s">
        <v>78</v>
      </c>
      <c r="E50" s="1" t="s">
        <v>21</v>
      </c>
    </row>
    <row r="51" spans="1:5" x14ac:dyDescent="0.25">
      <c r="A51" s="1" t="s">
        <v>170</v>
      </c>
      <c r="B51" s="1" t="s">
        <v>171</v>
      </c>
      <c r="C51" s="1" t="s">
        <v>172</v>
      </c>
      <c r="D51" s="1" t="s">
        <v>78</v>
      </c>
      <c r="E51" s="1" t="s">
        <v>40</v>
      </c>
    </row>
    <row r="52" spans="1:5" x14ac:dyDescent="0.25">
      <c r="A52" s="1" t="s">
        <v>173</v>
      </c>
      <c r="B52" s="1" t="s">
        <v>174</v>
      </c>
      <c r="C52" s="1" t="s">
        <v>175</v>
      </c>
      <c r="D52" s="1" t="s">
        <v>78</v>
      </c>
      <c r="E52" s="1" t="s">
        <v>44</v>
      </c>
    </row>
    <row r="53" spans="1:5" x14ac:dyDescent="0.25">
      <c r="A53" s="1" t="s">
        <v>176</v>
      </c>
      <c r="B53" s="1" t="s">
        <v>177</v>
      </c>
      <c r="C53" s="1" t="s">
        <v>178</v>
      </c>
      <c r="D53" s="1" t="s">
        <v>78</v>
      </c>
      <c r="E53" s="1" t="s">
        <v>47</v>
      </c>
    </row>
    <row r="54" spans="1:5" x14ac:dyDescent="0.25">
      <c r="A54" s="1" t="s">
        <v>180</v>
      </c>
      <c r="B54" s="1" t="s">
        <v>181</v>
      </c>
      <c r="C54" s="1" t="s">
        <v>182</v>
      </c>
      <c r="D54" s="1" t="s">
        <v>78</v>
      </c>
      <c r="E54" s="1" t="s">
        <v>140</v>
      </c>
    </row>
    <row r="55" spans="1:5" x14ac:dyDescent="0.25">
      <c r="A55" s="1" t="s">
        <v>184</v>
      </c>
      <c r="B55" s="1" t="s">
        <v>185</v>
      </c>
      <c r="C55" s="1" t="s">
        <v>186</v>
      </c>
      <c r="D55" s="1" t="s">
        <v>78</v>
      </c>
      <c r="E55" s="1" t="s">
        <v>18</v>
      </c>
    </row>
    <row r="56" spans="1:5" x14ac:dyDescent="0.25">
      <c r="A56" s="1" t="s">
        <v>188</v>
      </c>
      <c r="B56" s="1" t="s">
        <v>189</v>
      </c>
      <c r="C56" s="1" t="s">
        <v>190</v>
      </c>
      <c r="D56" s="1" t="s">
        <v>191</v>
      </c>
      <c r="E56" s="1" t="s">
        <v>14</v>
      </c>
    </row>
    <row r="57" spans="1:5" x14ac:dyDescent="0.25">
      <c r="A57" s="1" t="s">
        <v>192</v>
      </c>
      <c r="B57" s="1" t="s">
        <v>193</v>
      </c>
      <c r="C57" s="1" t="s">
        <v>194</v>
      </c>
      <c r="D57" s="1" t="s">
        <v>191</v>
      </c>
      <c r="E57" s="1" t="s">
        <v>21</v>
      </c>
    </row>
    <row r="58" spans="1:5" x14ac:dyDescent="0.25">
      <c r="A58" s="1" t="s">
        <v>195</v>
      </c>
      <c r="B58" s="1" t="s">
        <v>196</v>
      </c>
      <c r="C58" s="1" t="s">
        <v>154</v>
      </c>
      <c r="D58" s="1" t="s">
        <v>191</v>
      </c>
      <c r="E58" s="1" t="s">
        <v>40</v>
      </c>
    </row>
    <row r="59" spans="1:5" x14ac:dyDescent="0.25">
      <c r="A59" s="1" t="s">
        <v>197</v>
      </c>
      <c r="B59" s="1" t="s">
        <v>198</v>
      </c>
      <c r="C59" s="1" t="s">
        <v>199</v>
      </c>
      <c r="D59" s="1" t="s">
        <v>191</v>
      </c>
      <c r="E59" s="1" t="s">
        <v>44</v>
      </c>
    </row>
    <row r="60" spans="1:5" x14ac:dyDescent="0.25">
      <c r="A60" s="1" t="s">
        <v>201</v>
      </c>
      <c r="B60" s="1" t="s">
        <v>202</v>
      </c>
      <c r="C60" s="1" t="s">
        <v>203</v>
      </c>
      <c r="D60" s="1" t="s">
        <v>191</v>
      </c>
      <c r="E60" s="1" t="s">
        <v>47</v>
      </c>
    </row>
    <row r="61" spans="1:5" x14ac:dyDescent="0.25">
      <c r="A61" s="1" t="s">
        <v>205</v>
      </c>
      <c r="B61" s="1" t="s">
        <v>206</v>
      </c>
      <c r="C61" s="1" t="s">
        <v>207</v>
      </c>
      <c r="D61" s="1" t="s">
        <v>191</v>
      </c>
      <c r="E61" s="1" t="s">
        <v>140</v>
      </c>
    </row>
    <row r="62" spans="1:5" x14ac:dyDescent="0.25">
      <c r="A62" s="1" t="s">
        <v>208</v>
      </c>
      <c r="B62" s="1" t="s">
        <v>209</v>
      </c>
      <c r="C62" s="1" t="s">
        <v>210</v>
      </c>
      <c r="D62" s="1" t="s">
        <v>191</v>
      </c>
      <c r="E62" s="1" t="s">
        <v>18</v>
      </c>
    </row>
    <row r="63" spans="1:5" x14ac:dyDescent="0.25">
      <c r="A63" s="1" t="s">
        <v>211</v>
      </c>
      <c r="B63" s="1" t="s">
        <v>212</v>
      </c>
      <c r="C63" s="1" t="s">
        <v>213</v>
      </c>
      <c r="D63" s="1" t="s">
        <v>85</v>
      </c>
      <c r="E63" s="1" t="s">
        <v>14</v>
      </c>
    </row>
    <row r="64" spans="1:5" x14ac:dyDescent="0.25">
      <c r="A64" s="1" t="s">
        <v>214</v>
      </c>
      <c r="B64" s="1" t="s">
        <v>215</v>
      </c>
      <c r="C64" s="1" t="s">
        <v>216</v>
      </c>
      <c r="D64" s="1" t="s">
        <v>85</v>
      </c>
      <c r="E64" s="1" t="s">
        <v>21</v>
      </c>
    </row>
    <row r="65" spans="1:5" x14ac:dyDescent="0.25">
      <c r="A65" s="1" t="s">
        <v>217</v>
      </c>
      <c r="B65" s="1" t="s">
        <v>218</v>
      </c>
      <c r="C65" s="1" t="s">
        <v>219</v>
      </c>
      <c r="D65" s="1" t="s">
        <v>85</v>
      </c>
      <c r="E65" s="1" t="s">
        <v>40</v>
      </c>
    </row>
    <row r="66" spans="1:5" x14ac:dyDescent="0.25">
      <c r="A66" s="1" t="s">
        <v>221</v>
      </c>
      <c r="B66" s="1" t="s">
        <v>222</v>
      </c>
      <c r="C66" s="1" t="s">
        <v>223</v>
      </c>
      <c r="D66" s="1" t="s">
        <v>85</v>
      </c>
      <c r="E66" s="1" t="s">
        <v>44</v>
      </c>
    </row>
    <row r="67" spans="1:5" x14ac:dyDescent="0.25">
      <c r="A67" s="1" t="s">
        <v>224</v>
      </c>
      <c r="B67" s="1" t="s">
        <v>225</v>
      </c>
      <c r="C67" s="1" t="s">
        <v>226</v>
      </c>
      <c r="D67" s="1" t="s">
        <v>85</v>
      </c>
      <c r="E67" s="1" t="s">
        <v>47</v>
      </c>
    </row>
    <row r="68" spans="1:5" x14ac:dyDescent="0.25">
      <c r="A68" s="1" t="s">
        <v>228</v>
      </c>
      <c r="B68" s="1" t="s">
        <v>229</v>
      </c>
      <c r="C68" s="1" t="s">
        <v>230</v>
      </c>
      <c r="D68" s="1" t="s">
        <v>85</v>
      </c>
      <c r="E68" s="1" t="s">
        <v>140</v>
      </c>
    </row>
    <row r="69" spans="1:5" x14ac:dyDescent="0.25">
      <c r="A69" s="1" t="s">
        <v>232</v>
      </c>
      <c r="B69" s="1" t="s">
        <v>233</v>
      </c>
      <c r="C69" s="1" t="s">
        <v>234</v>
      </c>
      <c r="D69" s="1" t="s">
        <v>85</v>
      </c>
      <c r="E69" s="1" t="s">
        <v>18</v>
      </c>
    </row>
    <row r="70" spans="1:5" x14ac:dyDescent="0.25">
      <c r="A70" s="1" t="s">
        <v>236</v>
      </c>
      <c r="B70" s="1" t="s">
        <v>237</v>
      </c>
      <c r="C70" s="1" t="s">
        <v>238</v>
      </c>
      <c r="D70" s="1" t="s">
        <v>87</v>
      </c>
      <c r="E70" s="1" t="s">
        <v>14</v>
      </c>
    </row>
    <row r="71" spans="1:5" x14ac:dyDescent="0.25">
      <c r="A71" s="1" t="s">
        <v>239</v>
      </c>
      <c r="B71" s="1" t="s">
        <v>240</v>
      </c>
      <c r="C71" s="1" t="s">
        <v>241</v>
      </c>
      <c r="D71" s="1" t="s">
        <v>87</v>
      </c>
      <c r="E71" s="1" t="s">
        <v>21</v>
      </c>
    </row>
    <row r="72" spans="1:5" x14ac:dyDescent="0.25">
      <c r="A72" s="1" t="s">
        <v>242</v>
      </c>
      <c r="B72" s="1" t="s">
        <v>243</v>
      </c>
      <c r="C72" s="1" t="s">
        <v>244</v>
      </c>
      <c r="D72" s="1" t="s">
        <v>87</v>
      </c>
      <c r="E72" s="1" t="s">
        <v>40</v>
      </c>
    </row>
    <row r="73" spans="1:5" x14ac:dyDescent="0.25">
      <c r="A73" s="1" t="s">
        <v>245</v>
      </c>
      <c r="B73" s="1" t="s">
        <v>246</v>
      </c>
      <c r="C73" s="1" t="s">
        <v>247</v>
      </c>
      <c r="D73" s="1" t="s">
        <v>87</v>
      </c>
      <c r="E73" s="1" t="s">
        <v>44</v>
      </c>
    </row>
    <row r="74" spans="1:5" x14ac:dyDescent="0.25">
      <c r="A74" s="1" t="s">
        <v>248</v>
      </c>
      <c r="B74" s="1" t="s">
        <v>249</v>
      </c>
      <c r="C74" s="1" t="s">
        <v>250</v>
      </c>
      <c r="D74" s="1" t="s">
        <v>87</v>
      </c>
      <c r="E74" s="1" t="s">
        <v>47</v>
      </c>
    </row>
    <row r="75" spans="1:5" x14ac:dyDescent="0.25">
      <c r="A75" s="1" t="s">
        <v>252</v>
      </c>
      <c r="B75" s="1" t="s">
        <v>253</v>
      </c>
      <c r="C75" s="1" t="s">
        <v>254</v>
      </c>
      <c r="D75" s="1" t="s">
        <v>87</v>
      </c>
      <c r="E75" s="1" t="s">
        <v>140</v>
      </c>
    </row>
    <row r="76" spans="1:5" x14ac:dyDescent="0.25">
      <c r="A76" s="1" t="s">
        <v>255</v>
      </c>
      <c r="B76" s="1" t="s">
        <v>256</v>
      </c>
      <c r="C76" s="1" t="s">
        <v>155</v>
      </c>
      <c r="D76" s="1" t="s">
        <v>87</v>
      </c>
      <c r="E76" s="1" t="s">
        <v>18</v>
      </c>
    </row>
    <row r="77" spans="1:5" x14ac:dyDescent="0.25">
      <c r="A77" s="1" t="s">
        <v>258</v>
      </c>
      <c r="B77" s="1" t="s">
        <v>259</v>
      </c>
      <c r="C77" s="1" t="s">
        <v>260</v>
      </c>
      <c r="D77" s="1" t="s">
        <v>87</v>
      </c>
      <c r="E77" s="1" t="s">
        <v>261</v>
      </c>
    </row>
    <row r="78" spans="1:5" x14ac:dyDescent="0.25">
      <c r="A78" s="1" t="s">
        <v>262</v>
      </c>
      <c r="B78" s="1" t="s">
        <v>263</v>
      </c>
      <c r="C78" s="1" t="s">
        <v>264</v>
      </c>
      <c r="D78" s="1" t="s">
        <v>87</v>
      </c>
      <c r="E78" s="1" t="s">
        <v>265</v>
      </c>
    </row>
    <row r="79" spans="1:5" x14ac:dyDescent="0.25">
      <c r="A79" s="1" t="s">
        <v>266</v>
      </c>
      <c r="B79" s="1" t="s">
        <v>267</v>
      </c>
      <c r="C79" s="1" t="s">
        <v>268</v>
      </c>
      <c r="D79" s="1" t="s">
        <v>90</v>
      </c>
      <c r="E79" s="1" t="s">
        <v>14</v>
      </c>
    </row>
    <row r="80" spans="1:5" x14ac:dyDescent="0.25">
      <c r="A80" s="1" t="s">
        <v>269</v>
      </c>
      <c r="B80" s="1" t="s">
        <v>270</v>
      </c>
      <c r="C80" s="1" t="s">
        <v>271</v>
      </c>
      <c r="D80" s="1" t="s">
        <v>90</v>
      </c>
      <c r="E80" s="1" t="s">
        <v>21</v>
      </c>
    </row>
    <row r="81" spans="1:5" x14ac:dyDescent="0.25">
      <c r="A81" s="1" t="s">
        <v>272</v>
      </c>
      <c r="B81" s="1" t="s">
        <v>273</v>
      </c>
      <c r="C81" s="1" t="s">
        <v>77</v>
      </c>
      <c r="D81" s="1" t="s">
        <v>90</v>
      </c>
      <c r="E81" s="1" t="s">
        <v>40</v>
      </c>
    </row>
    <row r="82" spans="1:5" x14ac:dyDescent="0.25">
      <c r="A82" s="1" t="s">
        <v>274</v>
      </c>
      <c r="B82" s="1" t="s">
        <v>275</v>
      </c>
      <c r="C82" s="1" t="s">
        <v>276</v>
      </c>
      <c r="D82" s="1" t="s">
        <v>90</v>
      </c>
      <c r="E82" s="1" t="s">
        <v>44</v>
      </c>
    </row>
    <row r="83" spans="1:5" x14ac:dyDescent="0.25">
      <c r="A83" s="1" t="s">
        <v>277</v>
      </c>
      <c r="B83" s="1" t="s">
        <v>278</v>
      </c>
      <c r="C83" s="1" t="s">
        <v>279</v>
      </c>
      <c r="D83" s="1" t="s">
        <v>90</v>
      </c>
      <c r="E83" s="1" t="s">
        <v>47</v>
      </c>
    </row>
    <row r="84" spans="1:5" x14ac:dyDescent="0.25">
      <c r="A84" s="1" t="s">
        <v>281</v>
      </c>
      <c r="B84" s="1" t="s">
        <v>282</v>
      </c>
      <c r="C84" s="1" t="s">
        <v>283</v>
      </c>
      <c r="D84" s="1" t="s">
        <v>90</v>
      </c>
      <c r="E84" s="1" t="s">
        <v>140</v>
      </c>
    </row>
    <row r="85" spans="1:5" x14ac:dyDescent="0.25">
      <c r="A85" s="1" t="s">
        <v>284</v>
      </c>
      <c r="B85" s="1" t="s">
        <v>285</v>
      </c>
      <c r="C85" s="1" t="s">
        <v>179</v>
      </c>
      <c r="D85" s="1" t="s">
        <v>90</v>
      </c>
      <c r="E85" s="1" t="s">
        <v>18</v>
      </c>
    </row>
    <row r="86" spans="1:5" x14ac:dyDescent="0.25">
      <c r="A86" s="1" t="s">
        <v>287</v>
      </c>
      <c r="B86" s="1" t="s">
        <v>288</v>
      </c>
      <c r="C86" s="1" t="s">
        <v>159</v>
      </c>
      <c r="D86" s="1" t="s">
        <v>90</v>
      </c>
      <c r="E86" s="1" t="s">
        <v>261</v>
      </c>
    </row>
    <row r="87" spans="1:5" x14ac:dyDescent="0.25">
      <c r="A87" s="1" t="s">
        <v>289</v>
      </c>
      <c r="B87" s="1" t="s">
        <v>290</v>
      </c>
      <c r="C87" s="1" t="s">
        <v>291</v>
      </c>
      <c r="D87" s="1" t="s">
        <v>90</v>
      </c>
      <c r="E87" s="1" t="s">
        <v>265</v>
      </c>
    </row>
    <row r="88" spans="1:5" x14ac:dyDescent="0.25">
      <c r="A88" s="1" t="s">
        <v>292</v>
      </c>
      <c r="B88" s="1" t="s">
        <v>293</v>
      </c>
      <c r="C88" s="1" t="s">
        <v>294</v>
      </c>
      <c r="D88" s="1" t="s">
        <v>93</v>
      </c>
      <c r="E88" s="1" t="s">
        <v>14</v>
      </c>
    </row>
    <row r="89" spans="1:5" x14ac:dyDescent="0.25">
      <c r="A89" s="1" t="s">
        <v>295</v>
      </c>
      <c r="B89" s="1" t="s">
        <v>296</v>
      </c>
      <c r="C89" s="1" t="s">
        <v>297</v>
      </c>
      <c r="D89" s="1" t="s">
        <v>93</v>
      </c>
      <c r="E89" s="1" t="s">
        <v>21</v>
      </c>
    </row>
    <row r="90" spans="1:5" x14ac:dyDescent="0.25">
      <c r="A90" s="1" t="s">
        <v>298</v>
      </c>
      <c r="B90" s="1" t="s">
        <v>299</v>
      </c>
      <c r="C90" s="1" t="s">
        <v>300</v>
      </c>
      <c r="D90" s="1" t="s">
        <v>93</v>
      </c>
      <c r="E90" s="1" t="s">
        <v>40</v>
      </c>
    </row>
    <row r="91" spans="1:5" x14ac:dyDescent="0.25">
      <c r="A91" s="1" t="s">
        <v>302</v>
      </c>
      <c r="B91" s="1" t="s">
        <v>303</v>
      </c>
      <c r="C91" s="1" t="s">
        <v>304</v>
      </c>
      <c r="D91" s="1" t="s">
        <v>93</v>
      </c>
      <c r="E91" s="1" t="s">
        <v>44</v>
      </c>
    </row>
    <row r="92" spans="1:5" x14ac:dyDescent="0.25">
      <c r="A92" s="1" t="s">
        <v>306</v>
      </c>
      <c r="B92" s="1" t="s">
        <v>307</v>
      </c>
      <c r="C92" s="1" t="s">
        <v>308</v>
      </c>
      <c r="D92" s="1" t="s">
        <v>93</v>
      </c>
      <c r="E92" s="1" t="s">
        <v>47</v>
      </c>
    </row>
    <row r="93" spans="1:5" x14ac:dyDescent="0.25">
      <c r="A93" s="1" t="s">
        <v>310</v>
      </c>
      <c r="B93" s="1" t="s">
        <v>311</v>
      </c>
      <c r="C93" s="1" t="s">
        <v>220</v>
      </c>
      <c r="D93" s="1" t="s">
        <v>93</v>
      </c>
      <c r="E93" s="1" t="s">
        <v>140</v>
      </c>
    </row>
    <row r="94" spans="1:5" x14ac:dyDescent="0.25">
      <c r="A94" s="1" t="s">
        <v>313</v>
      </c>
      <c r="B94" s="1" t="s">
        <v>314</v>
      </c>
      <c r="C94" s="1" t="s">
        <v>260</v>
      </c>
      <c r="D94" s="1" t="s">
        <v>93</v>
      </c>
      <c r="E94" s="1" t="s">
        <v>18</v>
      </c>
    </row>
    <row r="95" spans="1:5" x14ac:dyDescent="0.25">
      <c r="A95" s="1" t="s">
        <v>316</v>
      </c>
      <c r="B95" s="1" t="s">
        <v>317</v>
      </c>
      <c r="C95" s="1" t="s">
        <v>251</v>
      </c>
      <c r="D95" s="1" t="s">
        <v>93</v>
      </c>
      <c r="E95" s="1" t="s">
        <v>261</v>
      </c>
    </row>
    <row r="96" spans="1:5" x14ac:dyDescent="0.25">
      <c r="A96" s="1" t="s">
        <v>319</v>
      </c>
      <c r="B96" s="1" t="s">
        <v>320</v>
      </c>
      <c r="C96" s="1" t="s">
        <v>321</v>
      </c>
      <c r="D96" s="1" t="s">
        <v>93</v>
      </c>
      <c r="E96" s="1" t="s">
        <v>265</v>
      </c>
    </row>
    <row r="97" spans="1:5" x14ac:dyDescent="0.25">
      <c r="A97" s="1" t="s">
        <v>323</v>
      </c>
      <c r="B97" s="1" t="s">
        <v>324</v>
      </c>
      <c r="C97" s="1" t="s">
        <v>325</v>
      </c>
      <c r="D97" s="1" t="s">
        <v>96</v>
      </c>
      <c r="E97" s="1" t="s">
        <v>14</v>
      </c>
    </row>
    <row r="98" spans="1:5" x14ac:dyDescent="0.25">
      <c r="A98" s="1" t="s">
        <v>326</v>
      </c>
      <c r="B98" s="1" t="s">
        <v>327</v>
      </c>
      <c r="C98" s="1" t="s">
        <v>328</v>
      </c>
      <c r="D98" s="1" t="s">
        <v>96</v>
      </c>
      <c r="E98" s="1" t="s">
        <v>21</v>
      </c>
    </row>
    <row r="99" spans="1:5" x14ac:dyDescent="0.25">
      <c r="A99" s="1" t="s">
        <v>329</v>
      </c>
      <c r="B99" s="1" t="s">
        <v>330</v>
      </c>
      <c r="C99" s="1" t="s">
        <v>331</v>
      </c>
      <c r="D99" s="1" t="s">
        <v>96</v>
      </c>
      <c r="E99" s="1" t="s">
        <v>40</v>
      </c>
    </row>
    <row r="100" spans="1:5" x14ac:dyDescent="0.25">
      <c r="A100" s="1" t="s">
        <v>333</v>
      </c>
      <c r="B100" s="1" t="s">
        <v>334</v>
      </c>
      <c r="C100" s="1" t="s">
        <v>335</v>
      </c>
      <c r="D100" s="1" t="s">
        <v>96</v>
      </c>
      <c r="E100" s="1" t="s">
        <v>44</v>
      </c>
    </row>
    <row r="101" spans="1:5" x14ac:dyDescent="0.25">
      <c r="A101" s="1" t="s">
        <v>337</v>
      </c>
      <c r="B101" s="1" t="s">
        <v>338</v>
      </c>
      <c r="C101" s="1" t="s">
        <v>339</v>
      </c>
      <c r="D101" s="1" t="s">
        <v>96</v>
      </c>
      <c r="E101" s="1" t="s">
        <v>47</v>
      </c>
    </row>
    <row r="102" spans="1:5" x14ac:dyDescent="0.25">
      <c r="A102" s="1" t="s">
        <v>340</v>
      </c>
      <c r="B102" s="1" t="s">
        <v>341</v>
      </c>
      <c r="C102" s="1" t="s">
        <v>200</v>
      </c>
      <c r="D102" s="1" t="s">
        <v>96</v>
      </c>
      <c r="E102" s="1" t="s">
        <v>140</v>
      </c>
    </row>
    <row r="103" spans="1:5" x14ac:dyDescent="0.25">
      <c r="A103" s="1" t="s">
        <v>342</v>
      </c>
      <c r="B103" s="1" t="s">
        <v>343</v>
      </c>
      <c r="C103" s="1" t="s">
        <v>159</v>
      </c>
      <c r="D103" s="1" t="s">
        <v>96</v>
      </c>
      <c r="E103" s="1" t="s">
        <v>18</v>
      </c>
    </row>
    <row r="104" spans="1:5" x14ac:dyDescent="0.25">
      <c r="A104" s="1" t="s">
        <v>344</v>
      </c>
      <c r="B104" s="1" t="s">
        <v>345</v>
      </c>
      <c r="C104" s="1" t="s">
        <v>280</v>
      </c>
      <c r="D104" s="1" t="s">
        <v>96</v>
      </c>
      <c r="E104" s="1" t="s">
        <v>261</v>
      </c>
    </row>
    <row r="105" spans="1:5" x14ac:dyDescent="0.25">
      <c r="A105" s="1" t="s">
        <v>347</v>
      </c>
      <c r="B105" s="1" t="s">
        <v>348</v>
      </c>
      <c r="C105" s="1" t="s">
        <v>349</v>
      </c>
      <c r="D105" s="1" t="s">
        <v>96</v>
      </c>
      <c r="E105" s="1" t="s">
        <v>265</v>
      </c>
    </row>
    <row r="106" spans="1:5" x14ac:dyDescent="0.25">
      <c r="A106" s="1" t="s">
        <v>350</v>
      </c>
      <c r="B106" s="1" t="s">
        <v>351</v>
      </c>
      <c r="C106" s="1" t="s">
        <v>352</v>
      </c>
      <c r="D106" s="1" t="s">
        <v>99</v>
      </c>
      <c r="E106" s="1" t="s">
        <v>14</v>
      </c>
    </row>
    <row r="107" spans="1:5" x14ac:dyDescent="0.25">
      <c r="A107" s="1" t="s">
        <v>353</v>
      </c>
      <c r="B107" s="1" t="s">
        <v>354</v>
      </c>
      <c r="C107" s="1" t="s">
        <v>158</v>
      </c>
      <c r="D107" s="1" t="s">
        <v>99</v>
      </c>
      <c r="E107" s="1" t="s">
        <v>21</v>
      </c>
    </row>
    <row r="108" spans="1:5" x14ac:dyDescent="0.25">
      <c r="A108" s="1" t="s">
        <v>356</v>
      </c>
      <c r="B108" s="1" t="s">
        <v>357</v>
      </c>
      <c r="C108" s="1" t="s">
        <v>279</v>
      </c>
      <c r="D108" s="1" t="s">
        <v>99</v>
      </c>
      <c r="E108" s="1" t="s">
        <v>40</v>
      </c>
    </row>
    <row r="109" spans="1:5" x14ac:dyDescent="0.25">
      <c r="A109" s="1" t="s">
        <v>358</v>
      </c>
      <c r="B109" s="1" t="s">
        <v>359</v>
      </c>
      <c r="C109" s="1" t="s">
        <v>360</v>
      </c>
      <c r="D109" s="1" t="s">
        <v>99</v>
      </c>
      <c r="E109" s="1" t="s">
        <v>44</v>
      </c>
    </row>
    <row r="110" spans="1:5" x14ac:dyDescent="0.25">
      <c r="A110" s="1" t="s">
        <v>361</v>
      </c>
      <c r="B110" s="1" t="s">
        <v>362</v>
      </c>
      <c r="C110" s="1" t="s">
        <v>14</v>
      </c>
      <c r="D110" s="1" t="s">
        <v>99</v>
      </c>
      <c r="E110" s="1" t="s">
        <v>47</v>
      </c>
    </row>
    <row r="111" spans="1:5" x14ac:dyDescent="0.25">
      <c r="A111" s="1" t="s">
        <v>364</v>
      </c>
      <c r="B111" s="1" t="s">
        <v>365</v>
      </c>
      <c r="C111" s="1" t="s">
        <v>139</v>
      </c>
      <c r="D111" s="1" t="s">
        <v>99</v>
      </c>
      <c r="E111" s="1" t="s">
        <v>140</v>
      </c>
    </row>
    <row r="112" spans="1:5" x14ac:dyDescent="0.25">
      <c r="A112" s="1" t="s">
        <v>366</v>
      </c>
      <c r="B112" s="1" t="s">
        <v>367</v>
      </c>
      <c r="C112" s="1" t="s">
        <v>183</v>
      </c>
      <c r="D112" s="1" t="s">
        <v>99</v>
      </c>
      <c r="E112" s="1" t="s">
        <v>18</v>
      </c>
    </row>
    <row r="113" spans="1:5" x14ac:dyDescent="0.25">
      <c r="A113" s="1" t="s">
        <v>369</v>
      </c>
      <c r="B113" s="1" t="s">
        <v>370</v>
      </c>
      <c r="C113" s="1" t="s">
        <v>231</v>
      </c>
      <c r="D113" s="1" t="s">
        <v>99</v>
      </c>
      <c r="E113" s="1" t="s">
        <v>261</v>
      </c>
    </row>
    <row r="114" spans="1:5" x14ac:dyDescent="0.25">
      <c r="A114" s="1" t="s">
        <v>372</v>
      </c>
      <c r="B114" s="1" t="s">
        <v>373</v>
      </c>
      <c r="C114" s="1" t="s">
        <v>235</v>
      </c>
      <c r="D114" s="1" t="s">
        <v>99</v>
      </c>
      <c r="E114" s="1" t="s">
        <v>265</v>
      </c>
    </row>
    <row r="115" spans="1:5" x14ac:dyDescent="0.25">
      <c r="A115" s="1" t="s">
        <v>375</v>
      </c>
      <c r="B115" s="1" t="s">
        <v>376</v>
      </c>
      <c r="C115" s="1" t="s">
        <v>377</v>
      </c>
      <c r="D115" s="1" t="s">
        <v>102</v>
      </c>
      <c r="E115" s="1" t="s">
        <v>14</v>
      </c>
    </row>
    <row r="116" spans="1:5" x14ac:dyDescent="0.25">
      <c r="A116" s="1" t="s">
        <v>378</v>
      </c>
      <c r="B116" s="1" t="s">
        <v>379</v>
      </c>
      <c r="C116" s="1" t="s">
        <v>380</v>
      </c>
      <c r="D116" s="1" t="s">
        <v>102</v>
      </c>
      <c r="E116" s="1" t="s">
        <v>21</v>
      </c>
    </row>
    <row r="117" spans="1:5" x14ac:dyDescent="0.25">
      <c r="A117" s="1" t="s">
        <v>381</v>
      </c>
      <c r="B117" s="1" t="s">
        <v>382</v>
      </c>
      <c r="C117" s="1" t="s">
        <v>383</v>
      </c>
      <c r="D117" s="1" t="s">
        <v>102</v>
      </c>
      <c r="E117" s="1" t="s">
        <v>40</v>
      </c>
    </row>
    <row r="118" spans="1:5" x14ac:dyDescent="0.25">
      <c r="A118" s="1" t="s">
        <v>384</v>
      </c>
      <c r="B118" s="1" t="s">
        <v>385</v>
      </c>
      <c r="C118" s="1" t="s">
        <v>386</v>
      </c>
      <c r="D118" s="1" t="s">
        <v>102</v>
      </c>
      <c r="E118" s="1" t="s">
        <v>44</v>
      </c>
    </row>
    <row r="119" spans="1:5" x14ac:dyDescent="0.25">
      <c r="A119" s="1" t="s">
        <v>387</v>
      </c>
      <c r="B119" s="1" t="s">
        <v>388</v>
      </c>
      <c r="C119" s="1" t="s">
        <v>155</v>
      </c>
      <c r="D119" s="1" t="s">
        <v>102</v>
      </c>
      <c r="E119" s="1" t="s">
        <v>47</v>
      </c>
    </row>
    <row r="120" spans="1:5" x14ac:dyDescent="0.25">
      <c r="A120" s="1" t="s">
        <v>390</v>
      </c>
      <c r="B120" s="1" t="s">
        <v>391</v>
      </c>
      <c r="C120" s="1" t="s">
        <v>301</v>
      </c>
      <c r="D120" s="1" t="s">
        <v>102</v>
      </c>
      <c r="E120" s="1" t="s">
        <v>140</v>
      </c>
    </row>
    <row r="121" spans="1:5" x14ac:dyDescent="0.25">
      <c r="A121" s="1" t="s">
        <v>393</v>
      </c>
      <c r="B121" s="1" t="s">
        <v>394</v>
      </c>
      <c r="C121" s="1" t="s">
        <v>395</v>
      </c>
      <c r="D121" s="1" t="s">
        <v>102</v>
      </c>
      <c r="E121" s="1" t="s">
        <v>18</v>
      </c>
    </row>
    <row r="122" spans="1:5" x14ac:dyDescent="0.25">
      <c r="A122" s="1" t="s">
        <v>396</v>
      </c>
      <c r="B122" s="1" t="s">
        <v>397</v>
      </c>
      <c r="C122" s="1" t="s">
        <v>40</v>
      </c>
      <c r="D122" s="1" t="s">
        <v>102</v>
      </c>
      <c r="E122" s="1" t="s">
        <v>261</v>
      </c>
    </row>
    <row r="123" spans="1:5" x14ac:dyDescent="0.25">
      <c r="A123" s="1" t="s">
        <v>399</v>
      </c>
      <c r="B123" s="1" t="s">
        <v>400</v>
      </c>
      <c r="C123" s="1" t="s">
        <v>257</v>
      </c>
      <c r="D123" s="1" t="s">
        <v>102</v>
      </c>
      <c r="E123" s="1" t="s">
        <v>265</v>
      </c>
    </row>
    <row r="124" spans="1:5" x14ac:dyDescent="0.25">
      <c r="A124" s="1" t="s">
        <v>401</v>
      </c>
      <c r="B124" s="1" t="s">
        <v>402</v>
      </c>
      <c r="C124" s="1" t="s">
        <v>403</v>
      </c>
      <c r="D124" s="1" t="s">
        <v>108</v>
      </c>
      <c r="E124" s="1" t="s">
        <v>14</v>
      </c>
    </row>
    <row r="125" spans="1:5" x14ac:dyDescent="0.25">
      <c r="A125" s="1" t="s">
        <v>404</v>
      </c>
      <c r="B125" s="1" t="s">
        <v>405</v>
      </c>
      <c r="C125" s="1" t="s">
        <v>406</v>
      </c>
      <c r="D125" s="1" t="s">
        <v>108</v>
      </c>
      <c r="E125" s="1" t="s">
        <v>21</v>
      </c>
    </row>
    <row r="126" spans="1:5" x14ac:dyDescent="0.25">
      <c r="A126" s="1" t="s">
        <v>407</v>
      </c>
      <c r="B126" s="1" t="s">
        <v>408</v>
      </c>
      <c r="C126" s="1" t="s">
        <v>409</v>
      </c>
      <c r="D126" s="1" t="s">
        <v>108</v>
      </c>
      <c r="E126" s="1" t="s">
        <v>40</v>
      </c>
    </row>
    <row r="127" spans="1:5" x14ac:dyDescent="0.25">
      <c r="A127" s="1" t="s">
        <v>410</v>
      </c>
      <c r="B127" s="1" t="s">
        <v>411</v>
      </c>
      <c r="C127" s="1" t="s">
        <v>412</v>
      </c>
      <c r="D127" s="1" t="s">
        <v>108</v>
      </c>
      <c r="E127" s="1" t="s">
        <v>44</v>
      </c>
    </row>
    <row r="128" spans="1:5" x14ac:dyDescent="0.25">
      <c r="A128" s="1" t="s">
        <v>414</v>
      </c>
      <c r="B128" s="1" t="s">
        <v>415</v>
      </c>
      <c r="C128" s="1" t="s">
        <v>139</v>
      </c>
      <c r="D128" s="1" t="s">
        <v>108</v>
      </c>
      <c r="E128" s="1" t="s">
        <v>47</v>
      </c>
    </row>
    <row r="129" spans="1:5" x14ac:dyDescent="0.25">
      <c r="A129" s="1" t="s">
        <v>417</v>
      </c>
      <c r="B129" s="1" t="s">
        <v>418</v>
      </c>
      <c r="C129" s="1" t="s">
        <v>305</v>
      </c>
      <c r="D129" s="1" t="s">
        <v>108</v>
      </c>
      <c r="E129" s="1" t="s">
        <v>140</v>
      </c>
    </row>
    <row r="130" spans="1:5" x14ac:dyDescent="0.25">
      <c r="A130" s="1" t="s">
        <v>419</v>
      </c>
      <c r="B130" s="1" t="s">
        <v>420</v>
      </c>
      <c r="C130" s="1" t="s">
        <v>187</v>
      </c>
      <c r="D130" s="1" t="s">
        <v>108</v>
      </c>
      <c r="E130" s="1" t="s">
        <v>18</v>
      </c>
    </row>
    <row r="131" spans="1:5" x14ac:dyDescent="0.25">
      <c r="A131" s="1" t="s">
        <v>421</v>
      </c>
      <c r="B131" s="1" t="s">
        <v>422</v>
      </c>
      <c r="C131" s="1" t="s">
        <v>235</v>
      </c>
      <c r="D131" s="1" t="s">
        <v>108</v>
      </c>
      <c r="E131" s="1" t="s">
        <v>261</v>
      </c>
    </row>
    <row r="132" spans="1:5" x14ac:dyDescent="0.25">
      <c r="A132" s="1" t="s">
        <v>423</v>
      </c>
      <c r="B132" s="1" t="s">
        <v>424</v>
      </c>
      <c r="C132" s="1" t="s">
        <v>315</v>
      </c>
      <c r="D132" s="1" t="s">
        <v>108</v>
      </c>
      <c r="E132" s="1" t="s">
        <v>265</v>
      </c>
    </row>
    <row r="133" spans="1:5" x14ac:dyDescent="0.25">
      <c r="A133" s="1" t="s">
        <v>425</v>
      </c>
      <c r="B133" s="1" t="s">
        <v>426</v>
      </c>
      <c r="C133" s="1" t="s">
        <v>427</v>
      </c>
      <c r="D133" s="1" t="s">
        <v>114</v>
      </c>
      <c r="E133" s="1" t="s">
        <v>14</v>
      </c>
    </row>
    <row r="134" spans="1:5" x14ac:dyDescent="0.25">
      <c r="A134" s="1" t="s">
        <v>428</v>
      </c>
      <c r="B134" s="1" t="s">
        <v>429</v>
      </c>
      <c r="C134" s="1" t="s">
        <v>430</v>
      </c>
      <c r="D134" s="1" t="s">
        <v>114</v>
      </c>
      <c r="E134" s="1" t="s">
        <v>21</v>
      </c>
    </row>
    <row r="135" spans="1:5" x14ac:dyDescent="0.25">
      <c r="A135" s="1" t="s">
        <v>431</v>
      </c>
      <c r="B135" s="1" t="s">
        <v>432</v>
      </c>
      <c r="C135" s="1" t="s">
        <v>355</v>
      </c>
      <c r="D135" s="1" t="s">
        <v>114</v>
      </c>
      <c r="E135" s="1" t="s">
        <v>40</v>
      </c>
    </row>
    <row r="136" spans="1:5" x14ac:dyDescent="0.25">
      <c r="A136" s="1" t="s">
        <v>434</v>
      </c>
      <c r="B136" s="1" t="s">
        <v>435</v>
      </c>
      <c r="C136" s="1" t="s">
        <v>260</v>
      </c>
      <c r="D136" s="1" t="s">
        <v>114</v>
      </c>
      <c r="E136" s="1" t="s">
        <v>44</v>
      </c>
    </row>
    <row r="137" spans="1:5" x14ac:dyDescent="0.25">
      <c r="A137" s="1" t="s">
        <v>436</v>
      </c>
      <c r="B137" s="1" t="s">
        <v>437</v>
      </c>
      <c r="C137" s="1" t="s">
        <v>21</v>
      </c>
      <c r="D137" s="1" t="s">
        <v>114</v>
      </c>
      <c r="E137" s="1" t="s">
        <v>47</v>
      </c>
    </row>
    <row r="138" spans="1:5" x14ac:dyDescent="0.25">
      <c r="A138" s="1" t="s">
        <v>438</v>
      </c>
      <c r="B138" s="1" t="s">
        <v>439</v>
      </c>
      <c r="C138" s="1" t="s">
        <v>309</v>
      </c>
      <c r="D138" s="1" t="s">
        <v>114</v>
      </c>
      <c r="E138" s="1" t="s">
        <v>140</v>
      </c>
    </row>
    <row r="139" spans="1:5" x14ac:dyDescent="0.25">
      <c r="A139" s="1" t="s">
        <v>441</v>
      </c>
      <c r="B139" s="1" t="s">
        <v>442</v>
      </c>
      <c r="C139" s="1" t="s">
        <v>413</v>
      </c>
      <c r="D139" s="1" t="s">
        <v>114</v>
      </c>
      <c r="E139" s="1" t="s">
        <v>18</v>
      </c>
    </row>
    <row r="140" spans="1:5" x14ac:dyDescent="0.25">
      <c r="A140" s="1" t="s">
        <v>444</v>
      </c>
      <c r="B140" s="1" t="s">
        <v>445</v>
      </c>
      <c r="C140" s="1" t="s">
        <v>446</v>
      </c>
      <c r="D140" s="1" t="s">
        <v>114</v>
      </c>
      <c r="E140" s="1" t="s">
        <v>261</v>
      </c>
    </row>
    <row r="141" spans="1:5" x14ac:dyDescent="0.25">
      <c r="A141" s="1" t="s">
        <v>447</v>
      </c>
      <c r="B141" s="1" t="s">
        <v>448</v>
      </c>
      <c r="C141" s="1" t="s">
        <v>368</v>
      </c>
      <c r="D141" s="1" t="s">
        <v>114</v>
      </c>
      <c r="E141" s="1" t="s">
        <v>265</v>
      </c>
    </row>
    <row r="142" spans="1:5" x14ac:dyDescent="0.25">
      <c r="A142" s="1" t="s">
        <v>450</v>
      </c>
      <c r="B142" s="1" t="s">
        <v>451</v>
      </c>
      <c r="C142" s="1" t="s">
        <v>371</v>
      </c>
      <c r="D142" s="1" t="s">
        <v>114</v>
      </c>
      <c r="E142" s="1" t="s">
        <v>452</v>
      </c>
    </row>
    <row r="143" spans="1:5" x14ac:dyDescent="0.25">
      <c r="A143" s="1" t="s">
        <v>453</v>
      </c>
      <c r="B143" s="1" t="s">
        <v>454</v>
      </c>
      <c r="C143" s="1" t="s">
        <v>455</v>
      </c>
      <c r="D143" s="1" t="s">
        <v>114</v>
      </c>
      <c r="E143" s="1" t="s">
        <v>22</v>
      </c>
    </row>
    <row r="144" spans="1:5" x14ac:dyDescent="0.25">
      <c r="A144" s="1" t="s">
        <v>456</v>
      </c>
      <c r="B144" s="1" t="s">
        <v>457</v>
      </c>
      <c r="C144" s="1" t="s">
        <v>138</v>
      </c>
      <c r="D144" s="1" t="s">
        <v>117</v>
      </c>
      <c r="E144" s="1" t="s">
        <v>14</v>
      </c>
    </row>
    <row r="145" spans="1:5" x14ac:dyDescent="0.25">
      <c r="A145" s="1" t="s">
        <v>458</v>
      </c>
      <c r="B145" s="1" t="s">
        <v>459</v>
      </c>
      <c r="C145" s="1" t="s">
        <v>254</v>
      </c>
      <c r="D145" s="1" t="s">
        <v>117</v>
      </c>
      <c r="E145" s="1" t="s">
        <v>21</v>
      </c>
    </row>
    <row r="146" spans="1:5" x14ac:dyDescent="0.25">
      <c r="A146" s="1" t="s">
        <v>460</v>
      </c>
      <c r="B146" s="1" t="s">
        <v>461</v>
      </c>
      <c r="C146" s="1" t="s">
        <v>179</v>
      </c>
      <c r="D146" s="1" t="s">
        <v>117</v>
      </c>
      <c r="E146" s="1" t="s">
        <v>40</v>
      </c>
    </row>
    <row r="147" spans="1:5" x14ac:dyDescent="0.25">
      <c r="A147" s="1" t="s">
        <v>462</v>
      </c>
      <c r="B147" s="1" t="s">
        <v>463</v>
      </c>
      <c r="C147" s="1" t="s">
        <v>464</v>
      </c>
      <c r="D147" s="1" t="s">
        <v>117</v>
      </c>
      <c r="E147" s="1" t="s">
        <v>44</v>
      </c>
    </row>
    <row r="148" spans="1:5" x14ac:dyDescent="0.25">
      <c r="A148" s="1" t="s">
        <v>465</v>
      </c>
      <c r="B148" s="1" t="s">
        <v>466</v>
      </c>
      <c r="C148" s="1" t="s">
        <v>251</v>
      </c>
      <c r="D148" s="1" t="s">
        <v>117</v>
      </c>
      <c r="E148" s="1" t="s">
        <v>47</v>
      </c>
    </row>
    <row r="149" spans="1:5" x14ac:dyDescent="0.25">
      <c r="A149" s="1" t="s">
        <v>467</v>
      </c>
      <c r="B149" s="1" t="s">
        <v>468</v>
      </c>
      <c r="C149" s="1" t="s">
        <v>187</v>
      </c>
      <c r="D149" s="1" t="s">
        <v>117</v>
      </c>
      <c r="E149" s="1" t="s">
        <v>140</v>
      </c>
    </row>
    <row r="150" spans="1:5" x14ac:dyDescent="0.25">
      <c r="A150" s="1" t="s">
        <v>470</v>
      </c>
      <c r="B150" s="1" t="s">
        <v>471</v>
      </c>
      <c r="C150" s="1" t="s">
        <v>472</v>
      </c>
      <c r="D150" s="1" t="s">
        <v>117</v>
      </c>
      <c r="E150" s="1" t="s">
        <v>18</v>
      </c>
    </row>
    <row r="151" spans="1:5" x14ac:dyDescent="0.25">
      <c r="A151" s="1" t="s">
        <v>473</v>
      </c>
      <c r="B151" s="1" t="s">
        <v>474</v>
      </c>
      <c r="C151" s="1" t="s">
        <v>475</v>
      </c>
      <c r="D151" s="1" t="s">
        <v>117</v>
      </c>
      <c r="E151" s="1" t="s">
        <v>261</v>
      </c>
    </row>
    <row r="152" spans="1:5" x14ac:dyDescent="0.25">
      <c r="A152" s="1" t="s">
        <v>477</v>
      </c>
      <c r="B152" s="1" t="s">
        <v>478</v>
      </c>
      <c r="C152" s="1" t="s">
        <v>318</v>
      </c>
      <c r="D152" s="1" t="s">
        <v>117</v>
      </c>
      <c r="E152" s="1" t="s">
        <v>265</v>
      </c>
    </row>
    <row r="153" spans="1:5" x14ac:dyDescent="0.25">
      <c r="A153" s="1" t="s">
        <v>479</v>
      </c>
      <c r="B153" s="1" t="s">
        <v>480</v>
      </c>
      <c r="C153" s="1" t="s">
        <v>398</v>
      </c>
      <c r="D153" s="1" t="s">
        <v>117</v>
      </c>
      <c r="E153" s="1" t="s">
        <v>452</v>
      </c>
    </row>
    <row r="154" spans="1:5" x14ac:dyDescent="0.25">
      <c r="A154" s="1" t="s">
        <v>481</v>
      </c>
      <c r="B154" s="1" t="s">
        <v>482</v>
      </c>
      <c r="C154" s="1" t="s">
        <v>483</v>
      </c>
      <c r="D154" s="1" t="s">
        <v>117</v>
      </c>
      <c r="E154" s="1" t="s">
        <v>22</v>
      </c>
    </row>
    <row r="155" spans="1:5" x14ac:dyDescent="0.25">
      <c r="A155" s="1" t="s">
        <v>484</v>
      </c>
      <c r="B155" s="1" t="s">
        <v>485</v>
      </c>
      <c r="C155" s="1" t="s">
        <v>486</v>
      </c>
      <c r="D155" s="1" t="s">
        <v>487</v>
      </c>
      <c r="E155" s="1" t="s">
        <v>21</v>
      </c>
    </row>
    <row r="156" spans="1:5" x14ac:dyDescent="0.25">
      <c r="A156" s="1" t="s">
        <v>488</v>
      </c>
      <c r="B156" s="1" t="s">
        <v>489</v>
      </c>
      <c r="C156" s="1" t="s">
        <v>139</v>
      </c>
      <c r="D156" s="1" t="s">
        <v>487</v>
      </c>
      <c r="E156" s="1" t="s">
        <v>40</v>
      </c>
    </row>
    <row r="157" spans="1:5" x14ac:dyDescent="0.25">
      <c r="A157" s="1" t="s">
        <v>490</v>
      </c>
      <c r="B157" s="1" t="s">
        <v>491</v>
      </c>
      <c r="C157" s="1" t="s">
        <v>227</v>
      </c>
      <c r="D157" s="1" t="s">
        <v>487</v>
      </c>
      <c r="E157" s="1" t="s">
        <v>44</v>
      </c>
    </row>
    <row r="158" spans="1:5" x14ac:dyDescent="0.25">
      <c r="A158" s="1" t="s">
        <v>492</v>
      </c>
      <c r="B158" s="1" t="s">
        <v>493</v>
      </c>
      <c r="C158" s="1" t="s">
        <v>494</v>
      </c>
      <c r="D158" s="1" t="s">
        <v>487</v>
      </c>
      <c r="E158" s="1" t="s">
        <v>47</v>
      </c>
    </row>
    <row r="159" spans="1:5" x14ac:dyDescent="0.25">
      <c r="A159" s="1" t="s">
        <v>495</v>
      </c>
      <c r="B159" s="1" t="s">
        <v>496</v>
      </c>
      <c r="C159" s="1" t="s">
        <v>497</v>
      </c>
      <c r="D159" s="1" t="s">
        <v>487</v>
      </c>
      <c r="E159" s="1" t="s">
        <v>140</v>
      </c>
    </row>
    <row r="160" spans="1:5" x14ac:dyDescent="0.25">
      <c r="A160" s="1" t="s">
        <v>498</v>
      </c>
      <c r="B160" s="1" t="s">
        <v>499</v>
      </c>
      <c r="C160" s="1" t="s">
        <v>500</v>
      </c>
      <c r="D160" s="1" t="s">
        <v>487</v>
      </c>
      <c r="E160" s="1" t="s">
        <v>18</v>
      </c>
    </row>
    <row r="161" spans="1:5" x14ac:dyDescent="0.25">
      <c r="A161" s="1" t="s">
        <v>501</v>
      </c>
      <c r="B161" s="1" t="s">
        <v>502</v>
      </c>
      <c r="C161" s="1" t="s">
        <v>503</v>
      </c>
      <c r="D161" s="1" t="s">
        <v>487</v>
      </c>
      <c r="E161" s="1" t="s">
        <v>261</v>
      </c>
    </row>
    <row r="162" spans="1:5" x14ac:dyDescent="0.25">
      <c r="A162" s="1" t="s">
        <v>505</v>
      </c>
      <c r="B162" s="1" t="s">
        <v>506</v>
      </c>
      <c r="C162" s="1" t="s">
        <v>507</v>
      </c>
      <c r="D162" s="1" t="s">
        <v>487</v>
      </c>
      <c r="E162" s="1" t="s">
        <v>265</v>
      </c>
    </row>
    <row r="163" spans="1:5" x14ac:dyDescent="0.25">
      <c r="A163" s="1" t="s">
        <v>508</v>
      </c>
      <c r="B163" s="1" t="s">
        <v>509</v>
      </c>
      <c r="C163" s="1" t="s">
        <v>510</v>
      </c>
      <c r="D163" s="1" t="s">
        <v>487</v>
      </c>
      <c r="E163" s="1" t="s">
        <v>452</v>
      </c>
    </row>
    <row r="164" spans="1:5" x14ac:dyDescent="0.25">
      <c r="A164" s="1" t="s">
        <v>512</v>
      </c>
      <c r="B164" s="1" t="s">
        <v>513</v>
      </c>
      <c r="C164" s="1" t="s">
        <v>514</v>
      </c>
      <c r="D164" s="1" t="s">
        <v>487</v>
      </c>
      <c r="E164" s="1" t="s">
        <v>22</v>
      </c>
    </row>
    <row r="165" spans="1:5" x14ac:dyDescent="0.25">
      <c r="A165" s="1" t="s">
        <v>515</v>
      </c>
      <c r="B165" s="1" t="s">
        <v>516</v>
      </c>
      <c r="C165" s="1" t="s">
        <v>14</v>
      </c>
      <c r="D165" s="1" t="s">
        <v>123</v>
      </c>
      <c r="E165" s="1" t="s">
        <v>21</v>
      </c>
    </row>
    <row r="166" spans="1:5" x14ac:dyDescent="0.25">
      <c r="A166" s="1" t="s">
        <v>518</v>
      </c>
      <c r="B166" s="1" t="s">
        <v>519</v>
      </c>
      <c r="C166" s="1" t="s">
        <v>301</v>
      </c>
      <c r="D166" s="1" t="s">
        <v>123</v>
      </c>
      <c r="E166" s="1" t="s">
        <v>40</v>
      </c>
    </row>
    <row r="167" spans="1:5" x14ac:dyDescent="0.25">
      <c r="A167" s="1" t="s">
        <v>520</v>
      </c>
      <c r="B167" s="1" t="s">
        <v>521</v>
      </c>
      <c r="C167" s="1" t="s">
        <v>251</v>
      </c>
      <c r="D167" s="1" t="s">
        <v>123</v>
      </c>
      <c r="E167" s="1" t="s">
        <v>44</v>
      </c>
    </row>
    <row r="168" spans="1:5" x14ac:dyDescent="0.25">
      <c r="A168" s="1" t="s">
        <v>523</v>
      </c>
      <c r="B168" s="1" t="s">
        <v>524</v>
      </c>
      <c r="C168" s="1" t="s">
        <v>163</v>
      </c>
      <c r="D168" s="1" t="s">
        <v>123</v>
      </c>
      <c r="E168" s="1" t="s">
        <v>47</v>
      </c>
    </row>
    <row r="169" spans="1:5" x14ac:dyDescent="0.25">
      <c r="A169" s="1" t="s">
        <v>526</v>
      </c>
      <c r="B169" s="1" t="s">
        <v>527</v>
      </c>
      <c r="C169" s="1" t="s">
        <v>433</v>
      </c>
      <c r="D169" s="1" t="s">
        <v>123</v>
      </c>
      <c r="E169" s="1" t="s">
        <v>140</v>
      </c>
    </row>
    <row r="170" spans="1:5" x14ac:dyDescent="0.25">
      <c r="A170" s="1" t="s">
        <v>528</v>
      </c>
      <c r="B170" s="1" t="s">
        <v>529</v>
      </c>
      <c r="C170" s="1" t="s">
        <v>286</v>
      </c>
      <c r="D170" s="1" t="s">
        <v>123</v>
      </c>
      <c r="E170" s="1" t="s">
        <v>18</v>
      </c>
    </row>
    <row r="171" spans="1:5" x14ac:dyDescent="0.25">
      <c r="A171" s="1" t="s">
        <v>530</v>
      </c>
      <c r="B171" s="1" t="s">
        <v>531</v>
      </c>
      <c r="C171" s="1" t="s">
        <v>532</v>
      </c>
      <c r="D171" s="1" t="s">
        <v>123</v>
      </c>
      <c r="E171" s="1" t="s">
        <v>261</v>
      </c>
    </row>
    <row r="172" spans="1:5" x14ac:dyDescent="0.25">
      <c r="A172" s="1" t="s">
        <v>534</v>
      </c>
      <c r="B172" s="1" t="s">
        <v>535</v>
      </c>
      <c r="C172" s="1" t="s">
        <v>18</v>
      </c>
      <c r="D172" s="1" t="s">
        <v>123</v>
      </c>
      <c r="E172" s="1" t="s">
        <v>265</v>
      </c>
    </row>
    <row r="173" spans="1:5" x14ac:dyDescent="0.25">
      <c r="A173" s="1" t="s">
        <v>536</v>
      </c>
      <c r="B173" s="1" t="s">
        <v>537</v>
      </c>
      <c r="C173" s="1" t="s">
        <v>483</v>
      </c>
      <c r="D173" s="1" t="s">
        <v>123</v>
      </c>
      <c r="E173" s="1" t="s">
        <v>452</v>
      </c>
    </row>
    <row r="174" spans="1:5" x14ac:dyDescent="0.25">
      <c r="A174" s="1" t="s">
        <v>539</v>
      </c>
      <c r="B174" s="1" t="s">
        <v>540</v>
      </c>
      <c r="C174" s="1" t="s">
        <v>541</v>
      </c>
      <c r="D174" s="1" t="s">
        <v>123</v>
      </c>
      <c r="E174" s="1" t="s">
        <v>22</v>
      </c>
    </row>
    <row r="175" spans="1:5" x14ac:dyDescent="0.25">
      <c r="A175" s="1" t="s">
        <v>542</v>
      </c>
      <c r="B175" s="1" t="s">
        <v>543</v>
      </c>
      <c r="C175" s="1" t="s">
        <v>220</v>
      </c>
      <c r="D175" s="1" t="s">
        <v>126</v>
      </c>
      <c r="E175" s="1" t="s">
        <v>21</v>
      </c>
    </row>
    <row r="176" spans="1:5" x14ac:dyDescent="0.25">
      <c r="A176" s="1" t="s">
        <v>544</v>
      </c>
      <c r="B176" s="1" t="s">
        <v>545</v>
      </c>
      <c r="C176" s="1" t="s">
        <v>227</v>
      </c>
      <c r="D176" s="1" t="s">
        <v>126</v>
      </c>
      <c r="E176" s="1" t="s">
        <v>40</v>
      </c>
    </row>
    <row r="177" spans="1:5" x14ac:dyDescent="0.25">
      <c r="A177" s="1" t="s">
        <v>546</v>
      </c>
      <c r="B177" s="1" t="s">
        <v>547</v>
      </c>
      <c r="C177" s="1" t="s">
        <v>395</v>
      </c>
      <c r="D177" s="1" t="s">
        <v>126</v>
      </c>
      <c r="E177" s="1" t="s">
        <v>44</v>
      </c>
    </row>
    <row r="178" spans="1:5" x14ac:dyDescent="0.25">
      <c r="A178" s="1" t="s">
        <v>548</v>
      </c>
      <c r="B178" s="1" t="s">
        <v>549</v>
      </c>
      <c r="C178" s="1" t="s">
        <v>517</v>
      </c>
      <c r="D178" s="1" t="s">
        <v>126</v>
      </c>
      <c r="E178" s="1" t="s">
        <v>47</v>
      </c>
    </row>
    <row r="179" spans="1:5" x14ac:dyDescent="0.25">
      <c r="A179" s="1" t="s">
        <v>550</v>
      </c>
      <c r="B179" s="1" t="s">
        <v>551</v>
      </c>
      <c r="C179" s="1" t="s">
        <v>312</v>
      </c>
      <c r="D179" s="1" t="s">
        <v>126</v>
      </c>
      <c r="E179" s="1" t="s">
        <v>140</v>
      </c>
    </row>
    <row r="180" spans="1:5" x14ac:dyDescent="0.25">
      <c r="A180" s="1" t="s">
        <v>552</v>
      </c>
      <c r="B180" s="1" t="s">
        <v>553</v>
      </c>
      <c r="C180" s="1" t="s">
        <v>554</v>
      </c>
      <c r="D180" s="1" t="s">
        <v>126</v>
      </c>
      <c r="E180" s="1" t="s">
        <v>18</v>
      </c>
    </row>
    <row r="181" spans="1:5" x14ac:dyDescent="0.25">
      <c r="A181" s="1" t="s">
        <v>555</v>
      </c>
      <c r="B181" s="1" t="s">
        <v>556</v>
      </c>
      <c r="C181" s="1" t="s">
        <v>557</v>
      </c>
      <c r="D181" s="1" t="s">
        <v>126</v>
      </c>
      <c r="E181" s="1" t="s">
        <v>261</v>
      </c>
    </row>
    <row r="182" spans="1:5" x14ac:dyDescent="0.25">
      <c r="A182" s="1" t="s">
        <v>559</v>
      </c>
      <c r="B182" s="1" t="s">
        <v>560</v>
      </c>
      <c r="C182" s="1" t="s">
        <v>561</v>
      </c>
      <c r="D182" s="1" t="s">
        <v>126</v>
      </c>
      <c r="E182" s="1" t="s">
        <v>265</v>
      </c>
    </row>
    <row r="183" spans="1:5" x14ac:dyDescent="0.25">
      <c r="A183" s="1" t="s">
        <v>562</v>
      </c>
      <c r="B183" s="1" t="s">
        <v>563</v>
      </c>
      <c r="C183" s="1" t="s">
        <v>564</v>
      </c>
      <c r="D183" s="1" t="s">
        <v>126</v>
      </c>
      <c r="E183" s="1" t="s">
        <v>452</v>
      </c>
    </row>
    <row r="184" spans="1:5" x14ac:dyDescent="0.25">
      <c r="A184" s="1" t="s">
        <v>565</v>
      </c>
      <c r="B184" s="1" t="s">
        <v>566</v>
      </c>
      <c r="C184" s="1" t="s">
        <v>567</v>
      </c>
      <c r="D184" s="1" t="s">
        <v>126</v>
      </c>
      <c r="E184" s="1" t="s">
        <v>22</v>
      </c>
    </row>
    <row r="185" spans="1:5" x14ac:dyDescent="0.25">
      <c r="A185" s="1" t="s">
        <v>569</v>
      </c>
      <c r="B185" s="1" t="s">
        <v>570</v>
      </c>
      <c r="C185" s="1" t="s">
        <v>179</v>
      </c>
      <c r="D185" s="1" t="s">
        <v>131</v>
      </c>
      <c r="E185" s="1" t="s">
        <v>21</v>
      </c>
    </row>
    <row r="186" spans="1:5" x14ac:dyDescent="0.25">
      <c r="A186" s="1" t="s">
        <v>571</v>
      </c>
      <c r="B186" s="1" t="s">
        <v>572</v>
      </c>
      <c r="C186" s="1" t="s">
        <v>264</v>
      </c>
      <c r="D186" s="1" t="s">
        <v>131</v>
      </c>
      <c r="E186" s="1" t="s">
        <v>40</v>
      </c>
    </row>
    <row r="187" spans="1:5" x14ac:dyDescent="0.25">
      <c r="A187" s="1" t="s">
        <v>574</v>
      </c>
      <c r="B187" s="1" t="s">
        <v>575</v>
      </c>
      <c r="C187" s="1" t="s">
        <v>231</v>
      </c>
      <c r="D187" s="1" t="s">
        <v>131</v>
      </c>
      <c r="E187" s="1" t="s">
        <v>44</v>
      </c>
    </row>
    <row r="188" spans="1:5" x14ac:dyDescent="0.25">
      <c r="A188" s="1" t="s">
        <v>576</v>
      </c>
      <c r="B188" s="1" t="s">
        <v>577</v>
      </c>
      <c r="C188" s="1" t="s">
        <v>363</v>
      </c>
      <c r="D188" s="1" t="s">
        <v>131</v>
      </c>
      <c r="E188" s="1" t="s">
        <v>47</v>
      </c>
    </row>
    <row r="189" spans="1:5" x14ac:dyDescent="0.25">
      <c r="A189" s="1" t="s">
        <v>578</v>
      </c>
      <c r="B189" s="1" t="s">
        <v>579</v>
      </c>
      <c r="C189" s="1" t="s">
        <v>580</v>
      </c>
      <c r="D189" s="1" t="s">
        <v>131</v>
      </c>
      <c r="E189" s="1" t="s">
        <v>140</v>
      </c>
    </row>
    <row r="190" spans="1:5" x14ac:dyDescent="0.25">
      <c r="A190" s="1" t="s">
        <v>581</v>
      </c>
      <c r="B190" s="1" t="s">
        <v>582</v>
      </c>
      <c r="C190" s="1" t="s">
        <v>532</v>
      </c>
      <c r="D190" s="1" t="s">
        <v>131</v>
      </c>
      <c r="E190" s="1" t="s">
        <v>18</v>
      </c>
    </row>
    <row r="191" spans="1:5" x14ac:dyDescent="0.25">
      <c r="A191" s="1" t="s">
        <v>583</v>
      </c>
      <c r="B191" s="1" t="s">
        <v>584</v>
      </c>
      <c r="C191" s="1" t="s">
        <v>585</v>
      </c>
      <c r="D191" s="1" t="s">
        <v>131</v>
      </c>
      <c r="E191" s="1" t="s">
        <v>261</v>
      </c>
    </row>
    <row r="192" spans="1:5" x14ac:dyDescent="0.25">
      <c r="A192" s="1" t="s">
        <v>586</v>
      </c>
      <c r="B192" s="1" t="s">
        <v>587</v>
      </c>
      <c r="C192" s="1" t="s">
        <v>588</v>
      </c>
      <c r="D192" s="1" t="s">
        <v>131</v>
      </c>
      <c r="E192" s="1" t="s">
        <v>265</v>
      </c>
    </row>
    <row r="193" spans="1:5" x14ac:dyDescent="0.25">
      <c r="A193" s="1" t="s">
        <v>590</v>
      </c>
      <c r="B193" s="1" t="s">
        <v>591</v>
      </c>
      <c r="C193" s="1" t="s">
        <v>476</v>
      </c>
      <c r="D193" s="1" t="s">
        <v>131</v>
      </c>
      <c r="E193" s="1" t="s">
        <v>452</v>
      </c>
    </row>
    <row r="194" spans="1:5" x14ac:dyDescent="0.25">
      <c r="A194" s="1" t="s">
        <v>592</v>
      </c>
      <c r="B194" s="1" t="s">
        <v>593</v>
      </c>
      <c r="C194" s="1" t="s">
        <v>594</v>
      </c>
      <c r="D194" s="1" t="s">
        <v>131</v>
      </c>
      <c r="E194" s="1" t="s">
        <v>22</v>
      </c>
    </row>
    <row r="195" spans="1:5" x14ac:dyDescent="0.25">
      <c r="A195" s="1" t="s">
        <v>595</v>
      </c>
      <c r="B195" s="1" t="s">
        <v>596</v>
      </c>
      <c r="C195" s="1" t="s">
        <v>204</v>
      </c>
      <c r="D195" s="1" t="s">
        <v>136</v>
      </c>
      <c r="E195" s="1" t="s">
        <v>21</v>
      </c>
    </row>
    <row r="196" spans="1:5" x14ac:dyDescent="0.25">
      <c r="A196" s="1" t="s">
        <v>597</v>
      </c>
      <c r="B196" s="1" t="s">
        <v>598</v>
      </c>
      <c r="C196" s="1" t="s">
        <v>291</v>
      </c>
      <c r="D196" s="1" t="s">
        <v>136</v>
      </c>
      <c r="E196" s="1" t="s">
        <v>40</v>
      </c>
    </row>
    <row r="197" spans="1:5" x14ac:dyDescent="0.25">
      <c r="A197" s="1" t="s">
        <v>599</v>
      </c>
      <c r="B197" s="1" t="s">
        <v>600</v>
      </c>
      <c r="C197" s="1" t="s">
        <v>497</v>
      </c>
      <c r="D197" s="1" t="s">
        <v>136</v>
      </c>
      <c r="E197" s="1" t="s">
        <v>44</v>
      </c>
    </row>
    <row r="198" spans="1:5" x14ac:dyDescent="0.25">
      <c r="A198" s="1" t="s">
        <v>601</v>
      </c>
      <c r="B198" s="1" t="s">
        <v>602</v>
      </c>
      <c r="C198" s="1" t="s">
        <v>312</v>
      </c>
      <c r="D198" s="1" t="s">
        <v>136</v>
      </c>
      <c r="E198" s="1" t="s">
        <v>47</v>
      </c>
    </row>
    <row r="199" spans="1:5" x14ac:dyDescent="0.25">
      <c r="A199" s="1" t="s">
        <v>603</v>
      </c>
      <c r="B199" s="1" t="s">
        <v>604</v>
      </c>
      <c r="C199" s="1" t="s">
        <v>315</v>
      </c>
      <c r="D199" s="1" t="s">
        <v>136</v>
      </c>
      <c r="E199" s="1" t="s">
        <v>140</v>
      </c>
    </row>
    <row r="200" spans="1:5" x14ac:dyDescent="0.25">
      <c r="A200" s="1" t="s">
        <v>605</v>
      </c>
      <c r="B200" s="1" t="s">
        <v>606</v>
      </c>
      <c r="C200" s="1" t="s">
        <v>607</v>
      </c>
      <c r="D200" s="1" t="s">
        <v>136</v>
      </c>
      <c r="E200" s="1" t="s">
        <v>18</v>
      </c>
    </row>
    <row r="201" spans="1:5" x14ac:dyDescent="0.25">
      <c r="A201" s="1" t="s">
        <v>608</v>
      </c>
      <c r="B201" s="1" t="s">
        <v>609</v>
      </c>
      <c r="C201" s="1" t="s">
        <v>610</v>
      </c>
      <c r="D201" s="1" t="s">
        <v>136</v>
      </c>
      <c r="E201" s="1" t="s">
        <v>261</v>
      </c>
    </row>
    <row r="202" spans="1:5" x14ac:dyDescent="0.25">
      <c r="A202" s="1" t="s">
        <v>611</v>
      </c>
      <c r="B202" s="1" t="s">
        <v>612</v>
      </c>
      <c r="C202" s="1" t="s">
        <v>613</v>
      </c>
      <c r="D202" s="1" t="s">
        <v>136</v>
      </c>
      <c r="E202" s="1" t="s">
        <v>265</v>
      </c>
    </row>
    <row r="203" spans="1:5" x14ac:dyDescent="0.25">
      <c r="A203" s="1" t="s">
        <v>614</v>
      </c>
      <c r="B203" s="1" t="s">
        <v>615</v>
      </c>
      <c r="C203" s="1" t="s">
        <v>533</v>
      </c>
      <c r="D203" s="1" t="s">
        <v>136</v>
      </c>
      <c r="E203" s="1" t="s">
        <v>452</v>
      </c>
    </row>
    <row r="204" spans="1:5" x14ac:dyDescent="0.25">
      <c r="A204" s="1" t="s">
        <v>617</v>
      </c>
      <c r="B204" s="1" t="s">
        <v>618</v>
      </c>
      <c r="C204" s="1" t="s">
        <v>619</v>
      </c>
      <c r="D204" s="1" t="s">
        <v>136</v>
      </c>
      <c r="E204" s="1" t="s">
        <v>22</v>
      </c>
    </row>
    <row r="205" spans="1:5" x14ac:dyDescent="0.25">
      <c r="A205" s="1" t="s">
        <v>620</v>
      </c>
      <c r="B205" s="1" t="s">
        <v>621</v>
      </c>
      <c r="C205" s="1" t="s">
        <v>332</v>
      </c>
      <c r="D205" s="1" t="s">
        <v>144</v>
      </c>
      <c r="E205" s="1" t="s">
        <v>21</v>
      </c>
    </row>
    <row r="206" spans="1:5" x14ac:dyDescent="0.25">
      <c r="A206" s="1" t="s">
        <v>622</v>
      </c>
      <c r="B206" s="1" t="s">
        <v>623</v>
      </c>
      <c r="C206" s="1" t="s">
        <v>40</v>
      </c>
      <c r="D206" s="1" t="s">
        <v>144</v>
      </c>
      <c r="E206" s="1" t="s">
        <v>40</v>
      </c>
    </row>
    <row r="207" spans="1:5" x14ac:dyDescent="0.25">
      <c r="A207" s="1" t="s">
        <v>624</v>
      </c>
      <c r="B207" s="1" t="s">
        <v>625</v>
      </c>
      <c r="C207" s="1" t="s">
        <v>44</v>
      </c>
      <c r="D207" s="1" t="s">
        <v>144</v>
      </c>
      <c r="E207" s="1" t="s">
        <v>44</v>
      </c>
    </row>
    <row r="208" spans="1:5" x14ac:dyDescent="0.25">
      <c r="A208" s="1" t="s">
        <v>626</v>
      </c>
      <c r="B208" s="1" t="s">
        <v>627</v>
      </c>
      <c r="C208" s="1" t="s">
        <v>416</v>
      </c>
      <c r="D208" s="1" t="s">
        <v>144</v>
      </c>
      <c r="E208" s="1" t="s">
        <v>47</v>
      </c>
    </row>
    <row r="209" spans="1:5" x14ac:dyDescent="0.25">
      <c r="A209" s="1" t="s">
        <v>628</v>
      </c>
      <c r="B209" s="1" t="s">
        <v>629</v>
      </c>
      <c r="C209" s="1" t="s">
        <v>532</v>
      </c>
      <c r="D209" s="1" t="s">
        <v>144</v>
      </c>
      <c r="E209" s="1" t="s">
        <v>140</v>
      </c>
    </row>
    <row r="210" spans="1:5" x14ac:dyDescent="0.25">
      <c r="A210" s="1" t="s">
        <v>630</v>
      </c>
      <c r="B210" s="1" t="s">
        <v>631</v>
      </c>
      <c r="C210" s="1" t="s">
        <v>469</v>
      </c>
      <c r="D210" s="1" t="s">
        <v>144</v>
      </c>
      <c r="E210" s="1" t="s">
        <v>18</v>
      </c>
    </row>
    <row r="211" spans="1:5" x14ac:dyDescent="0.25">
      <c r="A211" s="1" t="s">
        <v>633</v>
      </c>
      <c r="B211" s="1" t="s">
        <v>634</v>
      </c>
      <c r="C211" s="1" t="s">
        <v>322</v>
      </c>
      <c r="D211" s="1" t="s">
        <v>144</v>
      </c>
      <c r="E211" s="1" t="s">
        <v>261</v>
      </c>
    </row>
    <row r="212" spans="1:5" x14ac:dyDescent="0.25">
      <c r="A212" s="1" t="s">
        <v>635</v>
      </c>
      <c r="B212" s="1" t="s">
        <v>636</v>
      </c>
      <c r="C212" s="1" t="s">
        <v>567</v>
      </c>
      <c r="D212" s="1" t="s">
        <v>144</v>
      </c>
      <c r="E212" s="1" t="s">
        <v>265</v>
      </c>
    </row>
    <row r="213" spans="1:5" x14ac:dyDescent="0.25">
      <c r="A213" s="1" t="s">
        <v>638</v>
      </c>
      <c r="B213" s="1" t="s">
        <v>639</v>
      </c>
      <c r="C213" s="1" t="s">
        <v>449</v>
      </c>
      <c r="D213" s="1" t="s">
        <v>144</v>
      </c>
      <c r="E213" s="1" t="s">
        <v>452</v>
      </c>
    </row>
    <row r="214" spans="1:5" x14ac:dyDescent="0.25">
      <c r="A214" s="1" t="s">
        <v>640</v>
      </c>
      <c r="B214" s="1" t="s">
        <v>641</v>
      </c>
      <c r="C214" s="1" t="s">
        <v>642</v>
      </c>
      <c r="D214" s="1" t="s">
        <v>144</v>
      </c>
      <c r="E214" s="1" t="s">
        <v>22</v>
      </c>
    </row>
    <row r="215" spans="1:5" x14ac:dyDescent="0.25">
      <c r="A215" s="1" t="s">
        <v>643</v>
      </c>
      <c r="B215" s="1" t="s">
        <v>644</v>
      </c>
      <c r="C215" s="1" t="s">
        <v>395</v>
      </c>
      <c r="D215" s="1" t="s">
        <v>645</v>
      </c>
      <c r="E215" s="1" t="s">
        <v>21</v>
      </c>
    </row>
    <row r="216" spans="1:5" x14ac:dyDescent="0.25">
      <c r="A216" s="1" t="s">
        <v>646</v>
      </c>
      <c r="B216" s="1" t="s">
        <v>647</v>
      </c>
      <c r="C216" s="1" t="s">
        <v>389</v>
      </c>
      <c r="D216" s="1" t="s">
        <v>645</v>
      </c>
      <c r="E216" s="1" t="s">
        <v>40</v>
      </c>
    </row>
    <row r="217" spans="1:5" x14ac:dyDescent="0.25">
      <c r="A217" s="1" t="s">
        <v>648</v>
      </c>
      <c r="B217" s="1" t="s">
        <v>649</v>
      </c>
      <c r="C217" s="1" t="s">
        <v>416</v>
      </c>
      <c r="D217" s="1" t="s">
        <v>645</v>
      </c>
      <c r="E217" s="1" t="s">
        <v>44</v>
      </c>
    </row>
    <row r="218" spans="1:5" x14ac:dyDescent="0.25">
      <c r="A218" s="1" t="s">
        <v>650</v>
      </c>
      <c r="B218" s="1" t="s">
        <v>651</v>
      </c>
      <c r="C218" s="1" t="s">
        <v>392</v>
      </c>
      <c r="D218" s="1" t="s">
        <v>645</v>
      </c>
      <c r="E218" s="1" t="s">
        <v>47</v>
      </c>
    </row>
    <row r="219" spans="1:5" x14ac:dyDescent="0.25">
      <c r="A219" s="1" t="s">
        <v>652</v>
      </c>
      <c r="B219" s="1" t="s">
        <v>653</v>
      </c>
      <c r="C219" s="1" t="s">
        <v>654</v>
      </c>
      <c r="D219" s="1" t="s">
        <v>645</v>
      </c>
      <c r="E219" s="1" t="s">
        <v>140</v>
      </c>
    </row>
    <row r="220" spans="1:5" x14ac:dyDescent="0.25">
      <c r="A220" s="1" t="s">
        <v>656</v>
      </c>
      <c r="B220" s="1" t="s">
        <v>657</v>
      </c>
      <c r="C220" s="1" t="s">
        <v>658</v>
      </c>
      <c r="D220" s="1" t="s">
        <v>645</v>
      </c>
      <c r="E220" s="1" t="s">
        <v>18</v>
      </c>
    </row>
    <row r="221" spans="1:5" x14ac:dyDescent="0.25">
      <c r="A221" s="1" t="s">
        <v>659</v>
      </c>
      <c r="B221" s="1" t="s">
        <v>660</v>
      </c>
      <c r="C221" s="1" t="s">
        <v>564</v>
      </c>
      <c r="D221" s="1" t="s">
        <v>645</v>
      </c>
      <c r="E221" s="1" t="s">
        <v>261</v>
      </c>
    </row>
    <row r="222" spans="1:5" x14ac:dyDescent="0.25">
      <c r="A222" s="1" t="s">
        <v>661</v>
      </c>
      <c r="B222" s="1" t="s">
        <v>662</v>
      </c>
      <c r="C222" s="1" t="s">
        <v>594</v>
      </c>
      <c r="D222" s="1" t="s">
        <v>645</v>
      </c>
      <c r="E222" s="1" t="s">
        <v>265</v>
      </c>
    </row>
    <row r="223" spans="1:5" x14ac:dyDescent="0.25">
      <c r="A223" s="1" t="s">
        <v>663</v>
      </c>
      <c r="B223" s="1" t="s">
        <v>664</v>
      </c>
      <c r="C223" s="1" t="s">
        <v>665</v>
      </c>
      <c r="D223" s="1" t="s">
        <v>645</v>
      </c>
      <c r="E223" s="1" t="s">
        <v>452</v>
      </c>
    </row>
    <row r="224" spans="1:5" x14ac:dyDescent="0.25">
      <c r="A224" s="1" t="s">
        <v>667</v>
      </c>
      <c r="B224" s="1" t="s">
        <v>668</v>
      </c>
      <c r="C224" s="1" t="s">
        <v>669</v>
      </c>
      <c r="D224" s="1" t="s">
        <v>645</v>
      </c>
      <c r="E224" s="1" t="s">
        <v>22</v>
      </c>
    </row>
    <row r="225" spans="1:5" x14ac:dyDescent="0.25">
      <c r="A225" s="1" t="s">
        <v>671</v>
      </c>
      <c r="B225" s="1" t="s">
        <v>672</v>
      </c>
      <c r="C225" s="1" t="s">
        <v>336</v>
      </c>
      <c r="D225" s="1" t="s">
        <v>152</v>
      </c>
      <c r="E225" s="1" t="s">
        <v>21</v>
      </c>
    </row>
    <row r="226" spans="1:5" x14ac:dyDescent="0.25">
      <c r="A226" s="1" t="s">
        <v>673</v>
      </c>
      <c r="B226" s="1" t="s">
        <v>674</v>
      </c>
      <c r="C226" s="1" t="s">
        <v>235</v>
      </c>
      <c r="D226" s="1" t="s">
        <v>152</v>
      </c>
      <c r="E226" s="1" t="s">
        <v>40</v>
      </c>
    </row>
    <row r="227" spans="1:5" x14ac:dyDescent="0.25">
      <c r="A227" s="1" t="s">
        <v>675</v>
      </c>
      <c r="B227" s="1" t="s">
        <v>676</v>
      </c>
      <c r="C227" s="1" t="s">
        <v>580</v>
      </c>
      <c r="D227" s="1" t="s">
        <v>152</v>
      </c>
      <c r="E227" s="1" t="s">
        <v>44</v>
      </c>
    </row>
    <row r="228" spans="1:5" x14ac:dyDescent="0.25">
      <c r="A228" s="1" t="s">
        <v>677</v>
      </c>
      <c r="B228" s="1" t="s">
        <v>678</v>
      </c>
      <c r="C228" s="1" t="s">
        <v>503</v>
      </c>
      <c r="D228" s="1" t="s">
        <v>152</v>
      </c>
      <c r="E228" s="1" t="s">
        <v>47</v>
      </c>
    </row>
    <row r="229" spans="1:5" x14ac:dyDescent="0.25">
      <c r="A229" s="1" t="s">
        <v>679</v>
      </c>
      <c r="B229" s="1" t="s">
        <v>680</v>
      </c>
      <c r="C229" s="1" t="s">
        <v>507</v>
      </c>
      <c r="D229" s="1" t="s">
        <v>152</v>
      </c>
      <c r="E229" s="1" t="s">
        <v>140</v>
      </c>
    </row>
    <row r="230" spans="1:5" x14ac:dyDescent="0.25">
      <c r="A230" s="1" t="s">
        <v>682</v>
      </c>
      <c r="B230" s="1" t="s">
        <v>683</v>
      </c>
      <c r="C230" s="1" t="s">
        <v>684</v>
      </c>
      <c r="D230" s="1" t="s">
        <v>152</v>
      </c>
      <c r="E230" s="1" t="s">
        <v>18</v>
      </c>
    </row>
    <row r="231" spans="1:5" x14ac:dyDescent="0.25">
      <c r="A231" s="1" t="s">
        <v>685</v>
      </c>
      <c r="B231" s="1" t="s">
        <v>686</v>
      </c>
      <c r="C231" s="1" t="s">
        <v>374</v>
      </c>
      <c r="D231" s="1" t="s">
        <v>152</v>
      </c>
      <c r="E231" s="1" t="s">
        <v>261</v>
      </c>
    </row>
    <row r="232" spans="1:5" x14ac:dyDescent="0.25">
      <c r="A232" s="1" t="s">
        <v>687</v>
      </c>
      <c r="B232" s="1" t="s">
        <v>688</v>
      </c>
      <c r="C232" s="1" t="s">
        <v>655</v>
      </c>
      <c r="D232" s="1" t="s">
        <v>152</v>
      </c>
      <c r="E232" s="1" t="s">
        <v>265</v>
      </c>
    </row>
    <row r="233" spans="1:5" x14ac:dyDescent="0.25">
      <c r="A233" s="1" t="s">
        <v>689</v>
      </c>
      <c r="B233" s="1" t="s">
        <v>690</v>
      </c>
      <c r="C233" s="1" t="s">
        <v>691</v>
      </c>
      <c r="D233" s="1" t="s">
        <v>152</v>
      </c>
      <c r="E233" s="1" t="s">
        <v>452</v>
      </c>
    </row>
    <row r="234" spans="1:5" x14ac:dyDescent="0.25">
      <c r="A234" s="1" t="s">
        <v>692</v>
      </c>
      <c r="B234" s="1" t="s">
        <v>693</v>
      </c>
      <c r="C234" s="1" t="s">
        <v>694</v>
      </c>
      <c r="D234" s="1" t="s">
        <v>152</v>
      </c>
      <c r="E234" s="1" t="s">
        <v>22</v>
      </c>
    </row>
    <row r="235" spans="1:5" x14ac:dyDescent="0.25">
      <c r="A235" s="1" t="s">
        <v>695</v>
      </c>
      <c r="B235" s="1" t="s">
        <v>696</v>
      </c>
      <c r="C235" s="1" t="s">
        <v>580</v>
      </c>
      <c r="D235" s="1" t="s">
        <v>164</v>
      </c>
      <c r="E235" s="1" t="s">
        <v>40</v>
      </c>
    </row>
    <row r="236" spans="1:5" x14ac:dyDescent="0.25">
      <c r="A236" s="1" t="s">
        <v>697</v>
      </c>
      <c r="B236" s="1" t="s">
        <v>698</v>
      </c>
      <c r="C236" s="1" t="s">
        <v>522</v>
      </c>
      <c r="D236" s="1" t="s">
        <v>164</v>
      </c>
      <c r="E236" s="1" t="s">
        <v>44</v>
      </c>
    </row>
    <row r="237" spans="1:5" x14ac:dyDescent="0.25">
      <c r="A237" s="1" t="s">
        <v>699</v>
      </c>
      <c r="B237" s="1" t="s">
        <v>700</v>
      </c>
      <c r="C237" s="1" t="s">
        <v>557</v>
      </c>
      <c r="D237" s="1" t="s">
        <v>164</v>
      </c>
      <c r="E237" s="1" t="s">
        <v>47</v>
      </c>
    </row>
    <row r="238" spans="1:5" x14ac:dyDescent="0.25">
      <c r="A238" s="1" t="s">
        <v>701</v>
      </c>
      <c r="B238" s="1" t="s">
        <v>702</v>
      </c>
      <c r="C238" s="1" t="s">
        <v>610</v>
      </c>
      <c r="D238" s="1" t="s">
        <v>164</v>
      </c>
      <c r="E238" s="1" t="s">
        <v>140</v>
      </c>
    </row>
    <row r="239" spans="1:5" x14ac:dyDescent="0.25">
      <c r="A239" s="1" t="s">
        <v>704</v>
      </c>
      <c r="B239" s="1" t="s">
        <v>705</v>
      </c>
      <c r="C239" s="1" t="s">
        <v>514</v>
      </c>
      <c r="D239" s="1" t="s">
        <v>164</v>
      </c>
      <c r="E239" s="1" t="s">
        <v>18</v>
      </c>
    </row>
    <row r="240" spans="1:5" x14ac:dyDescent="0.25">
      <c r="A240" s="1" t="s">
        <v>707</v>
      </c>
      <c r="B240" s="1" t="s">
        <v>708</v>
      </c>
      <c r="C240" s="1" t="s">
        <v>504</v>
      </c>
      <c r="D240" s="1" t="s">
        <v>164</v>
      </c>
      <c r="E240" s="1" t="s">
        <v>261</v>
      </c>
    </row>
    <row r="241" spans="1:5" x14ac:dyDescent="0.25">
      <c r="A241" s="1" t="s">
        <v>710</v>
      </c>
      <c r="B241" s="1" t="s">
        <v>711</v>
      </c>
      <c r="C241" s="1" t="s">
        <v>712</v>
      </c>
      <c r="D241" s="1" t="s">
        <v>164</v>
      </c>
      <c r="E241" s="1" t="s">
        <v>265</v>
      </c>
    </row>
    <row r="242" spans="1:5" x14ac:dyDescent="0.25">
      <c r="A242" s="1" t="s">
        <v>713</v>
      </c>
      <c r="B242" s="1" t="s">
        <v>714</v>
      </c>
      <c r="C242" s="1" t="s">
        <v>715</v>
      </c>
      <c r="D242" s="1" t="s">
        <v>164</v>
      </c>
      <c r="E242" s="1" t="s">
        <v>452</v>
      </c>
    </row>
    <row r="243" spans="1:5" x14ac:dyDescent="0.25">
      <c r="A243" s="1" t="s">
        <v>716</v>
      </c>
      <c r="B243" s="1" t="s">
        <v>717</v>
      </c>
      <c r="C243" s="1" t="s">
        <v>538</v>
      </c>
      <c r="D243" s="1" t="s">
        <v>164</v>
      </c>
      <c r="E243" s="1" t="s">
        <v>22</v>
      </c>
    </row>
    <row r="244" spans="1:5" x14ac:dyDescent="0.25">
      <c r="A244" s="1" t="s">
        <v>718</v>
      </c>
      <c r="B244" s="1" t="s">
        <v>719</v>
      </c>
      <c r="C244" s="1" t="s">
        <v>720</v>
      </c>
      <c r="D244" s="1" t="s">
        <v>164</v>
      </c>
      <c r="E244" s="1" t="s">
        <v>721</v>
      </c>
    </row>
    <row r="245" spans="1:5" x14ac:dyDescent="0.25">
      <c r="A245" s="1" t="s">
        <v>722</v>
      </c>
      <c r="B245" s="1" t="s">
        <v>723</v>
      </c>
      <c r="C245" s="1" t="s">
        <v>724</v>
      </c>
      <c r="D245" s="1" t="s">
        <v>164</v>
      </c>
      <c r="E245" s="1" t="s">
        <v>637</v>
      </c>
    </row>
    <row r="246" spans="1:5" x14ac:dyDescent="0.25">
      <c r="A246" s="1" t="s">
        <v>725</v>
      </c>
      <c r="B246" s="1" t="s">
        <v>726</v>
      </c>
      <c r="C246" s="1" t="s">
        <v>446</v>
      </c>
      <c r="D246" s="1" t="s">
        <v>727</v>
      </c>
      <c r="E246" s="1" t="s">
        <v>40</v>
      </c>
    </row>
    <row r="247" spans="1:5" x14ac:dyDescent="0.25">
      <c r="A247" s="1" t="s">
        <v>728</v>
      </c>
      <c r="B247" s="1" t="s">
        <v>729</v>
      </c>
      <c r="C247" s="1" t="s">
        <v>573</v>
      </c>
      <c r="D247" s="1" t="s">
        <v>727</v>
      </c>
      <c r="E247" s="1" t="s">
        <v>44</v>
      </c>
    </row>
    <row r="248" spans="1:5" x14ac:dyDescent="0.25">
      <c r="A248" s="1" t="s">
        <v>730</v>
      </c>
      <c r="B248" s="1" t="s">
        <v>731</v>
      </c>
      <c r="C248" s="1" t="s">
        <v>525</v>
      </c>
      <c r="D248" s="1" t="s">
        <v>727</v>
      </c>
      <c r="E248" s="1" t="s">
        <v>47</v>
      </c>
    </row>
    <row r="249" spans="1:5" x14ac:dyDescent="0.25">
      <c r="A249" s="1" t="s">
        <v>732</v>
      </c>
      <c r="B249" s="1" t="s">
        <v>733</v>
      </c>
      <c r="C249" s="1" t="s">
        <v>734</v>
      </c>
      <c r="D249" s="1" t="s">
        <v>727</v>
      </c>
      <c r="E249" s="1" t="s">
        <v>140</v>
      </c>
    </row>
    <row r="250" spans="1:5" x14ac:dyDescent="0.25">
      <c r="A250" s="1" t="s">
        <v>735</v>
      </c>
      <c r="B250" s="1" t="s">
        <v>736</v>
      </c>
      <c r="C250" s="1" t="s">
        <v>737</v>
      </c>
      <c r="D250" s="1" t="s">
        <v>727</v>
      </c>
      <c r="E250" s="1" t="s">
        <v>18</v>
      </c>
    </row>
    <row r="251" spans="1:5" x14ac:dyDescent="0.25">
      <c r="A251" s="1" t="s">
        <v>739</v>
      </c>
      <c r="B251" s="1" t="s">
        <v>740</v>
      </c>
      <c r="C251" s="1" t="s">
        <v>265</v>
      </c>
      <c r="D251" s="1" t="s">
        <v>727</v>
      </c>
      <c r="E251" s="1" t="s">
        <v>261</v>
      </c>
    </row>
    <row r="252" spans="1:5" x14ac:dyDescent="0.25">
      <c r="A252" s="1" t="s">
        <v>741</v>
      </c>
      <c r="B252" s="1" t="s">
        <v>742</v>
      </c>
      <c r="C252" s="1" t="s">
        <v>703</v>
      </c>
      <c r="D252" s="1" t="s">
        <v>727</v>
      </c>
      <c r="E252" s="1" t="s">
        <v>265</v>
      </c>
    </row>
    <row r="253" spans="1:5" x14ac:dyDescent="0.25">
      <c r="A253" s="1" t="s">
        <v>743</v>
      </c>
      <c r="B253" s="1" t="s">
        <v>744</v>
      </c>
      <c r="C253" s="1" t="s">
        <v>706</v>
      </c>
      <c r="D253" s="1" t="s">
        <v>727</v>
      </c>
      <c r="E253" s="1" t="s">
        <v>452</v>
      </c>
    </row>
    <row r="254" spans="1:5" x14ac:dyDescent="0.25">
      <c r="A254" s="1" t="s">
        <v>745</v>
      </c>
      <c r="B254" s="1" t="s">
        <v>746</v>
      </c>
      <c r="C254" s="1" t="s">
        <v>747</v>
      </c>
      <c r="D254" s="1" t="s">
        <v>727</v>
      </c>
      <c r="E254" s="1" t="s">
        <v>22</v>
      </c>
    </row>
    <row r="255" spans="1:5" x14ac:dyDescent="0.25">
      <c r="A255" s="1" t="s">
        <v>748</v>
      </c>
      <c r="B255" s="1" t="s">
        <v>749</v>
      </c>
      <c r="C255" s="1" t="s">
        <v>750</v>
      </c>
      <c r="D255" s="1" t="s">
        <v>727</v>
      </c>
      <c r="E255" s="1" t="s">
        <v>721</v>
      </c>
    </row>
    <row r="256" spans="1:5" x14ac:dyDescent="0.25">
      <c r="A256" s="1" t="s">
        <v>752</v>
      </c>
      <c r="B256" s="1" t="s">
        <v>753</v>
      </c>
      <c r="C256" s="1" t="s">
        <v>754</v>
      </c>
      <c r="D256" s="1" t="s">
        <v>727</v>
      </c>
      <c r="E256" s="1" t="s">
        <v>637</v>
      </c>
    </row>
    <row r="257" spans="1:5" x14ac:dyDescent="0.25">
      <c r="A257" s="1" t="s">
        <v>756</v>
      </c>
      <c r="B257" s="1" t="s">
        <v>757</v>
      </c>
      <c r="C257" s="1" t="s">
        <v>503</v>
      </c>
      <c r="D257" s="1" t="s">
        <v>173</v>
      </c>
      <c r="E257" s="1" t="s">
        <v>40</v>
      </c>
    </row>
    <row r="258" spans="1:5" x14ac:dyDescent="0.25">
      <c r="A258" s="1" t="s">
        <v>759</v>
      </c>
      <c r="B258" s="1" t="s">
        <v>760</v>
      </c>
      <c r="C258" s="1" t="s">
        <v>557</v>
      </c>
      <c r="D258" s="1" t="s">
        <v>173</v>
      </c>
      <c r="E258" s="1" t="s">
        <v>44</v>
      </c>
    </row>
    <row r="259" spans="1:5" x14ac:dyDescent="0.25">
      <c r="A259" s="1" t="s">
        <v>762</v>
      </c>
      <c r="B259" s="1" t="s">
        <v>763</v>
      </c>
      <c r="C259" s="1" t="s">
        <v>346</v>
      </c>
      <c r="D259" s="1" t="s">
        <v>173</v>
      </c>
      <c r="E259" s="1" t="s">
        <v>47</v>
      </c>
    </row>
    <row r="260" spans="1:5" x14ac:dyDescent="0.25">
      <c r="A260" s="1" t="s">
        <v>764</v>
      </c>
      <c r="B260" s="1" t="s">
        <v>765</v>
      </c>
      <c r="C260" s="1" t="s">
        <v>766</v>
      </c>
      <c r="D260" s="1" t="s">
        <v>173</v>
      </c>
      <c r="E260" s="1" t="s">
        <v>140</v>
      </c>
    </row>
    <row r="261" spans="1:5" x14ac:dyDescent="0.25">
      <c r="A261" s="1" t="s">
        <v>768</v>
      </c>
      <c r="B261" s="1" t="s">
        <v>769</v>
      </c>
      <c r="C261" s="1" t="s">
        <v>770</v>
      </c>
      <c r="D261" s="1" t="s">
        <v>173</v>
      </c>
      <c r="E261" s="1" t="s">
        <v>18</v>
      </c>
    </row>
    <row r="262" spans="1:5" x14ac:dyDescent="0.25">
      <c r="A262" s="1" t="s">
        <v>771</v>
      </c>
      <c r="B262" s="1" t="s">
        <v>772</v>
      </c>
      <c r="C262" s="1" t="s">
        <v>681</v>
      </c>
      <c r="D262" s="1" t="s">
        <v>173</v>
      </c>
      <c r="E262" s="1" t="s">
        <v>261</v>
      </c>
    </row>
    <row r="263" spans="1:5" x14ac:dyDescent="0.25">
      <c r="A263" s="1" t="s">
        <v>773</v>
      </c>
      <c r="B263" s="1" t="s">
        <v>774</v>
      </c>
      <c r="C263" s="1" t="s">
        <v>767</v>
      </c>
      <c r="D263" s="1" t="s">
        <v>173</v>
      </c>
      <c r="E263" s="1" t="s">
        <v>265</v>
      </c>
    </row>
    <row r="264" spans="1:5" x14ac:dyDescent="0.25">
      <c r="A264" s="1" t="s">
        <v>775</v>
      </c>
      <c r="B264" s="1" t="s">
        <v>776</v>
      </c>
      <c r="C264" s="1" t="s">
        <v>538</v>
      </c>
      <c r="D264" s="1" t="s">
        <v>173</v>
      </c>
      <c r="E264" s="1" t="s">
        <v>452</v>
      </c>
    </row>
    <row r="265" spans="1:5" x14ac:dyDescent="0.25">
      <c r="A265" s="1" t="s">
        <v>777</v>
      </c>
      <c r="B265" s="1" t="s">
        <v>778</v>
      </c>
      <c r="C265" s="1" t="s">
        <v>779</v>
      </c>
      <c r="D265" s="1" t="s">
        <v>173</v>
      </c>
      <c r="E265" s="1" t="s">
        <v>22</v>
      </c>
    </row>
    <row r="266" spans="1:5" x14ac:dyDescent="0.25">
      <c r="A266" s="1" t="s">
        <v>780</v>
      </c>
      <c r="B266" s="1" t="s">
        <v>781</v>
      </c>
      <c r="C266" s="1" t="s">
        <v>782</v>
      </c>
      <c r="D266" s="1" t="s">
        <v>173</v>
      </c>
      <c r="E266" s="1" t="s">
        <v>721</v>
      </c>
    </row>
    <row r="267" spans="1:5" x14ac:dyDescent="0.25">
      <c r="A267" s="1" t="s">
        <v>783</v>
      </c>
      <c r="B267" s="1" t="s">
        <v>784</v>
      </c>
      <c r="C267" s="1" t="s">
        <v>785</v>
      </c>
      <c r="D267" s="1" t="s">
        <v>173</v>
      </c>
      <c r="E267" s="1" t="s">
        <v>637</v>
      </c>
    </row>
    <row r="268" spans="1:5" x14ac:dyDescent="0.25">
      <c r="A268" s="1" t="s">
        <v>786</v>
      </c>
      <c r="B268" s="1" t="s">
        <v>787</v>
      </c>
      <c r="C268" s="1" t="s">
        <v>532</v>
      </c>
      <c r="D268" s="1" t="s">
        <v>180</v>
      </c>
      <c r="E268" s="1" t="s">
        <v>40</v>
      </c>
    </row>
    <row r="269" spans="1:5" x14ac:dyDescent="0.25">
      <c r="A269" s="1" t="s">
        <v>788</v>
      </c>
      <c r="B269" s="1" t="s">
        <v>789</v>
      </c>
      <c r="C269" s="1" t="s">
        <v>440</v>
      </c>
      <c r="D269" s="1" t="s">
        <v>180</v>
      </c>
      <c r="E269" s="1" t="s">
        <v>44</v>
      </c>
    </row>
    <row r="270" spans="1:5" x14ac:dyDescent="0.25">
      <c r="A270" s="1" t="s">
        <v>790</v>
      </c>
      <c r="B270" s="1" t="s">
        <v>791</v>
      </c>
      <c r="C270" s="1" t="s">
        <v>792</v>
      </c>
      <c r="D270" s="1" t="s">
        <v>180</v>
      </c>
      <c r="E270" s="1" t="s">
        <v>47</v>
      </c>
    </row>
    <row r="271" spans="1:5" x14ac:dyDescent="0.25">
      <c r="A271" s="1" t="s">
        <v>793</v>
      </c>
      <c r="B271" s="1" t="s">
        <v>794</v>
      </c>
      <c r="C271" s="1" t="s">
        <v>514</v>
      </c>
      <c r="D271" s="1" t="s">
        <v>180</v>
      </c>
      <c r="E271" s="1" t="s">
        <v>140</v>
      </c>
    </row>
    <row r="272" spans="1:5" x14ac:dyDescent="0.25">
      <c r="A272" s="1" t="s">
        <v>795</v>
      </c>
      <c r="B272" s="1" t="s">
        <v>796</v>
      </c>
      <c r="C272" s="1" t="s">
        <v>797</v>
      </c>
      <c r="D272" s="1" t="s">
        <v>180</v>
      </c>
      <c r="E272" s="1" t="s">
        <v>18</v>
      </c>
    </row>
    <row r="273" spans="1:5" x14ac:dyDescent="0.25">
      <c r="A273" s="1" t="s">
        <v>798</v>
      </c>
      <c r="B273" s="1" t="s">
        <v>799</v>
      </c>
      <c r="C273" s="1" t="s">
        <v>632</v>
      </c>
      <c r="D273" s="1" t="s">
        <v>180</v>
      </c>
      <c r="E273" s="1" t="s">
        <v>261</v>
      </c>
    </row>
    <row r="274" spans="1:5" x14ac:dyDescent="0.25">
      <c r="A274" s="1" t="s">
        <v>800</v>
      </c>
      <c r="B274" s="1" t="s">
        <v>801</v>
      </c>
      <c r="C274" s="1" t="s">
        <v>694</v>
      </c>
      <c r="D274" s="1" t="s">
        <v>180</v>
      </c>
      <c r="E274" s="1" t="s">
        <v>265</v>
      </c>
    </row>
    <row r="275" spans="1:5" x14ac:dyDescent="0.25">
      <c r="A275" s="1" t="s">
        <v>803</v>
      </c>
      <c r="B275" s="1" t="s">
        <v>804</v>
      </c>
      <c r="C275" s="1" t="s">
        <v>709</v>
      </c>
      <c r="D275" s="1" t="s">
        <v>180</v>
      </c>
      <c r="E275" s="1" t="s">
        <v>452</v>
      </c>
    </row>
    <row r="276" spans="1:5" x14ac:dyDescent="0.25">
      <c r="A276" s="1" t="s">
        <v>805</v>
      </c>
      <c r="B276" s="1" t="s">
        <v>806</v>
      </c>
      <c r="C276" s="1" t="s">
        <v>807</v>
      </c>
      <c r="D276" s="1" t="s">
        <v>180</v>
      </c>
      <c r="E276" s="1" t="s">
        <v>22</v>
      </c>
    </row>
    <row r="277" spans="1:5" x14ac:dyDescent="0.25">
      <c r="A277" s="1" t="s">
        <v>808</v>
      </c>
      <c r="B277" s="1" t="s">
        <v>809</v>
      </c>
      <c r="C277" s="1" t="s">
        <v>810</v>
      </c>
      <c r="D277" s="1" t="s">
        <v>180</v>
      </c>
      <c r="E277" s="1" t="s">
        <v>721</v>
      </c>
    </row>
    <row r="278" spans="1:5" x14ac:dyDescent="0.25">
      <c r="A278" s="1" t="s">
        <v>811</v>
      </c>
      <c r="B278" s="1" t="s">
        <v>812</v>
      </c>
      <c r="C278" s="1" t="s">
        <v>813</v>
      </c>
      <c r="D278" s="1" t="s">
        <v>180</v>
      </c>
      <c r="E278" s="1" t="s">
        <v>637</v>
      </c>
    </row>
    <row r="279" spans="1:5" x14ac:dyDescent="0.25">
      <c r="A279" s="1" t="s">
        <v>814</v>
      </c>
      <c r="B279" s="1" t="s">
        <v>815</v>
      </c>
      <c r="C279" s="1" t="s">
        <v>368</v>
      </c>
      <c r="D279" s="1" t="s">
        <v>184</v>
      </c>
      <c r="E279" s="1" t="s">
        <v>40</v>
      </c>
    </row>
    <row r="280" spans="1:5" x14ac:dyDescent="0.25">
      <c r="A280" s="1" t="s">
        <v>816</v>
      </c>
      <c r="B280" s="1" t="s">
        <v>817</v>
      </c>
      <c r="C280" s="1" t="s">
        <v>585</v>
      </c>
      <c r="D280" s="1" t="s">
        <v>184</v>
      </c>
      <c r="E280" s="1" t="s">
        <v>44</v>
      </c>
    </row>
    <row r="281" spans="1:5" x14ac:dyDescent="0.25">
      <c r="A281" s="1" t="s">
        <v>818</v>
      </c>
      <c r="B281" s="1" t="s">
        <v>819</v>
      </c>
      <c r="C281" s="1" t="s">
        <v>561</v>
      </c>
      <c r="D281" s="1" t="s">
        <v>184</v>
      </c>
      <c r="E281" s="1" t="s">
        <v>47</v>
      </c>
    </row>
    <row r="282" spans="1:5" x14ac:dyDescent="0.25">
      <c r="A282" s="1" t="s">
        <v>820</v>
      </c>
      <c r="B282" s="1" t="s">
        <v>821</v>
      </c>
      <c r="C282" s="1" t="s">
        <v>374</v>
      </c>
      <c r="D282" s="1" t="s">
        <v>184</v>
      </c>
      <c r="E282" s="1" t="s">
        <v>140</v>
      </c>
    </row>
    <row r="283" spans="1:5" x14ac:dyDescent="0.25">
      <c r="A283" s="1" t="s">
        <v>822</v>
      </c>
      <c r="B283" s="1" t="s">
        <v>823</v>
      </c>
      <c r="C283" s="1" t="s">
        <v>824</v>
      </c>
      <c r="D283" s="1" t="s">
        <v>184</v>
      </c>
      <c r="E283" s="1" t="s">
        <v>18</v>
      </c>
    </row>
    <row r="284" spans="1:5" x14ac:dyDescent="0.25">
      <c r="A284" s="1" t="s">
        <v>825</v>
      </c>
      <c r="B284" s="1" t="s">
        <v>826</v>
      </c>
      <c r="C284" s="1" t="s">
        <v>712</v>
      </c>
      <c r="D284" s="1" t="s">
        <v>184</v>
      </c>
      <c r="E284" s="1" t="s">
        <v>261</v>
      </c>
    </row>
    <row r="285" spans="1:5" x14ac:dyDescent="0.25">
      <c r="A285" s="1" t="s">
        <v>827</v>
      </c>
      <c r="B285" s="1" t="s">
        <v>828</v>
      </c>
      <c r="C285" s="1" t="s">
        <v>589</v>
      </c>
      <c r="D285" s="1" t="s">
        <v>184</v>
      </c>
      <c r="E285" s="1" t="s">
        <v>265</v>
      </c>
    </row>
    <row r="286" spans="1:5" x14ac:dyDescent="0.25">
      <c r="A286" s="1" t="s">
        <v>829</v>
      </c>
      <c r="B286" s="1" t="s">
        <v>830</v>
      </c>
      <c r="C286" s="1" t="s">
        <v>720</v>
      </c>
      <c r="D286" s="1" t="s">
        <v>184</v>
      </c>
      <c r="E286" s="1" t="s">
        <v>452</v>
      </c>
    </row>
    <row r="287" spans="1:5" x14ac:dyDescent="0.25">
      <c r="A287" s="1" t="s">
        <v>831</v>
      </c>
      <c r="B287" s="1" t="s">
        <v>832</v>
      </c>
      <c r="C287" s="1" t="s">
        <v>782</v>
      </c>
      <c r="D287" s="1" t="s">
        <v>184</v>
      </c>
      <c r="E287" s="1" t="s">
        <v>22</v>
      </c>
    </row>
    <row r="288" spans="1:5" x14ac:dyDescent="0.25">
      <c r="A288" s="1" t="s">
        <v>833</v>
      </c>
      <c r="B288" s="1" t="s">
        <v>834</v>
      </c>
      <c r="C288" s="1" t="s">
        <v>835</v>
      </c>
      <c r="D288" s="1" t="s">
        <v>184</v>
      </c>
      <c r="E288" s="1" t="s">
        <v>721</v>
      </c>
    </row>
    <row r="289" spans="1:5" x14ac:dyDescent="0.25">
      <c r="A289" s="1" t="s">
        <v>836</v>
      </c>
      <c r="B289" s="1" t="s">
        <v>837</v>
      </c>
      <c r="C289" s="1" t="s">
        <v>802</v>
      </c>
      <c r="D289" s="1" t="s">
        <v>184</v>
      </c>
      <c r="E289" s="1" t="s">
        <v>637</v>
      </c>
    </row>
    <row r="290" spans="1:5" x14ac:dyDescent="0.25">
      <c r="A290" s="1" t="s">
        <v>838</v>
      </c>
      <c r="B290" s="1" t="s">
        <v>839</v>
      </c>
      <c r="C290" s="1" t="s">
        <v>507</v>
      </c>
      <c r="D290" s="1" t="s">
        <v>195</v>
      </c>
      <c r="E290" s="1" t="s">
        <v>40</v>
      </c>
    </row>
    <row r="291" spans="1:5" x14ac:dyDescent="0.25">
      <c r="A291" s="1" t="s">
        <v>840</v>
      </c>
      <c r="B291" s="1" t="s">
        <v>841</v>
      </c>
      <c r="C291" s="1" t="s">
        <v>610</v>
      </c>
      <c r="D291" s="1" t="s">
        <v>195</v>
      </c>
      <c r="E291" s="1" t="s">
        <v>44</v>
      </c>
    </row>
    <row r="292" spans="1:5" x14ac:dyDescent="0.25">
      <c r="A292" s="1" t="s">
        <v>842</v>
      </c>
      <c r="B292" s="1" t="s">
        <v>843</v>
      </c>
      <c r="C292" s="1" t="s">
        <v>588</v>
      </c>
      <c r="D292" s="1" t="s">
        <v>195</v>
      </c>
      <c r="E292" s="1" t="s">
        <v>47</v>
      </c>
    </row>
    <row r="293" spans="1:5" x14ac:dyDescent="0.25">
      <c r="A293" s="1" t="s">
        <v>844</v>
      </c>
      <c r="B293" s="1" t="s">
        <v>845</v>
      </c>
      <c r="C293" s="1" t="s">
        <v>846</v>
      </c>
      <c r="D293" s="1" t="s">
        <v>195</v>
      </c>
      <c r="E293" s="1" t="s">
        <v>140</v>
      </c>
    </row>
    <row r="294" spans="1:5" x14ac:dyDescent="0.25">
      <c r="A294" s="1" t="s">
        <v>847</v>
      </c>
      <c r="B294" s="1" t="s">
        <v>848</v>
      </c>
      <c r="C294" s="1" t="s">
        <v>449</v>
      </c>
      <c r="D294" s="1" t="s">
        <v>195</v>
      </c>
      <c r="E294" s="1" t="s">
        <v>18</v>
      </c>
    </row>
    <row r="295" spans="1:5" x14ac:dyDescent="0.25">
      <c r="A295" s="1" t="s">
        <v>849</v>
      </c>
      <c r="B295" s="1" t="s">
        <v>850</v>
      </c>
      <c r="C295" s="1" t="s">
        <v>851</v>
      </c>
      <c r="D295" s="1" t="s">
        <v>195</v>
      </c>
      <c r="E295" s="1" t="s">
        <v>261</v>
      </c>
    </row>
    <row r="296" spans="1:5" x14ac:dyDescent="0.25">
      <c r="A296" s="1" t="s">
        <v>852</v>
      </c>
      <c r="B296" s="1" t="s">
        <v>853</v>
      </c>
      <c r="C296" s="1" t="s">
        <v>854</v>
      </c>
      <c r="D296" s="1" t="s">
        <v>195</v>
      </c>
      <c r="E296" s="1" t="s">
        <v>265</v>
      </c>
    </row>
    <row r="297" spans="1:5" x14ac:dyDescent="0.25">
      <c r="A297" s="1" t="s">
        <v>855</v>
      </c>
      <c r="B297" s="1" t="s">
        <v>856</v>
      </c>
      <c r="C297" s="1" t="s">
        <v>857</v>
      </c>
      <c r="D297" s="1" t="s">
        <v>195</v>
      </c>
      <c r="E297" s="1" t="s">
        <v>452</v>
      </c>
    </row>
    <row r="298" spans="1:5" x14ac:dyDescent="0.25">
      <c r="A298" s="1" t="s">
        <v>858</v>
      </c>
      <c r="B298" s="1" t="s">
        <v>859</v>
      </c>
      <c r="C298" s="1" t="s">
        <v>26</v>
      </c>
      <c r="D298" s="1" t="s">
        <v>195</v>
      </c>
      <c r="E298" s="1" t="s">
        <v>22</v>
      </c>
    </row>
    <row r="299" spans="1:5" x14ac:dyDescent="0.25">
      <c r="A299" s="1" t="s">
        <v>860</v>
      </c>
      <c r="B299" s="1" t="s">
        <v>861</v>
      </c>
      <c r="C299" s="1" t="s">
        <v>862</v>
      </c>
      <c r="D299" s="1" t="s">
        <v>195</v>
      </c>
      <c r="E299" s="1" t="s">
        <v>721</v>
      </c>
    </row>
    <row r="300" spans="1:5" x14ac:dyDescent="0.25">
      <c r="A300" s="1" t="s">
        <v>863</v>
      </c>
      <c r="B300" s="1" t="s">
        <v>864</v>
      </c>
      <c r="C300" s="1" t="s">
        <v>865</v>
      </c>
      <c r="D300" s="1" t="s">
        <v>195</v>
      </c>
      <c r="E300" s="1" t="s">
        <v>637</v>
      </c>
    </row>
    <row r="301" spans="1:5" x14ac:dyDescent="0.25">
      <c r="A301" s="1" t="s">
        <v>866</v>
      </c>
      <c r="B301" s="1" t="s">
        <v>867</v>
      </c>
      <c r="C301" s="1" t="s">
        <v>371</v>
      </c>
      <c r="D301" s="1" t="s">
        <v>205</v>
      </c>
      <c r="E301" s="1" t="s">
        <v>40</v>
      </c>
    </row>
    <row r="302" spans="1:5" x14ac:dyDescent="0.25">
      <c r="A302" s="1" t="s">
        <v>869</v>
      </c>
      <c r="B302" s="1" t="s">
        <v>870</v>
      </c>
      <c r="C302" s="1" t="s">
        <v>322</v>
      </c>
      <c r="D302" s="1" t="s">
        <v>205</v>
      </c>
      <c r="E302" s="1" t="s">
        <v>44</v>
      </c>
    </row>
    <row r="303" spans="1:5" x14ac:dyDescent="0.25">
      <c r="A303" s="1" t="s">
        <v>871</v>
      </c>
      <c r="B303" s="1" t="s">
        <v>872</v>
      </c>
      <c r="C303" s="1" t="s">
        <v>758</v>
      </c>
      <c r="D303" s="1" t="s">
        <v>205</v>
      </c>
      <c r="E303" s="1" t="s">
        <v>47</v>
      </c>
    </row>
    <row r="304" spans="1:5" x14ac:dyDescent="0.25">
      <c r="A304" s="1" t="s">
        <v>873</v>
      </c>
      <c r="B304" s="1" t="s">
        <v>874</v>
      </c>
      <c r="C304" s="1" t="s">
        <v>875</v>
      </c>
      <c r="D304" s="1" t="s">
        <v>205</v>
      </c>
      <c r="E304" s="1" t="s">
        <v>140</v>
      </c>
    </row>
    <row r="305" spans="1:5" x14ac:dyDescent="0.25">
      <c r="A305" s="1" t="s">
        <v>876</v>
      </c>
      <c r="B305" s="1" t="s">
        <v>877</v>
      </c>
      <c r="C305" s="1" t="s">
        <v>878</v>
      </c>
      <c r="D305" s="1" t="s">
        <v>205</v>
      </c>
      <c r="E305" s="1" t="s">
        <v>18</v>
      </c>
    </row>
    <row r="306" spans="1:5" x14ac:dyDescent="0.25">
      <c r="A306" s="1" t="s">
        <v>879</v>
      </c>
      <c r="B306" s="1" t="s">
        <v>880</v>
      </c>
      <c r="C306" s="1" t="s">
        <v>706</v>
      </c>
      <c r="D306" s="1" t="s">
        <v>205</v>
      </c>
      <c r="E306" s="1" t="s">
        <v>261</v>
      </c>
    </row>
    <row r="307" spans="1:5" x14ac:dyDescent="0.25">
      <c r="A307" s="1" t="s">
        <v>881</v>
      </c>
      <c r="B307" s="1" t="s">
        <v>882</v>
      </c>
      <c r="C307" s="1" t="s">
        <v>720</v>
      </c>
      <c r="D307" s="1" t="s">
        <v>205</v>
      </c>
      <c r="E307" s="1" t="s">
        <v>265</v>
      </c>
    </row>
    <row r="308" spans="1:5" x14ac:dyDescent="0.25">
      <c r="A308" s="1" t="s">
        <v>883</v>
      </c>
      <c r="B308" s="1" t="s">
        <v>884</v>
      </c>
      <c r="C308" s="1" t="s">
        <v>885</v>
      </c>
      <c r="D308" s="1" t="s">
        <v>205</v>
      </c>
      <c r="E308" s="1" t="s">
        <v>452</v>
      </c>
    </row>
    <row r="309" spans="1:5" x14ac:dyDescent="0.25">
      <c r="A309" s="1" t="s">
        <v>887</v>
      </c>
      <c r="B309" s="1" t="s">
        <v>888</v>
      </c>
      <c r="C309" s="1" t="s">
        <v>889</v>
      </c>
      <c r="D309" s="1" t="s">
        <v>205</v>
      </c>
      <c r="E309" s="1" t="s">
        <v>22</v>
      </c>
    </row>
    <row r="310" spans="1:5" x14ac:dyDescent="0.25">
      <c r="A310" s="1" t="s">
        <v>890</v>
      </c>
      <c r="B310" s="1" t="s">
        <v>891</v>
      </c>
      <c r="C310" s="1" t="s">
        <v>670</v>
      </c>
      <c r="D310" s="1" t="s">
        <v>205</v>
      </c>
      <c r="E310" s="1" t="s">
        <v>721</v>
      </c>
    </row>
    <row r="311" spans="1:5" x14ac:dyDescent="0.25">
      <c r="A311" s="1" t="s">
        <v>892</v>
      </c>
      <c r="B311" s="1" t="s">
        <v>893</v>
      </c>
      <c r="C311" s="1" t="s">
        <v>894</v>
      </c>
      <c r="D311" s="1" t="s">
        <v>205</v>
      </c>
      <c r="E311" s="1" t="s">
        <v>637</v>
      </c>
    </row>
    <row r="312" spans="1:5" x14ac:dyDescent="0.25">
      <c r="A312" s="1" t="s">
        <v>896</v>
      </c>
      <c r="B312" s="1" t="s">
        <v>897</v>
      </c>
      <c r="C312" s="1" t="s">
        <v>898</v>
      </c>
      <c r="D312" s="1" t="s">
        <v>205</v>
      </c>
      <c r="E312" s="1" t="s">
        <v>899</v>
      </c>
    </row>
    <row r="313" spans="1:5" x14ac:dyDescent="0.25">
      <c r="A313" s="1" t="s">
        <v>900</v>
      </c>
      <c r="B313" s="1" t="s">
        <v>901</v>
      </c>
      <c r="C313" s="1" t="s">
        <v>443</v>
      </c>
      <c r="D313" s="1" t="s">
        <v>902</v>
      </c>
      <c r="E313" s="1" t="s">
        <v>40</v>
      </c>
    </row>
    <row r="314" spans="1:5" x14ac:dyDescent="0.25">
      <c r="A314" s="1" t="s">
        <v>903</v>
      </c>
      <c r="B314" s="1" t="s">
        <v>904</v>
      </c>
      <c r="C314" s="1" t="s">
        <v>564</v>
      </c>
      <c r="D314" s="1" t="s">
        <v>902</v>
      </c>
      <c r="E314" s="1" t="s">
        <v>44</v>
      </c>
    </row>
    <row r="315" spans="1:5" x14ac:dyDescent="0.25">
      <c r="A315" s="1" t="s">
        <v>905</v>
      </c>
      <c r="B315" s="1" t="s">
        <v>906</v>
      </c>
      <c r="C315" s="1" t="s">
        <v>567</v>
      </c>
      <c r="D315" s="1" t="s">
        <v>902</v>
      </c>
      <c r="E315" s="1" t="s">
        <v>47</v>
      </c>
    </row>
    <row r="316" spans="1:5" x14ac:dyDescent="0.25">
      <c r="A316" s="1" t="s">
        <v>907</v>
      </c>
      <c r="B316" s="1" t="s">
        <v>908</v>
      </c>
      <c r="C316" s="1" t="s">
        <v>619</v>
      </c>
      <c r="D316" s="1" t="s">
        <v>902</v>
      </c>
      <c r="E316" s="1" t="s">
        <v>140</v>
      </c>
    </row>
    <row r="317" spans="1:5" x14ac:dyDescent="0.25">
      <c r="A317" s="1" t="s">
        <v>909</v>
      </c>
      <c r="B317" s="1" t="s">
        <v>910</v>
      </c>
      <c r="C317" s="1" t="s">
        <v>911</v>
      </c>
      <c r="D317" s="1" t="s">
        <v>902</v>
      </c>
      <c r="E317" s="1" t="s">
        <v>18</v>
      </c>
    </row>
    <row r="318" spans="1:5" x14ac:dyDescent="0.25">
      <c r="A318" s="1" t="s">
        <v>912</v>
      </c>
      <c r="B318" s="1" t="s">
        <v>913</v>
      </c>
      <c r="C318" s="1" t="s">
        <v>538</v>
      </c>
      <c r="D318" s="1" t="s">
        <v>902</v>
      </c>
      <c r="E318" s="1" t="s">
        <v>261</v>
      </c>
    </row>
    <row r="319" spans="1:5" x14ac:dyDescent="0.25">
      <c r="A319" s="1" t="s">
        <v>914</v>
      </c>
      <c r="B319" s="1" t="s">
        <v>915</v>
      </c>
      <c r="C319" s="1" t="s">
        <v>616</v>
      </c>
      <c r="D319" s="1" t="s">
        <v>902</v>
      </c>
      <c r="E319" s="1" t="s">
        <v>265</v>
      </c>
    </row>
    <row r="320" spans="1:5" x14ac:dyDescent="0.25">
      <c r="A320" s="1" t="s">
        <v>916</v>
      </c>
      <c r="B320" s="1" t="s">
        <v>917</v>
      </c>
      <c r="C320" s="1" t="s">
        <v>918</v>
      </c>
      <c r="D320" s="1" t="s">
        <v>902</v>
      </c>
      <c r="E320" s="1" t="s">
        <v>452</v>
      </c>
    </row>
    <row r="321" spans="1:5" x14ac:dyDescent="0.25">
      <c r="A321" s="1" t="s">
        <v>919</v>
      </c>
      <c r="B321" s="1" t="s">
        <v>920</v>
      </c>
      <c r="C321" s="1" t="s">
        <v>670</v>
      </c>
      <c r="D321" s="1" t="s">
        <v>902</v>
      </c>
      <c r="E321" s="1" t="s">
        <v>22</v>
      </c>
    </row>
    <row r="322" spans="1:5" x14ac:dyDescent="0.25">
      <c r="A322" s="1" t="s">
        <v>921</v>
      </c>
      <c r="B322" s="1" t="s">
        <v>922</v>
      </c>
      <c r="C322" s="1" t="s">
        <v>923</v>
      </c>
      <c r="D322" s="1" t="s">
        <v>902</v>
      </c>
      <c r="E322" s="1" t="s">
        <v>721</v>
      </c>
    </row>
    <row r="323" spans="1:5" x14ac:dyDescent="0.25">
      <c r="A323" s="1" t="s">
        <v>924</v>
      </c>
      <c r="B323" s="1" t="s">
        <v>925</v>
      </c>
      <c r="C323" s="1" t="s">
        <v>751</v>
      </c>
      <c r="D323" s="1" t="s">
        <v>902</v>
      </c>
      <c r="E323" s="1" t="s">
        <v>637</v>
      </c>
    </row>
    <row r="324" spans="1:5" x14ac:dyDescent="0.25">
      <c r="A324" s="1" t="s">
        <v>926</v>
      </c>
      <c r="B324" s="1" t="s">
        <v>927</v>
      </c>
      <c r="C324" s="1" t="s">
        <v>928</v>
      </c>
      <c r="D324" s="1" t="s">
        <v>902</v>
      </c>
      <c r="E324" s="1" t="s">
        <v>899</v>
      </c>
    </row>
    <row r="325" spans="1:5" x14ac:dyDescent="0.25">
      <c r="A325" s="1" t="s">
        <v>929</v>
      </c>
      <c r="B325" s="1" t="s">
        <v>930</v>
      </c>
      <c r="C325" s="1" t="s">
        <v>541</v>
      </c>
      <c r="D325" s="1" t="s">
        <v>239</v>
      </c>
      <c r="E325" s="1" t="s">
        <v>40</v>
      </c>
    </row>
    <row r="326" spans="1:5" x14ac:dyDescent="0.25">
      <c r="A326" s="1" t="s">
        <v>931</v>
      </c>
      <c r="B326" s="1" t="s">
        <v>932</v>
      </c>
      <c r="C326" s="1" t="s">
        <v>933</v>
      </c>
      <c r="D326" s="1" t="s">
        <v>239</v>
      </c>
      <c r="E326" s="1" t="s">
        <v>44</v>
      </c>
    </row>
    <row r="327" spans="1:5" x14ac:dyDescent="0.25">
      <c r="A327" s="1" t="s">
        <v>934</v>
      </c>
      <c r="B327" s="1" t="s">
        <v>935</v>
      </c>
      <c r="C327" s="1" t="s">
        <v>868</v>
      </c>
      <c r="D327" s="1" t="s">
        <v>239</v>
      </c>
      <c r="E327" s="1" t="s">
        <v>47</v>
      </c>
    </row>
    <row r="328" spans="1:5" x14ac:dyDescent="0.25">
      <c r="A328" s="1" t="s">
        <v>937</v>
      </c>
      <c r="B328" s="1" t="s">
        <v>938</v>
      </c>
      <c r="C328" s="1" t="s">
        <v>911</v>
      </c>
      <c r="D328" s="1" t="s">
        <v>239</v>
      </c>
      <c r="E328" s="1" t="s">
        <v>140</v>
      </c>
    </row>
    <row r="329" spans="1:5" x14ac:dyDescent="0.25">
      <c r="A329" s="1" t="s">
        <v>939</v>
      </c>
      <c r="B329" s="1" t="s">
        <v>940</v>
      </c>
      <c r="C329" s="1" t="s">
        <v>747</v>
      </c>
      <c r="D329" s="1" t="s">
        <v>239</v>
      </c>
      <c r="E329" s="1" t="s">
        <v>18</v>
      </c>
    </row>
    <row r="330" spans="1:5" x14ac:dyDescent="0.25">
      <c r="A330" s="1" t="s">
        <v>941</v>
      </c>
      <c r="B330" s="1" t="s">
        <v>942</v>
      </c>
      <c r="C330" s="1" t="s">
        <v>568</v>
      </c>
      <c r="D330" s="1" t="s">
        <v>239</v>
      </c>
      <c r="E330" s="1" t="s">
        <v>261</v>
      </c>
    </row>
    <row r="331" spans="1:5" x14ac:dyDescent="0.25">
      <c r="A331" s="1" t="s">
        <v>943</v>
      </c>
      <c r="B331" s="1" t="s">
        <v>944</v>
      </c>
      <c r="C331" s="1" t="s">
        <v>666</v>
      </c>
      <c r="D331" s="1" t="s">
        <v>239</v>
      </c>
      <c r="E331" s="1" t="s">
        <v>265</v>
      </c>
    </row>
    <row r="332" spans="1:5" x14ac:dyDescent="0.25">
      <c r="A332" s="1" t="s">
        <v>945</v>
      </c>
      <c r="B332" s="1" t="s">
        <v>946</v>
      </c>
      <c r="C332" s="1" t="s">
        <v>947</v>
      </c>
      <c r="D332" s="1" t="s">
        <v>239</v>
      </c>
      <c r="E332" s="1" t="s">
        <v>452</v>
      </c>
    </row>
    <row r="333" spans="1:5" x14ac:dyDescent="0.25">
      <c r="A333" s="1" t="s">
        <v>948</v>
      </c>
      <c r="B333" s="1" t="s">
        <v>949</v>
      </c>
      <c r="C333" s="1" t="s">
        <v>950</v>
      </c>
      <c r="D333" s="1" t="s">
        <v>239</v>
      </c>
      <c r="E333" s="1" t="s">
        <v>22</v>
      </c>
    </row>
    <row r="334" spans="1:5" x14ac:dyDescent="0.25">
      <c r="A334" s="1" t="s">
        <v>951</v>
      </c>
      <c r="B334" s="1" t="s">
        <v>952</v>
      </c>
      <c r="C334" s="1" t="s">
        <v>898</v>
      </c>
      <c r="D334" s="1" t="s">
        <v>239</v>
      </c>
      <c r="E334" s="1" t="s">
        <v>721</v>
      </c>
    </row>
    <row r="335" spans="1:5" x14ac:dyDescent="0.25">
      <c r="A335" s="1" t="s">
        <v>953</v>
      </c>
      <c r="B335" s="1" t="s">
        <v>954</v>
      </c>
      <c r="C335" s="1" t="s">
        <v>955</v>
      </c>
      <c r="D335" s="1" t="s">
        <v>239</v>
      </c>
      <c r="E335" s="1" t="s">
        <v>637</v>
      </c>
    </row>
    <row r="336" spans="1:5" x14ac:dyDescent="0.25">
      <c r="A336" s="1" t="s">
        <v>956</v>
      </c>
      <c r="B336" s="1" t="s">
        <v>957</v>
      </c>
      <c r="C336" s="1" t="s">
        <v>958</v>
      </c>
      <c r="D336" s="1" t="s">
        <v>239</v>
      </c>
      <c r="E336" s="1" t="s">
        <v>899</v>
      </c>
    </row>
    <row r="337" spans="1:5" x14ac:dyDescent="0.25">
      <c r="A337" s="1" t="s">
        <v>959</v>
      </c>
      <c r="B337" s="1" t="s">
        <v>960</v>
      </c>
      <c r="C337" s="1" t="s">
        <v>961</v>
      </c>
      <c r="D337" s="1" t="s">
        <v>239</v>
      </c>
      <c r="E337" s="1" t="s">
        <v>26</v>
      </c>
    </row>
    <row r="338" spans="1:5" x14ac:dyDescent="0.25">
      <c r="A338" s="1" t="s">
        <v>962</v>
      </c>
      <c r="B338" s="1" t="s">
        <v>963</v>
      </c>
      <c r="C338" s="1" t="s">
        <v>761</v>
      </c>
      <c r="D338" s="1" t="s">
        <v>248</v>
      </c>
      <c r="E338" s="1" t="s">
        <v>40</v>
      </c>
    </row>
    <row r="339" spans="1:5" x14ac:dyDescent="0.25">
      <c r="A339" s="1" t="s">
        <v>964</v>
      </c>
      <c r="B339" s="1" t="s">
        <v>965</v>
      </c>
      <c r="C339" s="1" t="s">
        <v>558</v>
      </c>
      <c r="D339" s="1" t="s">
        <v>248</v>
      </c>
      <c r="E339" s="1" t="s">
        <v>44</v>
      </c>
    </row>
    <row r="340" spans="1:5" x14ac:dyDescent="0.25">
      <c r="A340" s="1" t="s">
        <v>966</v>
      </c>
      <c r="B340" s="1" t="s">
        <v>967</v>
      </c>
      <c r="C340" s="1" t="s">
        <v>703</v>
      </c>
      <c r="D340" s="1" t="s">
        <v>248</v>
      </c>
      <c r="E340" s="1" t="s">
        <v>47</v>
      </c>
    </row>
    <row r="341" spans="1:5" x14ac:dyDescent="0.25">
      <c r="A341" s="1" t="s">
        <v>968</v>
      </c>
      <c r="B341" s="1" t="s">
        <v>969</v>
      </c>
      <c r="C341" s="1" t="s">
        <v>738</v>
      </c>
      <c r="D341" s="1" t="s">
        <v>248</v>
      </c>
      <c r="E341" s="1" t="s">
        <v>140</v>
      </c>
    </row>
    <row r="342" spans="1:5" x14ac:dyDescent="0.25">
      <c r="A342" s="1" t="s">
        <v>970</v>
      </c>
      <c r="B342" s="1" t="s">
        <v>971</v>
      </c>
      <c r="C342" s="1" t="s">
        <v>637</v>
      </c>
      <c r="D342" s="1" t="s">
        <v>248</v>
      </c>
      <c r="E342" s="1" t="s">
        <v>18</v>
      </c>
    </row>
    <row r="343" spans="1:5" x14ac:dyDescent="0.25">
      <c r="A343" s="1" t="s">
        <v>973</v>
      </c>
      <c r="B343" s="1" t="s">
        <v>974</v>
      </c>
      <c r="C343" s="1" t="s">
        <v>724</v>
      </c>
      <c r="D343" s="1" t="s">
        <v>248</v>
      </c>
      <c r="E343" s="1" t="s">
        <v>261</v>
      </c>
    </row>
    <row r="344" spans="1:5" x14ac:dyDescent="0.25">
      <c r="A344" s="1" t="s">
        <v>975</v>
      </c>
      <c r="B344" s="1" t="s">
        <v>976</v>
      </c>
      <c r="C344" s="1" t="s">
        <v>977</v>
      </c>
      <c r="D344" s="1" t="s">
        <v>248</v>
      </c>
      <c r="E344" s="1" t="s">
        <v>265</v>
      </c>
    </row>
    <row r="345" spans="1:5" x14ac:dyDescent="0.25">
      <c r="A345" s="1" t="s">
        <v>978</v>
      </c>
      <c r="B345" s="1" t="s">
        <v>979</v>
      </c>
      <c r="C345" s="1" t="s">
        <v>980</v>
      </c>
      <c r="D345" s="1" t="s">
        <v>248</v>
      </c>
      <c r="E345" s="1" t="s">
        <v>452</v>
      </c>
    </row>
    <row r="346" spans="1:5" x14ac:dyDescent="0.25">
      <c r="A346" s="1" t="s">
        <v>982</v>
      </c>
      <c r="B346" s="1" t="s">
        <v>983</v>
      </c>
      <c r="C346" s="1" t="s">
        <v>751</v>
      </c>
      <c r="D346" s="1" t="s">
        <v>248</v>
      </c>
      <c r="E346" s="1" t="s">
        <v>22</v>
      </c>
    </row>
    <row r="347" spans="1:5" x14ac:dyDescent="0.25">
      <c r="A347" s="1" t="s">
        <v>984</v>
      </c>
      <c r="B347" s="1" t="s">
        <v>985</v>
      </c>
      <c r="C347" s="1" t="s">
        <v>986</v>
      </c>
      <c r="D347" s="1" t="s">
        <v>248</v>
      </c>
      <c r="E347" s="1" t="s">
        <v>721</v>
      </c>
    </row>
    <row r="348" spans="1:5" x14ac:dyDescent="0.25">
      <c r="A348" s="1" t="s">
        <v>987</v>
      </c>
      <c r="B348" s="1" t="s">
        <v>988</v>
      </c>
      <c r="C348" s="1" t="s">
        <v>34</v>
      </c>
      <c r="D348" s="1" t="s">
        <v>248</v>
      </c>
      <c r="E348" s="1" t="s">
        <v>637</v>
      </c>
    </row>
    <row r="349" spans="1:5" x14ac:dyDescent="0.25">
      <c r="A349" s="1" t="s">
        <v>989</v>
      </c>
      <c r="B349" s="1" t="s">
        <v>990</v>
      </c>
      <c r="C349" s="1" t="s">
        <v>991</v>
      </c>
      <c r="D349" s="1" t="s">
        <v>248</v>
      </c>
      <c r="E349" s="1" t="s">
        <v>899</v>
      </c>
    </row>
    <row r="350" spans="1:5" x14ac:dyDescent="0.25">
      <c r="A350" s="1" t="s">
        <v>993</v>
      </c>
      <c r="B350" s="1" t="s">
        <v>994</v>
      </c>
      <c r="C350" s="1" t="s">
        <v>995</v>
      </c>
      <c r="D350" s="1" t="s">
        <v>248</v>
      </c>
      <c r="E350" s="1" t="s">
        <v>26</v>
      </c>
    </row>
    <row r="351" spans="1:5" x14ac:dyDescent="0.25">
      <c r="A351" s="1" t="s">
        <v>996</v>
      </c>
      <c r="B351" s="1" t="s">
        <v>997</v>
      </c>
      <c r="C351" s="1" t="s">
        <v>875</v>
      </c>
      <c r="D351" s="1" t="s">
        <v>258</v>
      </c>
      <c r="E351" s="1" t="s">
        <v>40</v>
      </c>
    </row>
    <row r="352" spans="1:5" x14ac:dyDescent="0.25">
      <c r="A352" s="1" t="s">
        <v>998</v>
      </c>
      <c r="B352" s="1" t="s">
        <v>999</v>
      </c>
      <c r="C352" s="1" t="s">
        <v>632</v>
      </c>
      <c r="D352" s="1" t="s">
        <v>258</v>
      </c>
      <c r="E352" s="1" t="s">
        <v>44</v>
      </c>
    </row>
    <row r="353" spans="1:5" x14ac:dyDescent="0.25">
      <c r="A353" s="1" t="s">
        <v>1001</v>
      </c>
      <c r="B353" s="1" t="s">
        <v>1002</v>
      </c>
      <c r="C353" s="1" t="s">
        <v>1003</v>
      </c>
      <c r="D353" s="1" t="s">
        <v>258</v>
      </c>
      <c r="E353" s="1" t="s">
        <v>47</v>
      </c>
    </row>
    <row r="354" spans="1:5" x14ac:dyDescent="0.25">
      <c r="A354" s="1" t="s">
        <v>1004</v>
      </c>
      <c r="B354" s="1" t="s">
        <v>1005</v>
      </c>
      <c r="C354" s="1" t="s">
        <v>1006</v>
      </c>
      <c r="D354" s="1" t="s">
        <v>258</v>
      </c>
      <c r="E354" s="1" t="s">
        <v>140</v>
      </c>
    </row>
    <row r="355" spans="1:5" x14ac:dyDescent="0.25">
      <c r="A355" s="1" t="s">
        <v>1007</v>
      </c>
      <c r="B355" s="1" t="s">
        <v>1008</v>
      </c>
      <c r="C355" s="1" t="s">
        <v>1000</v>
      </c>
      <c r="D355" s="1" t="s">
        <v>258</v>
      </c>
      <c r="E355" s="1" t="s">
        <v>18</v>
      </c>
    </row>
    <row r="356" spans="1:5" x14ac:dyDescent="0.25">
      <c r="A356" s="1" t="s">
        <v>1009</v>
      </c>
      <c r="B356" s="1" t="s">
        <v>1010</v>
      </c>
      <c r="C356" s="1" t="s">
        <v>26</v>
      </c>
      <c r="D356" s="1" t="s">
        <v>258</v>
      </c>
      <c r="E356" s="1" t="s">
        <v>261</v>
      </c>
    </row>
    <row r="357" spans="1:5" x14ac:dyDescent="0.25">
      <c r="A357" s="1" t="s">
        <v>1012</v>
      </c>
      <c r="B357" s="1" t="s">
        <v>1013</v>
      </c>
      <c r="C357" s="1" t="s">
        <v>1014</v>
      </c>
      <c r="D357" s="1" t="s">
        <v>258</v>
      </c>
      <c r="E357" s="1" t="s">
        <v>265</v>
      </c>
    </row>
    <row r="358" spans="1:5" x14ac:dyDescent="0.25">
      <c r="A358" s="1" t="s">
        <v>1016</v>
      </c>
      <c r="B358" s="1" t="s">
        <v>1017</v>
      </c>
      <c r="C358" s="1" t="s">
        <v>1018</v>
      </c>
      <c r="D358" s="1" t="s">
        <v>258</v>
      </c>
      <c r="E358" s="1" t="s">
        <v>452</v>
      </c>
    </row>
    <row r="359" spans="1:5" x14ac:dyDescent="0.25">
      <c r="A359" s="1" t="s">
        <v>1019</v>
      </c>
      <c r="B359" s="1" t="s">
        <v>1020</v>
      </c>
      <c r="C359" s="1" t="s">
        <v>1011</v>
      </c>
      <c r="D359" s="1" t="s">
        <v>258</v>
      </c>
      <c r="E359" s="1" t="s">
        <v>22</v>
      </c>
    </row>
    <row r="360" spans="1:5" x14ac:dyDescent="0.25">
      <c r="A360" s="1" t="s">
        <v>1021</v>
      </c>
      <c r="B360" s="1" t="s">
        <v>1022</v>
      </c>
      <c r="C360" s="1" t="s">
        <v>955</v>
      </c>
      <c r="D360" s="1" t="s">
        <v>258</v>
      </c>
      <c r="E360" s="1" t="s">
        <v>721</v>
      </c>
    </row>
    <row r="361" spans="1:5" x14ac:dyDescent="0.25">
      <c r="A361" s="1" t="s">
        <v>1023</v>
      </c>
      <c r="B361" s="1" t="s">
        <v>1024</v>
      </c>
      <c r="C361" s="1" t="s">
        <v>1025</v>
      </c>
      <c r="D361" s="1" t="s">
        <v>258</v>
      </c>
      <c r="E361" s="1" t="s">
        <v>637</v>
      </c>
    </row>
    <row r="362" spans="1:5" x14ac:dyDescent="0.25">
      <c r="A362" s="1" t="s">
        <v>1027</v>
      </c>
      <c r="B362" s="1" t="s">
        <v>1028</v>
      </c>
      <c r="C362" s="1" t="s">
        <v>1029</v>
      </c>
      <c r="D362" s="1" t="s">
        <v>258</v>
      </c>
      <c r="E362" s="1" t="s">
        <v>899</v>
      </c>
    </row>
    <row r="363" spans="1:5" x14ac:dyDescent="0.25">
      <c r="A363" s="1" t="s">
        <v>1031</v>
      </c>
      <c r="B363" s="1" t="s">
        <v>1032</v>
      </c>
      <c r="C363" s="1" t="s">
        <v>1033</v>
      </c>
      <c r="D363" s="1" t="s">
        <v>258</v>
      </c>
      <c r="E363" s="1" t="s">
        <v>26</v>
      </c>
    </row>
    <row r="364" spans="1:5" x14ac:dyDescent="0.25">
      <c r="A364" s="1" t="s">
        <v>1034</v>
      </c>
      <c r="B364" s="1" t="s">
        <v>1035</v>
      </c>
      <c r="C364" s="1" t="s">
        <v>1036</v>
      </c>
      <c r="D364" s="1" t="s">
        <v>258</v>
      </c>
      <c r="E364" s="1" t="s">
        <v>1037</v>
      </c>
    </row>
    <row r="365" spans="1:5" x14ac:dyDescent="0.25">
      <c r="A365" s="1" t="s">
        <v>1038</v>
      </c>
      <c r="B365" s="1" t="s">
        <v>1039</v>
      </c>
      <c r="C365" s="1" t="s">
        <v>1040</v>
      </c>
      <c r="D365" s="1" t="s">
        <v>258</v>
      </c>
      <c r="E365" s="1" t="s">
        <v>29</v>
      </c>
    </row>
    <row r="366" spans="1:5" x14ac:dyDescent="0.25">
      <c r="A366" s="1" t="s">
        <v>1042</v>
      </c>
      <c r="B366" s="1" t="s">
        <v>1043</v>
      </c>
      <c r="C366" s="1" t="s">
        <v>1044</v>
      </c>
      <c r="D366" s="1" t="s">
        <v>258</v>
      </c>
      <c r="E366" s="1" t="s">
        <v>1045</v>
      </c>
    </row>
    <row r="367" spans="1:5" x14ac:dyDescent="0.25">
      <c r="A367" s="1" t="s">
        <v>1046</v>
      </c>
      <c r="B367" s="1" t="s">
        <v>1047</v>
      </c>
      <c r="C367" s="1" t="s">
        <v>511</v>
      </c>
      <c r="D367" s="1" t="s">
        <v>281</v>
      </c>
      <c r="E367" s="1" t="s">
        <v>47</v>
      </c>
    </row>
    <row r="368" spans="1:5" x14ac:dyDescent="0.25">
      <c r="A368" s="1" t="s">
        <v>1048</v>
      </c>
      <c r="B368" s="1" t="s">
        <v>1049</v>
      </c>
      <c r="C368" s="1" t="s">
        <v>936</v>
      </c>
      <c r="D368" s="1" t="s">
        <v>281</v>
      </c>
      <c r="E368" s="1" t="s">
        <v>140</v>
      </c>
    </row>
    <row r="369" spans="1:5" x14ac:dyDescent="0.25">
      <c r="A369" s="1" t="s">
        <v>1050</v>
      </c>
      <c r="B369" s="1" t="s">
        <v>1051</v>
      </c>
      <c r="C369" s="1" t="s">
        <v>26</v>
      </c>
      <c r="D369" s="1" t="s">
        <v>281</v>
      </c>
      <c r="E369" s="1" t="s">
        <v>18</v>
      </c>
    </row>
    <row r="370" spans="1:5" x14ac:dyDescent="0.25">
      <c r="A370" s="1" t="s">
        <v>1052</v>
      </c>
      <c r="B370" s="1" t="s">
        <v>1053</v>
      </c>
      <c r="C370" s="1" t="s">
        <v>1054</v>
      </c>
      <c r="D370" s="1" t="s">
        <v>281</v>
      </c>
      <c r="E370" s="1" t="s">
        <v>261</v>
      </c>
    </row>
    <row r="371" spans="1:5" x14ac:dyDescent="0.25">
      <c r="A371" s="1" t="s">
        <v>1055</v>
      </c>
      <c r="B371" s="1" t="s">
        <v>1056</v>
      </c>
      <c r="C371" s="1" t="s">
        <v>950</v>
      </c>
      <c r="D371" s="1" t="s">
        <v>281</v>
      </c>
      <c r="E371" s="1" t="s">
        <v>265</v>
      </c>
    </row>
    <row r="372" spans="1:5" x14ac:dyDescent="0.25">
      <c r="A372" s="1" t="s">
        <v>1057</v>
      </c>
      <c r="B372" s="1" t="s">
        <v>1058</v>
      </c>
      <c r="C372" s="1" t="s">
        <v>1059</v>
      </c>
      <c r="D372" s="1" t="s">
        <v>281</v>
      </c>
      <c r="E372" s="1" t="s">
        <v>452</v>
      </c>
    </row>
    <row r="373" spans="1:5" x14ac:dyDescent="0.25">
      <c r="A373" s="1" t="s">
        <v>1060</v>
      </c>
      <c r="B373" s="1" t="s">
        <v>1061</v>
      </c>
      <c r="C373" s="1" t="s">
        <v>1062</v>
      </c>
      <c r="D373" s="1" t="s">
        <v>281</v>
      </c>
      <c r="E373" s="1" t="s">
        <v>22</v>
      </c>
    </row>
    <row r="374" spans="1:5" x14ac:dyDescent="0.25">
      <c r="A374" s="1" t="s">
        <v>1063</v>
      </c>
      <c r="B374" s="1" t="s">
        <v>1064</v>
      </c>
      <c r="C374" s="1" t="s">
        <v>1065</v>
      </c>
      <c r="D374" s="1" t="s">
        <v>281</v>
      </c>
      <c r="E374" s="1" t="s">
        <v>721</v>
      </c>
    </row>
    <row r="375" spans="1:5" x14ac:dyDescent="0.25">
      <c r="A375" s="1" t="s">
        <v>1067</v>
      </c>
      <c r="B375" s="1" t="s">
        <v>1068</v>
      </c>
      <c r="C375" s="1" t="s">
        <v>1069</v>
      </c>
      <c r="D375" s="1" t="s">
        <v>281</v>
      </c>
      <c r="E375" s="1" t="s">
        <v>637</v>
      </c>
    </row>
    <row r="376" spans="1:5" x14ac:dyDescent="0.25">
      <c r="A376" s="1" t="s">
        <v>1070</v>
      </c>
      <c r="B376" s="1" t="s">
        <v>1071</v>
      </c>
      <c r="C376" s="1" t="s">
        <v>1072</v>
      </c>
      <c r="D376" s="1" t="s">
        <v>281</v>
      </c>
      <c r="E376" s="1" t="s">
        <v>899</v>
      </c>
    </row>
    <row r="377" spans="1:5" x14ac:dyDescent="0.25">
      <c r="A377" s="1" t="s">
        <v>1074</v>
      </c>
      <c r="B377" s="1" t="s">
        <v>1075</v>
      </c>
      <c r="C377" s="1" t="s">
        <v>1076</v>
      </c>
      <c r="D377" s="1" t="s">
        <v>281</v>
      </c>
      <c r="E377" s="1" t="s">
        <v>26</v>
      </c>
    </row>
    <row r="378" spans="1:5" x14ac:dyDescent="0.25">
      <c r="A378" s="1" t="s">
        <v>1077</v>
      </c>
      <c r="B378" s="1" t="s">
        <v>1078</v>
      </c>
      <c r="C378" s="1" t="s">
        <v>1079</v>
      </c>
      <c r="D378" s="1" t="s">
        <v>281</v>
      </c>
      <c r="E378" s="1" t="s">
        <v>1037</v>
      </c>
    </row>
    <row r="379" spans="1:5" x14ac:dyDescent="0.25">
      <c r="A379" s="1" t="s">
        <v>1080</v>
      </c>
      <c r="B379" s="1" t="s">
        <v>1081</v>
      </c>
      <c r="C379" s="1" t="s">
        <v>1082</v>
      </c>
      <c r="D379" s="1" t="s">
        <v>281</v>
      </c>
      <c r="E379" s="1" t="s">
        <v>29</v>
      </c>
    </row>
    <row r="380" spans="1:5" x14ac:dyDescent="0.25">
      <c r="A380" s="1" t="s">
        <v>1083</v>
      </c>
      <c r="B380" s="1" t="s">
        <v>1084</v>
      </c>
      <c r="C380" s="1" t="s">
        <v>1085</v>
      </c>
      <c r="D380" s="1" t="s">
        <v>281</v>
      </c>
      <c r="E380" s="1" t="s">
        <v>1045</v>
      </c>
    </row>
    <row r="381" spans="1:5" x14ac:dyDescent="0.25">
      <c r="A381" s="1" t="s">
        <v>1087</v>
      </c>
      <c r="B381" s="1" t="s">
        <v>1088</v>
      </c>
      <c r="C381" s="1" t="s">
        <v>1089</v>
      </c>
      <c r="D381" s="1" t="s">
        <v>298</v>
      </c>
      <c r="E381" s="1" t="s">
        <v>47</v>
      </c>
    </row>
    <row r="382" spans="1:5" x14ac:dyDescent="0.25">
      <c r="A382" s="1" t="s">
        <v>1090</v>
      </c>
      <c r="B382" s="1" t="s">
        <v>1091</v>
      </c>
      <c r="C382" s="1" t="s">
        <v>754</v>
      </c>
      <c r="D382" s="1" t="s">
        <v>298</v>
      </c>
      <c r="E382" s="1" t="s">
        <v>140</v>
      </c>
    </row>
    <row r="383" spans="1:5" x14ac:dyDescent="0.25">
      <c r="A383" s="1" t="s">
        <v>1092</v>
      </c>
      <c r="B383" s="1" t="s">
        <v>1093</v>
      </c>
      <c r="C383" s="1" t="s">
        <v>1094</v>
      </c>
      <c r="D383" s="1" t="s">
        <v>298</v>
      </c>
      <c r="E383" s="1" t="s">
        <v>18</v>
      </c>
    </row>
    <row r="384" spans="1:5" x14ac:dyDescent="0.25">
      <c r="A384" s="1" t="s">
        <v>1095</v>
      </c>
      <c r="B384" s="1" t="s">
        <v>1096</v>
      </c>
      <c r="C384" s="1" t="s">
        <v>972</v>
      </c>
      <c r="D384" s="1" t="s">
        <v>298</v>
      </c>
      <c r="E384" s="1" t="s">
        <v>261</v>
      </c>
    </row>
    <row r="385" spans="1:5" x14ac:dyDescent="0.25">
      <c r="A385" s="1" t="s">
        <v>1097</v>
      </c>
      <c r="B385" s="1" t="s">
        <v>1098</v>
      </c>
      <c r="C385" s="1" t="s">
        <v>1099</v>
      </c>
      <c r="D385" s="1" t="s">
        <v>298</v>
      </c>
      <c r="E385" s="1" t="s">
        <v>265</v>
      </c>
    </row>
    <row r="386" spans="1:5" x14ac:dyDescent="0.25">
      <c r="A386" s="1" t="s">
        <v>1100</v>
      </c>
      <c r="B386" s="1" t="s">
        <v>1101</v>
      </c>
      <c r="C386" s="1" t="s">
        <v>1102</v>
      </c>
      <c r="D386" s="1" t="s">
        <v>298</v>
      </c>
      <c r="E386" s="1" t="s">
        <v>452</v>
      </c>
    </row>
    <row r="387" spans="1:5" x14ac:dyDescent="0.25">
      <c r="A387" s="1" t="s">
        <v>1103</v>
      </c>
      <c r="B387" s="1" t="s">
        <v>1104</v>
      </c>
      <c r="C387" s="1" t="s">
        <v>1105</v>
      </c>
      <c r="D387" s="1" t="s">
        <v>298</v>
      </c>
      <c r="E387" s="1" t="s">
        <v>22</v>
      </c>
    </row>
    <row r="388" spans="1:5" x14ac:dyDescent="0.25">
      <c r="A388" s="1" t="s">
        <v>1106</v>
      </c>
      <c r="B388" s="1" t="s">
        <v>1107</v>
      </c>
      <c r="C388" s="1" t="s">
        <v>1029</v>
      </c>
      <c r="D388" s="1" t="s">
        <v>298</v>
      </c>
      <c r="E388" s="1" t="s">
        <v>721</v>
      </c>
    </row>
    <row r="389" spans="1:5" x14ac:dyDescent="0.25">
      <c r="A389" s="1" t="s">
        <v>1108</v>
      </c>
      <c r="B389" s="1" t="s">
        <v>1109</v>
      </c>
      <c r="C389" s="1" t="s">
        <v>1110</v>
      </c>
      <c r="D389" s="1" t="s">
        <v>298</v>
      </c>
      <c r="E389" s="1" t="s">
        <v>637</v>
      </c>
    </row>
    <row r="390" spans="1:5" x14ac:dyDescent="0.25">
      <c r="A390" s="1" t="s">
        <v>1111</v>
      </c>
      <c r="B390" s="1" t="s">
        <v>1112</v>
      </c>
      <c r="C390" s="1" t="s">
        <v>1113</v>
      </c>
      <c r="D390" s="1" t="s">
        <v>298</v>
      </c>
      <c r="E390" s="1" t="s">
        <v>899</v>
      </c>
    </row>
    <row r="391" spans="1:5" x14ac:dyDescent="0.25">
      <c r="A391" s="1" t="s">
        <v>1114</v>
      </c>
      <c r="B391" s="1" t="s">
        <v>1115</v>
      </c>
      <c r="C391" s="1" t="s">
        <v>1116</v>
      </c>
      <c r="D391" s="1" t="s">
        <v>298</v>
      </c>
      <c r="E391" s="1" t="s">
        <v>26</v>
      </c>
    </row>
    <row r="392" spans="1:5" x14ac:dyDescent="0.25">
      <c r="A392" s="1" t="s">
        <v>1117</v>
      </c>
      <c r="B392" s="1" t="s">
        <v>1118</v>
      </c>
      <c r="C392" s="1" t="s">
        <v>1119</v>
      </c>
      <c r="D392" s="1" t="s">
        <v>298</v>
      </c>
      <c r="E392" s="1" t="s">
        <v>1037</v>
      </c>
    </row>
    <row r="393" spans="1:5" x14ac:dyDescent="0.25">
      <c r="A393" s="1" t="s">
        <v>1120</v>
      </c>
      <c r="B393" s="1" t="s">
        <v>1121</v>
      </c>
      <c r="C393" s="1" t="s">
        <v>1073</v>
      </c>
      <c r="D393" s="1" t="s">
        <v>298</v>
      </c>
      <c r="E393" s="1" t="s">
        <v>29</v>
      </c>
    </row>
    <row r="394" spans="1:5" x14ac:dyDescent="0.25">
      <c r="A394" s="1" t="s">
        <v>1122</v>
      </c>
      <c r="B394" s="1" t="s">
        <v>1123</v>
      </c>
      <c r="C394" s="1" t="s">
        <v>1124</v>
      </c>
      <c r="D394" s="1" t="s">
        <v>298</v>
      </c>
      <c r="E394" s="1" t="s">
        <v>1045</v>
      </c>
    </row>
    <row r="395" spans="1:5" x14ac:dyDescent="0.25">
      <c r="A395" s="1" t="s">
        <v>1125</v>
      </c>
      <c r="B395" s="1" t="s">
        <v>1126</v>
      </c>
      <c r="C395" s="1" t="s">
        <v>1127</v>
      </c>
      <c r="D395" s="1" t="s">
        <v>319</v>
      </c>
      <c r="E395" s="1" t="s">
        <v>18</v>
      </c>
    </row>
    <row r="396" spans="1:5" x14ac:dyDescent="0.25">
      <c r="A396" s="1" t="s">
        <v>1128</v>
      </c>
      <c r="B396" s="1" t="s">
        <v>1129</v>
      </c>
      <c r="C396" s="1" t="s">
        <v>755</v>
      </c>
      <c r="D396" s="1" t="s">
        <v>319</v>
      </c>
      <c r="E396" s="1" t="s">
        <v>265</v>
      </c>
    </row>
    <row r="397" spans="1:5" x14ac:dyDescent="0.25">
      <c r="A397" s="1" t="s">
        <v>1130</v>
      </c>
      <c r="B397" s="1" t="s">
        <v>1131</v>
      </c>
      <c r="C397" s="1" t="s">
        <v>1132</v>
      </c>
      <c r="D397" s="1" t="s">
        <v>319</v>
      </c>
      <c r="E397" s="1" t="s">
        <v>721</v>
      </c>
    </row>
    <row r="398" spans="1:5" x14ac:dyDescent="0.25">
      <c r="A398" s="1" t="s">
        <v>1133</v>
      </c>
      <c r="B398" s="1" t="s">
        <v>1134</v>
      </c>
      <c r="C398" s="1" t="s">
        <v>1135</v>
      </c>
      <c r="D398" s="1" t="s">
        <v>319</v>
      </c>
      <c r="E398" s="1" t="s">
        <v>29</v>
      </c>
    </row>
    <row r="399" spans="1:5" x14ac:dyDescent="0.25">
      <c r="A399" s="1" t="s">
        <v>1136</v>
      </c>
      <c r="B399" s="1" t="s">
        <v>1137</v>
      </c>
      <c r="C399" s="1" t="s">
        <v>1138</v>
      </c>
      <c r="D399" s="1" t="s">
        <v>342</v>
      </c>
      <c r="E399" s="1" t="s">
        <v>140</v>
      </c>
    </row>
    <row r="400" spans="1:5" x14ac:dyDescent="0.25">
      <c r="A400" s="1" t="s">
        <v>1139</v>
      </c>
      <c r="B400" s="1" t="s">
        <v>1140</v>
      </c>
      <c r="C400" s="1" t="s">
        <v>1141</v>
      </c>
      <c r="D400" s="1" t="s">
        <v>342</v>
      </c>
      <c r="E400" s="1" t="s">
        <v>18</v>
      </c>
    </row>
    <row r="401" spans="1:5" x14ac:dyDescent="0.25">
      <c r="A401" s="1" t="s">
        <v>1142</v>
      </c>
      <c r="B401" s="1" t="s">
        <v>1143</v>
      </c>
      <c r="C401" s="1" t="s">
        <v>1144</v>
      </c>
      <c r="D401" s="1" t="s">
        <v>342</v>
      </c>
      <c r="E401" s="1" t="s">
        <v>261</v>
      </c>
    </row>
    <row r="402" spans="1:5" x14ac:dyDescent="0.25">
      <c r="A402" s="1" t="s">
        <v>1145</v>
      </c>
      <c r="B402" s="1" t="s">
        <v>1146</v>
      </c>
      <c r="C402" s="1" t="s">
        <v>1147</v>
      </c>
      <c r="D402" s="1" t="s">
        <v>342</v>
      </c>
      <c r="E402" s="1" t="s">
        <v>265</v>
      </c>
    </row>
    <row r="403" spans="1:5" x14ac:dyDescent="0.25">
      <c r="A403" s="1" t="s">
        <v>1149</v>
      </c>
      <c r="B403" s="1" t="s">
        <v>1150</v>
      </c>
      <c r="C403" s="1" t="s">
        <v>1151</v>
      </c>
      <c r="D403" s="1" t="s">
        <v>342</v>
      </c>
      <c r="E403" s="1" t="s">
        <v>452</v>
      </c>
    </row>
    <row r="404" spans="1:5" x14ac:dyDescent="0.25">
      <c r="A404" s="1" t="s">
        <v>1153</v>
      </c>
      <c r="B404" s="1" t="s">
        <v>1154</v>
      </c>
      <c r="C404" s="1" t="s">
        <v>1155</v>
      </c>
      <c r="D404" s="1" t="s">
        <v>342</v>
      </c>
      <c r="E404" s="1" t="s">
        <v>22</v>
      </c>
    </row>
    <row r="405" spans="1:5" x14ac:dyDescent="0.25">
      <c r="A405" s="1" t="s">
        <v>1156</v>
      </c>
      <c r="B405" s="1" t="s">
        <v>1157</v>
      </c>
      <c r="C405" s="1" t="s">
        <v>1158</v>
      </c>
      <c r="D405" s="1" t="s">
        <v>342</v>
      </c>
      <c r="E405" s="1" t="s">
        <v>721</v>
      </c>
    </row>
    <row r="406" spans="1:5" x14ac:dyDescent="0.25">
      <c r="A406" s="1" t="s">
        <v>1159</v>
      </c>
      <c r="B406" s="1" t="s">
        <v>1160</v>
      </c>
      <c r="C406" s="1" t="s">
        <v>1161</v>
      </c>
      <c r="D406" s="1" t="s">
        <v>342</v>
      </c>
      <c r="E406" s="1" t="s">
        <v>637</v>
      </c>
    </row>
    <row r="407" spans="1:5" x14ac:dyDescent="0.25">
      <c r="A407" s="1" t="s">
        <v>1162</v>
      </c>
      <c r="B407" s="1" t="s">
        <v>1163</v>
      </c>
      <c r="C407" s="1" t="s">
        <v>1164</v>
      </c>
      <c r="D407" s="1" t="s">
        <v>342</v>
      </c>
      <c r="E407" s="1" t="s">
        <v>899</v>
      </c>
    </row>
    <row r="408" spans="1:5" x14ac:dyDescent="0.25">
      <c r="A408" s="1" t="s">
        <v>1165</v>
      </c>
      <c r="B408" s="1" t="s">
        <v>1166</v>
      </c>
      <c r="C408" s="1" t="s">
        <v>1167</v>
      </c>
      <c r="D408" s="1" t="s">
        <v>342</v>
      </c>
      <c r="E408" s="1" t="s">
        <v>26</v>
      </c>
    </row>
    <row r="409" spans="1:5" x14ac:dyDescent="0.25">
      <c r="A409" s="1" t="s">
        <v>1168</v>
      </c>
      <c r="B409" s="1" t="s">
        <v>1169</v>
      </c>
      <c r="C409" s="1" t="s">
        <v>1170</v>
      </c>
      <c r="D409" s="1" t="s">
        <v>342</v>
      </c>
      <c r="E409" s="1" t="s">
        <v>1037</v>
      </c>
    </row>
    <row r="410" spans="1:5" x14ac:dyDescent="0.25">
      <c r="A410" s="1" t="s">
        <v>1171</v>
      </c>
      <c r="B410" s="1" t="s">
        <v>1172</v>
      </c>
      <c r="C410" s="1" t="s">
        <v>1173</v>
      </c>
      <c r="D410" s="1" t="s">
        <v>342</v>
      </c>
      <c r="E410" s="1" t="s">
        <v>29</v>
      </c>
    </row>
    <row r="411" spans="1:5" x14ac:dyDescent="0.25">
      <c r="A411" s="1" t="s">
        <v>1174</v>
      </c>
      <c r="B411" s="1" t="s">
        <v>1175</v>
      </c>
      <c r="C411" s="1" t="s">
        <v>1176</v>
      </c>
      <c r="D411" s="1" t="s">
        <v>342</v>
      </c>
      <c r="E411" s="1" t="s">
        <v>1045</v>
      </c>
    </row>
    <row r="412" spans="1:5" x14ac:dyDescent="0.25">
      <c r="A412" s="1" t="s">
        <v>1177</v>
      </c>
      <c r="B412" s="1" t="s">
        <v>1178</v>
      </c>
      <c r="C412" s="1" t="s">
        <v>972</v>
      </c>
      <c r="D412" s="1" t="s">
        <v>358</v>
      </c>
      <c r="E412" s="1" t="s">
        <v>140</v>
      </c>
    </row>
    <row r="413" spans="1:5" x14ac:dyDescent="0.25">
      <c r="A413" s="1" t="s">
        <v>1179</v>
      </c>
      <c r="B413" s="1" t="s">
        <v>1180</v>
      </c>
      <c r="C413" s="1" t="s">
        <v>1181</v>
      </c>
      <c r="D413" s="1" t="s">
        <v>358</v>
      </c>
      <c r="E413" s="1" t="s">
        <v>18</v>
      </c>
    </row>
    <row r="414" spans="1:5" x14ac:dyDescent="0.25">
      <c r="A414" s="1" t="s">
        <v>1182</v>
      </c>
      <c r="B414" s="1" t="s">
        <v>1183</v>
      </c>
      <c r="C414" s="1" t="s">
        <v>955</v>
      </c>
      <c r="D414" s="1" t="s">
        <v>358</v>
      </c>
      <c r="E414" s="1" t="s">
        <v>261</v>
      </c>
    </row>
    <row r="415" spans="1:5" x14ac:dyDescent="0.25">
      <c r="A415" s="1" t="s">
        <v>1184</v>
      </c>
      <c r="B415" s="1" t="s">
        <v>1185</v>
      </c>
      <c r="C415" s="1" t="s">
        <v>1186</v>
      </c>
      <c r="D415" s="1" t="s">
        <v>358</v>
      </c>
      <c r="E415" s="1" t="s">
        <v>265</v>
      </c>
    </row>
    <row r="416" spans="1:5" x14ac:dyDescent="0.25">
      <c r="A416" s="1" t="s">
        <v>1187</v>
      </c>
      <c r="B416" s="1" t="s">
        <v>1188</v>
      </c>
      <c r="C416" s="1" t="s">
        <v>1189</v>
      </c>
      <c r="D416" s="1" t="s">
        <v>358</v>
      </c>
      <c r="E416" s="1" t="s">
        <v>452</v>
      </c>
    </row>
    <row r="417" spans="1:5" x14ac:dyDescent="0.25">
      <c r="A417" s="1" t="s">
        <v>1190</v>
      </c>
      <c r="B417" s="1" t="s">
        <v>1191</v>
      </c>
      <c r="C417" s="1" t="s">
        <v>1192</v>
      </c>
      <c r="D417" s="1" t="s">
        <v>358</v>
      </c>
      <c r="E417" s="1" t="s">
        <v>22</v>
      </c>
    </row>
    <row r="418" spans="1:5" x14ac:dyDescent="0.25">
      <c r="A418" s="1" t="s">
        <v>1193</v>
      </c>
      <c r="B418" s="1" t="s">
        <v>1194</v>
      </c>
      <c r="C418" s="1" t="s">
        <v>1195</v>
      </c>
      <c r="D418" s="1" t="s">
        <v>358</v>
      </c>
      <c r="E418" s="1" t="s">
        <v>721</v>
      </c>
    </row>
    <row r="419" spans="1:5" x14ac:dyDescent="0.25">
      <c r="A419" s="1" t="s">
        <v>1197</v>
      </c>
      <c r="B419" s="1" t="s">
        <v>1198</v>
      </c>
      <c r="C419" s="1" t="s">
        <v>1199</v>
      </c>
      <c r="D419" s="1" t="s">
        <v>358</v>
      </c>
      <c r="E419" s="1" t="s">
        <v>637</v>
      </c>
    </row>
    <row r="420" spans="1:5" x14ac:dyDescent="0.25">
      <c r="A420" s="1" t="s">
        <v>1200</v>
      </c>
      <c r="B420" s="1" t="s">
        <v>1201</v>
      </c>
      <c r="C420" s="1" t="s">
        <v>1202</v>
      </c>
      <c r="D420" s="1" t="s">
        <v>358</v>
      </c>
      <c r="E420" s="1" t="s">
        <v>899</v>
      </c>
    </row>
    <row r="421" spans="1:5" x14ac:dyDescent="0.25">
      <c r="A421" s="1" t="s">
        <v>1204</v>
      </c>
      <c r="B421" s="1" t="s">
        <v>1205</v>
      </c>
      <c r="C421" s="1" t="s">
        <v>1206</v>
      </c>
      <c r="D421" s="1" t="s">
        <v>358</v>
      </c>
      <c r="E421" s="1" t="s">
        <v>26</v>
      </c>
    </row>
    <row r="422" spans="1:5" x14ac:dyDescent="0.25">
      <c r="A422" s="1" t="s">
        <v>1207</v>
      </c>
      <c r="B422" s="1" t="s">
        <v>1208</v>
      </c>
      <c r="C422" s="1" t="s">
        <v>1209</v>
      </c>
      <c r="D422" s="1" t="s">
        <v>358</v>
      </c>
      <c r="E422" s="1" t="s">
        <v>1037</v>
      </c>
    </row>
    <row r="423" spans="1:5" x14ac:dyDescent="0.25">
      <c r="A423" s="1" t="s">
        <v>1210</v>
      </c>
      <c r="B423" s="1" t="s">
        <v>1211</v>
      </c>
      <c r="C423" s="1" t="s">
        <v>1212</v>
      </c>
      <c r="D423" s="1" t="s">
        <v>358</v>
      </c>
      <c r="E423" s="1" t="s">
        <v>29</v>
      </c>
    </row>
    <row r="424" spans="1:5" x14ac:dyDescent="0.25">
      <c r="A424" s="1" t="s">
        <v>1213</v>
      </c>
      <c r="B424" s="1" t="s">
        <v>1214</v>
      </c>
      <c r="C424" s="1" t="s">
        <v>1215</v>
      </c>
      <c r="D424" s="1" t="s">
        <v>358</v>
      </c>
      <c r="E424" s="1" t="s">
        <v>1045</v>
      </c>
    </row>
    <row r="425" spans="1:5" x14ac:dyDescent="0.25">
      <c r="A425" s="1" t="s">
        <v>1216</v>
      </c>
      <c r="B425" s="1" t="s">
        <v>1217</v>
      </c>
      <c r="C425" s="1" t="s">
        <v>1218</v>
      </c>
      <c r="D425" s="1" t="s">
        <v>375</v>
      </c>
      <c r="E425" s="1" t="s">
        <v>140</v>
      </c>
    </row>
    <row r="426" spans="1:5" x14ac:dyDescent="0.25">
      <c r="A426" s="1" t="s">
        <v>1219</v>
      </c>
      <c r="B426" s="1" t="s">
        <v>1220</v>
      </c>
      <c r="C426" s="1" t="s">
        <v>886</v>
      </c>
      <c r="D426" s="1" t="s">
        <v>375</v>
      </c>
      <c r="E426" s="1" t="s">
        <v>18</v>
      </c>
    </row>
    <row r="427" spans="1:5" x14ac:dyDescent="0.25">
      <c r="A427" s="1" t="s">
        <v>1221</v>
      </c>
      <c r="B427" s="1" t="s">
        <v>1222</v>
      </c>
      <c r="C427" s="1" t="s">
        <v>1223</v>
      </c>
      <c r="D427" s="1" t="s">
        <v>375</v>
      </c>
      <c r="E427" s="1" t="s">
        <v>261</v>
      </c>
    </row>
    <row r="428" spans="1:5" x14ac:dyDescent="0.25">
      <c r="A428" s="1" t="s">
        <v>1224</v>
      </c>
      <c r="B428" s="1" t="s">
        <v>1225</v>
      </c>
      <c r="C428" s="1" t="s">
        <v>1226</v>
      </c>
      <c r="D428" s="1" t="s">
        <v>375</v>
      </c>
      <c r="E428" s="1" t="s">
        <v>265</v>
      </c>
    </row>
    <row r="429" spans="1:5" x14ac:dyDescent="0.25">
      <c r="A429" s="1" t="s">
        <v>1227</v>
      </c>
      <c r="B429" s="1" t="s">
        <v>1228</v>
      </c>
      <c r="C429" s="1" t="s">
        <v>1229</v>
      </c>
      <c r="D429" s="1" t="s">
        <v>375</v>
      </c>
      <c r="E429" s="1" t="s">
        <v>452</v>
      </c>
    </row>
    <row r="430" spans="1:5" x14ac:dyDescent="0.25">
      <c r="A430" s="1" t="s">
        <v>1230</v>
      </c>
      <c r="B430" s="1" t="s">
        <v>1231</v>
      </c>
      <c r="C430" s="1" t="s">
        <v>1148</v>
      </c>
      <c r="D430" s="1" t="s">
        <v>375</v>
      </c>
      <c r="E430" s="1" t="s">
        <v>22</v>
      </c>
    </row>
    <row r="431" spans="1:5" x14ac:dyDescent="0.25">
      <c r="A431" s="1" t="s">
        <v>1232</v>
      </c>
      <c r="B431" s="1" t="s">
        <v>1233</v>
      </c>
      <c r="C431" s="1" t="s">
        <v>1026</v>
      </c>
      <c r="D431" s="1" t="s">
        <v>375</v>
      </c>
      <c r="E431" s="1" t="s">
        <v>721</v>
      </c>
    </row>
    <row r="432" spans="1:5" x14ac:dyDescent="0.25">
      <c r="A432" s="1" t="s">
        <v>1235</v>
      </c>
      <c r="B432" s="1" t="s">
        <v>1236</v>
      </c>
      <c r="C432" s="1" t="s">
        <v>1237</v>
      </c>
      <c r="D432" s="1" t="s">
        <v>375</v>
      </c>
      <c r="E432" s="1" t="s">
        <v>637</v>
      </c>
    </row>
    <row r="433" spans="1:5" x14ac:dyDescent="0.25">
      <c r="A433" s="1" t="s">
        <v>1238</v>
      </c>
      <c r="B433" s="1" t="s">
        <v>1239</v>
      </c>
      <c r="C433" s="1" t="s">
        <v>1240</v>
      </c>
      <c r="D433" s="1" t="s">
        <v>375</v>
      </c>
      <c r="E433" s="1" t="s">
        <v>899</v>
      </c>
    </row>
    <row r="434" spans="1:5" x14ac:dyDescent="0.25">
      <c r="A434" s="1" t="s">
        <v>1241</v>
      </c>
      <c r="B434" s="1" t="s">
        <v>1242</v>
      </c>
      <c r="C434" s="1" t="s">
        <v>1243</v>
      </c>
      <c r="D434" s="1" t="s">
        <v>375</v>
      </c>
      <c r="E434" s="1" t="s">
        <v>26</v>
      </c>
    </row>
    <row r="435" spans="1:5" x14ac:dyDescent="0.25">
      <c r="A435" s="1" t="s">
        <v>1244</v>
      </c>
      <c r="B435" s="1" t="s">
        <v>1245</v>
      </c>
      <c r="C435" s="1" t="s">
        <v>1246</v>
      </c>
      <c r="D435" s="1" t="s">
        <v>375</v>
      </c>
      <c r="E435" s="1" t="s">
        <v>1037</v>
      </c>
    </row>
    <row r="436" spans="1:5" x14ac:dyDescent="0.25">
      <c r="A436" s="1" t="s">
        <v>1247</v>
      </c>
      <c r="B436" s="1" t="s">
        <v>1248</v>
      </c>
      <c r="C436" s="1" t="s">
        <v>1249</v>
      </c>
      <c r="D436" s="1" t="s">
        <v>375</v>
      </c>
      <c r="E436" s="1" t="s">
        <v>29</v>
      </c>
    </row>
    <row r="437" spans="1:5" x14ac:dyDescent="0.25">
      <c r="A437" s="1" t="s">
        <v>1250</v>
      </c>
      <c r="B437" s="1" t="s">
        <v>1251</v>
      </c>
      <c r="C437" s="1" t="s">
        <v>1252</v>
      </c>
      <c r="D437" s="1" t="s">
        <v>375</v>
      </c>
      <c r="E437" s="1" t="s">
        <v>1045</v>
      </c>
    </row>
    <row r="438" spans="1:5" x14ac:dyDescent="0.25">
      <c r="A438" s="1" t="s">
        <v>1253</v>
      </c>
      <c r="B438" s="1" t="s">
        <v>1254</v>
      </c>
      <c r="C438" s="1" t="s">
        <v>1255</v>
      </c>
      <c r="D438" s="1" t="s">
        <v>414</v>
      </c>
      <c r="E438" s="1" t="s">
        <v>140</v>
      </c>
    </row>
    <row r="439" spans="1:5" x14ac:dyDescent="0.25">
      <c r="A439" s="1" t="s">
        <v>1256</v>
      </c>
      <c r="B439" s="1" t="s">
        <v>1257</v>
      </c>
      <c r="C439" s="1" t="s">
        <v>1015</v>
      </c>
      <c r="D439" s="1" t="s">
        <v>414</v>
      </c>
      <c r="E439" s="1" t="s">
        <v>18</v>
      </c>
    </row>
    <row r="440" spans="1:5" x14ac:dyDescent="0.25">
      <c r="A440" s="1" t="s">
        <v>1258</v>
      </c>
      <c r="B440" s="1" t="s">
        <v>1259</v>
      </c>
      <c r="C440" s="1" t="s">
        <v>1029</v>
      </c>
      <c r="D440" s="1" t="s">
        <v>414</v>
      </c>
      <c r="E440" s="1" t="s">
        <v>261</v>
      </c>
    </row>
    <row r="441" spans="1:5" x14ac:dyDescent="0.25">
      <c r="A441" s="1" t="s">
        <v>1260</v>
      </c>
      <c r="B441" s="1" t="s">
        <v>1261</v>
      </c>
      <c r="C441" s="1" t="s">
        <v>1229</v>
      </c>
      <c r="D441" s="1" t="s">
        <v>414</v>
      </c>
      <c r="E441" s="1" t="s">
        <v>265</v>
      </c>
    </row>
    <row r="442" spans="1:5" x14ac:dyDescent="0.25">
      <c r="A442" s="1" t="s">
        <v>1262</v>
      </c>
      <c r="B442" s="1" t="s">
        <v>1263</v>
      </c>
      <c r="C442" s="1" t="s">
        <v>1264</v>
      </c>
      <c r="D442" s="1" t="s">
        <v>414</v>
      </c>
      <c r="E442" s="1" t="s">
        <v>452</v>
      </c>
    </row>
    <row r="443" spans="1:5" x14ac:dyDescent="0.25">
      <c r="A443" s="1" t="s">
        <v>1265</v>
      </c>
      <c r="B443" s="1" t="s">
        <v>1266</v>
      </c>
      <c r="C443" s="1" t="s">
        <v>992</v>
      </c>
      <c r="D443" s="1" t="s">
        <v>414</v>
      </c>
      <c r="E443" s="1" t="s">
        <v>22</v>
      </c>
    </row>
    <row r="444" spans="1:5" x14ac:dyDescent="0.25">
      <c r="A444" s="1" t="s">
        <v>1267</v>
      </c>
      <c r="B444" s="1" t="s">
        <v>1268</v>
      </c>
      <c r="C444" s="1" t="s">
        <v>1269</v>
      </c>
      <c r="D444" s="1" t="s">
        <v>414</v>
      </c>
      <c r="E444" s="1" t="s">
        <v>721</v>
      </c>
    </row>
    <row r="445" spans="1:5" x14ac:dyDescent="0.25">
      <c r="A445" s="1" t="s">
        <v>1270</v>
      </c>
      <c r="B445" s="1" t="s">
        <v>1271</v>
      </c>
      <c r="C445" s="1" t="s">
        <v>1272</v>
      </c>
      <c r="D445" s="1" t="s">
        <v>414</v>
      </c>
      <c r="E445" s="1" t="s">
        <v>637</v>
      </c>
    </row>
    <row r="446" spans="1:5" x14ac:dyDescent="0.25">
      <c r="A446" s="1" t="s">
        <v>1273</v>
      </c>
      <c r="B446" s="1" t="s">
        <v>1274</v>
      </c>
      <c r="C446" s="1" t="s">
        <v>1275</v>
      </c>
      <c r="D446" s="1" t="s">
        <v>414</v>
      </c>
      <c r="E446" s="1" t="s">
        <v>899</v>
      </c>
    </row>
    <row r="447" spans="1:5" x14ac:dyDescent="0.25">
      <c r="A447" s="1" t="s">
        <v>1276</v>
      </c>
      <c r="B447" s="1" t="s">
        <v>1277</v>
      </c>
      <c r="C447" s="1" t="s">
        <v>1278</v>
      </c>
      <c r="D447" s="1" t="s">
        <v>414</v>
      </c>
      <c r="E447" s="1" t="s">
        <v>26</v>
      </c>
    </row>
    <row r="448" spans="1:5" x14ac:dyDescent="0.25">
      <c r="A448" s="1" t="s">
        <v>1279</v>
      </c>
      <c r="B448" s="1" t="s">
        <v>1280</v>
      </c>
      <c r="C448" s="1" t="s">
        <v>1281</v>
      </c>
      <c r="D448" s="1" t="s">
        <v>414</v>
      </c>
      <c r="E448" s="1" t="s">
        <v>1037</v>
      </c>
    </row>
    <row r="449" spans="1:5" x14ac:dyDescent="0.25">
      <c r="A449" s="1" t="s">
        <v>1282</v>
      </c>
      <c r="B449" s="1" t="s">
        <v>1283</v>
      </c>
      <c r="C449" s="1" t="s">
        <v>1284</v>
      </c>
      <c r="D449" s="1" t="s">
        <v>414</v>
      </c>
      <c r="E449" s="1" t="s">
        <v>29</v>
      </c>
    </row>
    <row r="450" spans="1:5" x14ac:dyDescent="0.25">
      <c r="A450" s="1" t="s">
        <v>1285</v>
      </c>
      <c r="B450" s="1" t="s">
        <v>1286</v>
      </c>
      <c r="C450" s="1" t="s">
        <v>1287</v>
      </c>
      <c r="D450" s="1" t="s">
        <v>414</v>
      </c>
      <c r="E450" s="1" t="s">
        <v>1045</v>
      </c>
    </row>
    <row r="451" spans="1:5" x14ac:dyDescent="0.25">
      <c r="A451" s="1" t="s">
        <v>1288</v>
      </c>
      <c r="B451" s="1" t="s">
        <v>1289</v>
      </c>
      <c r="C451" s="1" t="s">
        <v>1290</v>
      </c>
      <c r="D451" s="1" t="s">
        <v>428</v>
      </c>
      <c r="E451" s="1" t="s">
        <v>140</v>
      </c>
    </row>
    <row r="452" spans="1:5" x14ac:dyDescent="0.25">
      <c r="A452" s="1" t="s">
        <v>1291</v>
      </c>
      <c r="B452" s="1" t="s">
        <v>1292</v>
      </c>
      <c r="C452" s="1" t="s">
        <v>1293</v>
      </c>
      <c r="D452" s="1" t="s">
        <v>428</v>
      </c>
      <c r="E452" s="1" t="s">
        <v>18</v>
      </c>
    </row>
    <row r="453" spans="1:5" x14ac:dyDescent="0.25">
      <c r="A453" s="1" t="s">
        <v>1295</v>
      </c>
      <c r="B453" s="1" t="s">
        <v>1296</v>
      </c>
      <c r="C453" s="1" t="s">
        <v>1033</v>
      </c>
      <c r="D453" s="1" t="s">
        <v>428</v>
      </c>
      <c r="E453" s="1" t="s">
        <v>261</v>
      </c>
    </row>
    <row r="454" spans="1:5" x14ac:dyDescent="0.25">
      <c r="A454" s="1" t="s">
        <v>1297</v>
      </c>
      <c r="B454" s="1" t="s">
        <v>1298</v>
      </c>
      <c r="C454" s="1" t="s">
        <v>1299</v>
      </c>
      <c r="D454" s="1" t="s">
        <v>428</v>
      </c>
      <c r="E454" s="1" t="s">
        <v>265</v>
      </c>
    </row>
    <row r="455" spans="1:5" x14ac:dyDescent="0.25">
      <c r="A455" s="1" t="s">
        <v>1300</v>
      </c>
      <c r="B455" s="1" t="s">
        <v>1301</v>
      </c>
      <c r="C455" s="1" t="s">
        <v>1302</v>
      </c>
      <c r="D455" s="1" t="s">
        <v>428</v>
      </c>
      <c r="E455" s="1" t="s">
        <v>452</v>
      </c>
    </row>
    <row r="456" spans="1:5" x14ac:dyDescent="0.25">
      <c r="A456" s="1" t="s">
        <v>1303</v>
      </c>
      <c r="B456" s="1" t="s">
        <v>1304</v>
      </c>
      <c r="C456" s="1" t="s">
        <v>1082</v>
      </c>
      <c r="D456" s="1" t="s">
        <v>428</v>
      </c>
      <c r="E456" s="1" t="s">
        <v>22</v>
      </c>
    </row>
    <row r="457" spans="1:5" x14ac:dyDescent="0.25">
      <c r="A457" s="1" t="s">
        <v>1306</v>
      </c>
      <c r="B457" s="1" t="s">
        <v>1307</v>
      </c>
      <c r="C457" s="1" t="s">
        <v>1308</v>
      </c>
      <c r="D457" s="1" t="s">
        <v>428</v>
      </c>
      <c r="E457" s="1" t="s">
        <v>721</v>
      </c>
    </row>
    <row r="458" spans="1:5" x14ac:dyDescent="0.25">
      <c r="A458" s="1" t="s">
        <v>1309</v>
      </c>
      <c r="B458" s="1" t="s">
        <v>1310</v>
      </c>
      <c r="C458" s="1" t="s">
        <v>1196</v>
      </c>
      <c r="D458" s="1" t="s">
        <v>428</v>
      </c>
      <c r="E458" s="1" t="s">
        <v>637</v>
      </c>
    </row>
    <row r="459" spans="1:5" x14ac:dyDescent="0.25">
      <c r="A459" s="1" t="s">
        <v>1311</v>
      </c>
      <c r="B459" s="1" t="s">
        <v>1312</v>
      </c>
      <c r="C459" s="1" t="s">
        <v>1313</v>
      </c>
      <c r="D459" s="1" t="s">
        <v>428</v>
      </c>
      <c r="E459" s="1" t="s">
        <v>899</v>
      </c>
    </row>
    <row r="460" spans="1:5" x14ac:dyDescent="0.25">
      <c r="A460" s="1" t="s">
        <v>1314</v>
      </c>
      <c r="B460" s="1" t="s">
        <v>1315</v>
      </c>
      <c r="C460" s="1" t="s">
        <v>1041</v>
      </c>
      <c r="D460" s="1" t="s">
        <v>428</v>
      </c>
      <c r="E460" s="1" t="s">
        <v>26</v>
      </c>
    </row>
    <row r="461" spans="1:5" x14ac:dyDescent="0.25">
      <c r="A461" s="1" t="s">
        <v>1316</v>
      </c>
      <c r="B461" s="1" t="s">
        <v>1317</v>
      </c>
      <c r="C461" s="1" t="s">
        <v>1318</v>
      </c>
      <c r="D461" s="1" t="s">
        <v>428</v>
      </c>
      <c r="E461" s="1" t="s">
        <v>1037</v>
      </c>
    </row>
    <row r="462" spans="1:5" x14ac:dyDescent="0.25">
      <c r="A462" s="1" t="s">
        <v>1319</v>
      </c>
      <c r="B462" s="1" t="s">
        <v>1320</v>
      </c>
      <c r="C462" s="1" t="s">
        <v>1321</v>
      </c>
      <c r="D462" s="1" t="s">
        <v>428</v>
      </c>
      <c r="E462" s="1" t="s">
        <v>29</v>
      </c>
    </row>
    <row r="463" spans="1:5" x14ac:dyDescent="0.25">
      <c r="A463" s="1" t="s">
        <v>1322</v>
      </c>
      <c r="B463" s="1" t="s">
        <v>1323</v>
      </c>
      <c r="C463" s="1" t="s">
        <v>1324</v>
      </c>
      <c r="D463" s="1" t="s">
        <v>428</v>
      </c>
      <c r="E463" s="1" t="s">
        <v>1045</v>
      </c>
    </row>
    <row r="464" spans="1:5" x14ac:dyDescent="0.25">
      <c r="A464" s="1" t="s">
        <v>1325</v>
      </c>
      <c r="B464" s="1" t="s">
        <v>1326</v>
      </c>
      <c r="C464" s="1" t="s">
        <v>1147</v>
      </c>
      <c r="D464" s="1" t="s">
        <v>447</v>
      </c>
      <c r="E464" s="1" t="s">
        <v>140</v>
      </c>
    </row>
    <row r="465" spans="1:5" x14ac:dyDescent="0.25">
      <c r="A465" s="1" t="s">
        <v>1327</v>
      </c>
      <c r="B465" s="1" t="s">
        <v>1328</v>
      </c>
      <c r="C465" s="1" t="s">
        <v>995</v>
      </c>
      <c r="D465" s="1" t="s">
        <v>447</v>
      </c>
      <c r="E465" s="1" t="s">
        <v>18</v>
      </c>
    </row>
    <row r="466" spans="1:5" x14ac:dyDescent="0.25">
      <c r="A466" s="1" t="s">
        <v>1329</v>
      </c>
      <c r="B466" s="1" t="s">
        <v>1330</v>
      </c>
      <c r="C466" s="1" t="s">
        <v>1331</v>
      </c>
      <c r="D466" s="1" t="s">
        <v>447</v>
      </c>
      <c r="E466" s="1" t="s">
        <v>261</v>
      </c>
    </row>
    <row r="467" spans="1:5" x14ac:dyDescent="0.25">
      <c r="A467" s="1" t="s">
        <v>1332</v>
      </c>
      <c r="B467" s="1" t="s">
        <v>1333</v>
      </c>
      <c r="C467" s="1" t="s">
        <v>1294</v>
      </c>
      <c r="D467" s="1" t="s">
        <v>447</v>
      </c>
      <c r="E467" s="1" t="s">
        <v>265</v>
      </c>
    </row>
    <row r="468" spans="1:5" x14ac:dyDescent="0.25">
      <c r="A468" s="1" t="s">
        <v>1334</v>
      </c>
      <c r="B468" s="1" t="s">
        <v>1335</v>
      </c>
      <c r="C468" s="1" t="s">
        <v>1336</v>
      </c>
      <c r="D468" s="1" t="s">
        <v>447</v>
      </c>
      <c r="E468" s="1" t="s">
        <v>452</v>
      </c>
    </row>
    <row r="469" spans="1:5" x14ac:dyDescent="0.25">
      <c r="A469" s="1" t="s">
        <v>1337</v>
      </c>
      <c r="B469" s="1" t="s">
        <v>1338</v>
      </c>
      <c r="C469" s="1" t="s">
        <v>1339</v>
      </c>
      <c r="D469" s="1" t="s">
        <v>447</v>
      </c>
      <c r="E469" s="1" t="s">
        <v>22</v>
      </c>
    </row>
    <row r="470" spans="1:5" x14ac:dyDescent="0.25">
      <c r="A470" s="1" t="s">
        <v>1340</v>
      </c>
      <c r="B470" s="1" t="s">
        <v>1341</v>
      </c>
      <c r="C470" s="1" t="s">
        <v>1342</v>
      </c>
      <c r="D470" s="1" t="s">
        <v>447</v>
      </c>
      <c r="E470" s="1" t="s">
        <v>721</v>
      </c>
    </row>
    <row r="471" spans="1:5" x14ac:dyDescent="0.25">
      <c r="A471" s="1" t="s">
        <v>1343</v>
      </c>
      <c r="B471" s="1" t="s">
        <v>1344</v>
      </c>
      <c r="C471" s="1" t="s">
        <v>1234</v>
      </c>
      <c r="D471" s="1" t="s">
        <v>447</v>
      </c>
      <c r="E471" s="1" t="s">
        <v>637</v>
      </c>
    </row>
    <row r="472" spans="1:5" x14ac:dyDescent="0.25">
      <c r="A472" s="1" t="s">
        <v>1345</v>
      </c>
      <c r="B472" s="1" t="s">
        <v>1346</v>
      </c>
      <c r="C472" s="1" t="s">
        <v>1347</v>
      </c>
      <c r="D472" s="1" t="s">
        <v>447</v>
      </c>
      <c r="E472" s="1" t="s">
        <v>899</v>
      </c>
    </row>
    <row r="473" spans="1:5" x14ac:dyDescent="0.25">
      <c r="A473" s="1" t="s">
        <v>1348</v>
      </c>
      <c r="B473" s="1" t="s">
        <v>1349</v>
      </c>
      <c r="C473" s="1" t="s">
        <v>1350</v>
      </c>
      <c r="D473" s="1" t="s">
        <v>447</v>
      </c>
      <c r="E473" s="1" t="s">
        <v>26</v>
      </c>
    </row>
    <row r="474" spans="1:5" x14ac:dyDescent="0.25">
      <c r="A474" s="1" t="s">
        <v>1351</v>
      </c>
      <c r="B474" s="1" t="s">
        <v>1352</v>
      </c>
      <c r="C474" s="1" t="s">
        <v>1284</v>
      </c>
      <c r="D474" s="1" t="s">
        <v>447</v>
      </c>
      <c r="E474" s="1" t="s">
        <v>1037</v>
      </c>
    </row>
    <row r="475" spans="1:5" x14ac:dyDescent="0.25">
      <c r="A475" s="1" t="s">
        <v>1353</v>
      </c>
      <c r="B475" s="1" t="s">
        <v>1354</v>
      </c>
      <c r="C475" s="1" t="s">
        <v>1355</v>
      </c>
      <c r="D475" s="1" t="s">
        <v>447</v>
      </c>
      <c r="E475" s="1" t="s">
        <v>29</v>
      </c>
    </row>
    <row r="476" spans="1:5" x14ac:dyDescent="0.25">
      <c r="A476" s="1" t="s">
        <v>1356</v>
      </c>
      <c r="B476" s="1" t="s">
        <v>1357</v>
      </c>
      <c r="C476" s="1" t="s">
        <v>1358</v>
      </c>
      <c r="D476" s="1" t="s">
        <v>447</v>
      </c>
      <c r="E476" s="1" t="s">
        <v>1045</v>
      </c>
    </row>
    <row r="477" spans="1:5" x14ac:dyDescent="0.25">
      <c r="A477" s="1" t="s">
        <v>1359</v>
      </c>
      <c r="B477" s="1" t="s">
        <v>1360</v>
      </c>
      <c r="C477" s="1" t="s">
        <v>981</v>
      </c>
      <c r="D477" s="1" t="s">
        <v>479</v>
      </c>
      <c r="E477" s="1" t="s">
        <v>140</v>
      </c>
    </row>
    <row r="478" spans="1:5" x14ac:dyDescent="0.25">
      <c r="A478" s="1" t="s">
        <v>1361</v>
      </c>
      <c r="B478" s="1" t="s">
        <v>1362</v>
      </c>
      <c r="C478" s="1" t="s">
        <v>1363</v>
      </c>
      <c r="D478" s="1" t="s">
        <v>479</v>
      </c>
      <c r="E478" s="1" t="s">
        <v>18</v>
      </c>
    </row>
    <row r="479" spans="1:5" x14ac:dyDescent="0.25">
      <c r="A479" s="1" t="s">
        <v>1364</v>
      </c>
      <c r="B479" s="1" t="s">
        <v>1365</v>
      </c>
      <c r="C479" s="1" t="s">
        <v>1366</v>
      </c>
      <c r="D479" s="1" t="s">
        <v>479</v>
      </c>
      <c r="E479" s="1" t="s">
        <v>261</v>
      </c>
    </row>
    <row r="480" spans="1:5" x14ac:dyDescent="0.25">
      <c r="A480" s="1" t="s">
        <v>1367</v>
      </c>
      <c r="B480" s="1" t="s">
        <v>1368</v>
      </c>
      <c r="C480" s="1" t="s">
        <v>1152</v>
      </c>
      <c r="D480" s="1" t="s">
        <v>479</v>
      </c>
      <c r="E480" s="1" t="s">
        <v>265</v>
      </c>
    </row>
    <row r="481" spans="1:5" x14ac:dyDescent="0.25">
      <c r="A481" s="1" t="s">
        <v>1369</v>
      </c>
      <c r="B481" s="1" t="s">
        <v>1370</v>
      </c>
      <c r="C481" s="1" t="s">
        <v>1371</v>
      </c>
      <c r="D481" s="1" t="s">
        <v>479</v>
      </c>
      <c r="E481" s="1" t="s">
        <v>452</v>
      </c>
    </row>
    <row r="482" spans="1:5" x14ac:dyDescent="0.25">
      <c r="A482" s="1" t="s">
        <v>1372</v>
      </c>
      <c r="B482" s="1" t="s">
        <v>1373</v>
      </c>
      <c r="C482" s="1" t="s">
        <v>1374</v>
      </c>
      <c r="D482" s="1" t="s">
        <v>479</v>
      </c>
      <c r="E482" s="1" t="s">
        <v>22</v>
      </c>
    </row>
    <row r="483" spans="1:5" x14ac:dyDescent="0.25">
      <c r="A483" s="1" t="s">
        <v>1375</v>
      </c>
      <c r="B483" s="1" t="s">
        <v>1376</v>
      </c>
      <c r="C483" s="1" t="s">
        <v>1377</v>
      </c>
      <c r="D483" s="1" t="s">
        <v>479</v>
      </c>
      <c r="E483" s="1" t="s">
        <v>721</v>
      </c>
    </row>
    <row r="484" spans="1:5" x14ac:dyDescent="0.25">
      <c r="A484" s="1" t="s">
        <v>1378</v>
      </c>
      <c r="B484" s="1" t="s">
        <v>1379</v>
      </c>
      <c r="C484" s="1" t="s">
        <v>1305</v>
      </c>
      <c r="D484" s="1" t="s">
        <v>479</v>
      </c>
      <c r="E484" s="1" t="s">
        <v>637</v>
      </c>
    </row>
    <row r="485" spans="1:5" x14ac:dyDescent="0.25">
      <c r="A485" s="1" t="s">
        <v>1380</v>
      </c>
      <c r="B485" s="1" t="s">
        <v>1381</v>
      </c>
      <c r="C485" s="1" t="s">
        <v>1382</v>
      </c>
      <c r="D485" s="1" t="s">
        <v>479</v>
      </c>
      <c r="E485" s="1" t="s">
        <v>899</v>
      </c>
    </row>
    <row r="486" spans="1:5" x14ac:dyDescent="0.25">
      <c r="A486" s="1" t="s">
        <v>1384</v>
      </c>
      <c r="B486" s="1" t="s">
        <v>1385</v>
      </c>
      <c r="C486" s="1" t="s">
        <v>1386</v>
      </c>
      <c r="D486" s="1" t="s">
        <v>479</v>
      </c>
      <c r="E486" s="1" t="s">
        <v>26</v>
      </c>
    </row>
    <row r="487" spans="1:5" x14ac:dyDescent="0.25">
      <c r="A487" s="1" t="s">
        <v>1387</v>
      </c>
      <c r="B487" s="1" t="s">
        <v>1388</v>
      </c>
      <c r="C487" s="1" t="s">
        <v>1389</v>
      </c>
      <c r="D487" s="1" t="s">
        <v>479</v>
      </c>
      <c r="E487" s="1" t="s">
        <v>1037</v>
      </c>
    </row>
    <row r="488" spans="1:5" x14ac:dyDescent="0.25">
      <c r="A488" s="1" t="s">
        <v>1390</v>
      </c>
      <c r="B488" s="1" t="s">
        <v>1391</v>
      </c>
      <c r="C488" s="1" t="s">
        <v>1392</v>
      </c>
      <c r="D488" s="1" t="s">
        <v>479</v>
      </c>
      <c r="E488" s="1" t="s">
        <v>29</v>
      </c>
    </row>
    <row r="489" spans="1:5" x14ac:dyDescent="0.25">
      <c r="A489" s="1" t="s">
        <v>1393</v>
      </c>
      <c r="B489" s="1" t="s">
        <v>1394</v>
      </c>
      <c r="C489" s="1" t="s">
        <v>1395</v>
      </c>
      <c r="D489" s="1" t="s">
        <v>479</v>
      </c>
      <c r="E489" s="1" t="s">
        <v>1045</v>
      </c>
    </row>
    <row r="490" spans="1:5" x14ac:dyDescent="0.25">
      <c r="A490" s="1" t="s">
        <v>1396</v>
      </c>
      <c r="B490" s="1" t="s">
        <v>1397</v>
      </c>
      <c r="C490" s="1" t="s">
        <v>895</v>
      </c>
      <c r="D490" s="1" t="s">
        <v>498</v>
      </c>
      <c r="E490" s="1" t="s">
        <v>140</v>
      </c>
    </row>
    <row r="491" spans="1:5" x14ac:dyDescent="0.25">
      <c r="A491" s="1" t="s">
        <v>1398</v>
      </c>
      <c r="B491" s="1" t="s">
        <v>1399</v>
      </c>
      <c r="C491" s="1" t="s">
        <v>1400</v>
      </c>
      <c r="D491" s="1" t="s">
        <v>498</v>
      </c>
      <c r="E491" s="1" t="s">
        <v>18</v>
      </c>
    </row>
    <row r="492" spans="1:5" x14ac:dyDescent="0.25">
      <c r="A492" s="1" t="s">
        <v>1401</v>
      </c>
      <c r="B492" s="1" t="s">
        <v>1402</v>
      </c>
      <c r="C492" s="1" t="s">
        <v>1403</v>
      </c>
      <c r="D492" s="1" t="s">
        <v>498</v>
      </c>
      <c r="E492" s="1" t="s">
        <v>261</v>
      </c>
    </row>
    <row r="493" spans="1:5" x14ac:dyDescent="0.25">
      <c r="A493" s="1" t="s">
        <v>1404</v>
      </c>
      <c r="B493" s="1" t="s">
        <v>1405</v>
      </c>
      <c r="C493" s="1" t="s">
        <v>1406</v>
      </c>
      <c r="D493" s="1" t="s">
        <v>498</v>
      </c>
      <c r="E493" s="1" t="s">
        <v>265</v>
      </c>
    </row>
    <row r="494" spans="1:5" x14ac:dyDescent="0.25">
      <c r="A494" s="1" t="s">
        <v>1407</v>
      </c>
      <c r="B494" s="1" t="s">
        <v>1408</v>
      </c>
      <c r="C494" s="1" t="s">
        <v>1409</v>
      </c>
      <c r="D494" s="1" t="s">
        <v>498</v>
      </c>
      <c r="E494" s="1" t="s">
        <v>452</v>
      </c>
    </row>
    <row r="495" spans="1:5" x14ac:dyDescent="0.25">
      <c r="A495" s="1" t="s">
        <v>1410</v>
      </c>
      <c r="B495" s="1" t="s">
        <v>1411</v>
      </c>
      <c r="C495" s="1" t="s">
        <v>1412</v>
      </c>
      <c r="D495" s="1" t="s">
        <v>498</v>
      </c>
      <c r="E495" s="1" t="s">
        <v>22</v>
      </c>
    </row>
    <row r="496" spans="1:5" x14ac:dyDescent="0.25">
      <c r="A496" s="1" t="s">
        <v>1413</v>
      </c>
      <c r="B496" s="1" t="s">
        <v>1414</v>
      </c>
      <c r="C496" s="1" t="s">
        <v>1415</v>
      </c>
      <c r="D496" s="1" t="s">
        <v>498</v>
      </c>
      <c r="E496" s="1" t="s">
        <v>721</v>
      </c>
    </row>
    <row r="497" spans="1:5" x14ac:dyDescent="0.25">
      <c r="A497" s="1" t="s">
        <v>1417</v>
      </c>
      <c r="B497" s="1" t="s">
        <v>1418</v>
      </c>
      <c r="C497" s="1" t="s">
        <v>1350</v>
      </c>
      <c r="D497" s="1" t="s">
        <v>498</v>
      </c>
      <c r="E497" s="1" t="s">
        <v>637</v>
      </c>
    </row>
    <row r="498" spans="1:5" x14ac:dyDescent="0.25">
      <c r="A498" s="1" t="s">
        <v>1420</v>
      </c>
      <c r="B498" s="1" t="s">
        <v>1421</v>
      </c>
      <c r="C498" s="1" t="s">
        <v>1422</v>
      </c>
      <c r="D498" s="1" t="s">
        <v>498</v>
      </c>
      <c r="E498" s="1" t="s">
        <v>899</v>
      </c>
    </row>
    <row r="499" spans="1:5" x14ac:dyDescent="0.25">
      <c r="A499" s="1" t="s">
        <v>1423</v>
      </c>
      <c r="B499" s="1" t="s">
        <v>1424</v>
      </c>
      <c r="C499" s="1" t="s">
        <v>1086</v>
      </c>
      <c r="D499" s="1" t="s">
        <v>498</v>
      </c>
      <c r="E499" s="1" t="s">
        <v>26</v>
      </c>
    </row>
    <row r="500" spans="1:5" x14ac:dyDescent="0.25">
      <c r="A500" s="1" t="s">
        <v>1425</v>
      </c>
      <c r="B500" s="1" t="s">
        <v>1426</v>
      </c>
      <c r="C500" s="1" t="s">
        <v>1427</v>
      </c>
      <c r="D500" s="1" t="s">
        <v>498</v>
      </c>
      <c r="E500" s="1" t="s">
        <v>1037</v>
      </c>
    </row>
    <row r="501" spans="1:5" x14ac:dyDescent="0.25">
      <c r="A501" s="1" t="s">
        <v>1428</v>
      </c>
      <c r="B501" s="1" t="s">
        <v>1429</v>
      </c>
      <c r="C501" s="1" t="s">
        <v>1430</v>
      </c>
      <c r="D501" s="1" t="s">
        <v>498</v>
      </c>
      <c r="E501" s="1" t="s">
        <v>29</v>
      </c>
    </row>
    <row r="502" spans="1:5" x14ac:dyDescent="0.25">
      <c r="A502" s="1" t="s">
        <v>1431</v>
      </c>
      <c r="B502" s="1" t="s">
        <v>1432</v>
      </c>
      <c r="C502" s="1" t="s">
        <v>1433</v>
      </c>
      <c r="D502" s="1" t="s">
        <v>498</v>
      </c>
      <c r="E502" s="1" t="s">
        <v>1045</v>
      </c>
    </row>
    <row r="503" spans="1:5" x14ac:dyDescent="0.25">
      <c r="A503" s="1" t="s">
        <v>1434</v>
      </c>
      <c r="B503" s="1" t="s">
        <v>1435</v>
      </c>
      <c r="C503" s="1" t="s">
        <v>1436</v>
      </c>
      <c r="D503" s="1" t="s">
        <v>498</v>
      </c>
      <c r="E503" s="1" t="s">
        <v>34</v>
      </c>
    </row>
    <row r="504" spans="1:5" x14ac:dyDescent="0.25">
      <c r="A504" s="1" t="s">
        <v>1437</v>
      </c>
      <c r="B504" s="1" t="s">
        <v>1438</v>
      </c>
      <c r="C504" s="1" t="s">
        <v>1439</v>
      </c>
      <c r="D504" s="1" t="s">
        <v>498</v>
      </c>
      <c r="E504" s="1" t="s">
        <v>37</v>
      </c>
    </row>
    <row r="505" spans="1:5" x14ac:dyDescent="0.25">
      <c r="A505" s="1" t="s">
        <v>1440</v>
      </c>
      <c r="B505" s="1" t="s">
        <v>1441</v>
      </c>
      <c r="C505" s="1" t="s">
        <v>1442</v>
      </c>
      <c r="D505" s="1" t="s">
        <v>498</v>
      </c>
      <c r="E505" s="1" t="s">
        <v>41</v>
      </c>
    </row>
    <row r="506" spans="1:5" x14ac:dyDescent="0.25">
      <c r="A506" s="1" t="s">
        <v>1443</v>
      </c>
      <c r="B506" s="1" t="s">
        <v>1444</v>
      </c>
      <c r="C506" s="1" t="s">
        <v>1110</v>
      </c>
      <c r="D506" s="1" t="s">
        <v>526</v>
      </c>
      <c r="E506" s="1" t="s">
        <v>140</v>
      </c>
    </row>
    <row r="507" spans="1:5" x14ac:dyDescent="0.25">
      <c r="A507" s="1" t="s">
        <v>1445</v>
      </c>
      <c r="B507" s="1" t="s">
        <v>1446</v>
      </c>
      <c r="C507" s="1" t="s">
        <v>1447</v>
      </c>
      <c r="D507" s="1" t="s">
        <v>526</v>
      </c>
      <c r="E507" s="1" t="s">
        <v>18</v>
      </c>
    </row>
    <row r="508" spans="1:5" x14ac:dyDescent="0.25">
      <c r="A508" s="1" t="s">
        <v>1448</v>
      </c>
      <c r="B508" s="1" t="s">
        <v>1449</v>
      </c>
      <c r="C508" s="1" t="s">
        <v>45</v>
      </c>
      <c r="D508" s="1" t="s">
        <v>526</v>
      </c>
      <c r="E508" s="1" t="s">
        <v>261</v>
      </c>
    </row>
    <row r="509" spans="1:5" x14ac:dyDescent="0.25">
      <c r="A509" s="1" t="s">
        <v>1450</v>
      </c>
      <c r="B509" s="1" t="s">
        <v>1451</v>
      </c>
      <c r="C509" s="1" t="s">
        <v>25</v>
      </c>
      <c r="D509" s="1" t="s">
        <v>526</v>
      </c>
      <c r="E509" s="1" t="s">
        <v>265</v>
      </c>
    </row>
    <row r="510" spans="1:5" x14ac:dyDescent="0.25">
      <c r="A510" s="1" t="s">
        <v>1452</v>
      </c>
      <c r="B510" s="1" t="s">
        <v>1453</v>
      </c>
      <c r="C510" s="1" t="s">
        <v>1454</v>
      </c>
      <c r="D510" s="1" t="s">
        <v>526</v>
      </c>
      <c r="E510" s="1" t="s">
        <v>452</v>
      </c>
    </row>
    <row r="511" spans="1:5" x14ac:dyDescent="0.25">
      <c r="A511" s="1" t="s">
        <v>1455</v>
      </c>
      <c r="B511" s="1" t="s">
        <v>1456</v>
      </c>
      <c r="C511" s="1" t="s">
        <v>1457</v>
      </c>
      <c r="D511" s="1" t="s">
        <v>526</v>
      </c>
      <c r="E511" s="1" t="s">
        <v>22</v>
      </c>
    </row>
    <row r="512" spans="1:5" x14ac:dyDescent="0.25">
      <c r="A512" s="1" t="s">
        <v>1458</v>
      </c>
      <c r="B512" s="1" t="s">
        <v>1459</v>
      </c>
      <c r="C512" s="1" t="s">
        <v>1460</v>
      </c>
      <c r="D512" s="1" t="s">
        <v>526</v>
      </c>
      <c r="E512" s="1" t="s">
        <v>721</v>
      </c>
    </row>
    <row r="513" spans="1:5" x14ac:dyDescent="0.25">
      <c r="A513" s="1" t="s">
        <v>1461</v>
      </c>
      <c r="B513" s="1" t="s">
        <v>1462</v>
      </c>
      <c r="C513" s="1" t="s">
        <v>1463</v>
      </c>
      <c r="D513" s="1" t="s">
        <v>526</v>
      </c>
      <c r="E513" s="1" t="s">
        <v>637</v>
      </c>
    </row>
    <row r="514" spans="1:5" x14ac:dyDescent="0.25">
      <c r="A514" s="1" t="s">
        <v>1464</v>
      </c>
      <c r="B514" s="1" t="s">
        <v>1465</v>
      </c>
      <c r="C514" s="1" t="s">
        <v>1466</v>
      </c>
      <c r="D514" s="1" t="s">
        <v>526</v>
      </c>
      <c r="E514" s="1" t="s">
        <v>899</v>
      </c>
    </row>
    <row r="515" spans="1:5" x14ac:dyDescent="0.25">
      <c r="A515" s="1" t="s">
        <v>1467</v>
      </c>
      <c r="B515" s="1" t="s">
        <v>1468</v>
      </c>
      <c r="C515" s="1" t="s">
        <v>1469</v>
      </c>
      <c r="D515" s="1" t="s">
        <v>526</v>
      </c>
      <c r="E515" s="1" t="s">
        <v>26</v>
      </c>
    </row>
    <row r="516" spans="1:5" x14ac:dyDescent="0.25">
      <c r="A516" s="1" t="s">
        <v>1470</v>
      </c>
      <c r="B516" s="1" t="s">
        <v>1471</v>
      </c>
      <c r="C516" s="1" t="s">
        <v>1472</v>
      </c>
      <c r="D516" s="1" t="s">
        <v>526</v>
      </c>
      <c r="E516" s="1" t="s">
        <v>1037</v>
      </c>
    </row>
    <row r="517" spans="1:5" x14ac:dyDescent="0.25">
      <c r="A517" s="1" t="s">
        <v>1473</v>
      </c>
      <c r="B517" s="1" t="s">
        <v>1474</v>
      </c>
      <c r="C517" s="1" t="s">
        <v>1475</v>
      </c>
      <c r="D517" s="1" t="s">
        <v>526</v>
      </c>
      <c r="E517" s="1" t="s">
        <v>29</v>
      </c>
    </row>
    <row r="518" spans="1:5" x14ac:dyDescent="0.25">
      <c r="A518" s="1" t="s">
        <v>1476</v>
      </c>
      <c r="B518" s="1" t="s">
        <v>1477</v>
      </c>
      <c r="C518" s="1" t="s">
        <v>1478</v>
      </c>
      <c r="D518" s="1" t="s">
        <v>526</v>
      </c>
      <c r="E518" s="1" t="s">
        <v>1045</v>
      </c>
    </row>
    <row r="519" spans="1:5" x14ac:dyDescent="0.25">
      <c r="A519" s="1" t="s">
        <v>1479</v>
      </c>
      <c r="B519" s="1" t="s">
        <v>1480</v>
      </c>
      <c r="C519" s="1" t="s">
        <v>1481</v>
      </c>
      <c r="D519" s="1" t="s">
        <v>526</v>
      </c>
      <c r="E519" s="1" t="s">
        <v>34</v>
      </c>
    </row>
    <row r="520" spans="1:5" x14ac:dyDescent="0.25">
      <c r="A520" s="1" t="s">
        <v>1482</v>
      </c>
      <c r="B520" s="1" t="s">
        <v>1483</v>
      </c>
      <c r="C520" s="1" t="s">
        <v>1484</v>
      </c>
      <c r="D520" s="1" t="s">
        <v>526</v>
      </c>
      <c r="E520" s="1" t="s">
        <v>37</v>
      </c>
    </row>
    <row r="521" spans="1:5" x14ac:dyDescent="0.25">
      <c r="A521" s="1" t="s">
        <v>1485</v>
      </c>
      <c r="B521" s="1" t="s">
        <v>1486</v>
      </c>
      <c r="C521" s="1" t="s">
        <v>1487</v>
      </c>
      <c r="D521" s="1" t="s">
        <v>526</v>
      </c>
      <c r="E521" s="1" t="s">
        <v>41</v>
      </c>
    </row>
    <row r="522" spans="1:5" x14ac:dyDescent="0.25">
      <c r="A522" s="1" t="s">
        <v>1488</v>
      </c>
      <c r="B522" s="1" t="s">
        <v>1489</v>
      </c>
      <c r="C522" s="1" t="s">
        <v>1490</v>
      </c>
      <c r="D522" s="1" t="s">
        <v>1491</v>
      </c>
      <c r="E522" s="1" t="s">
        <v>140</v>
      </c>
    </row>
    <row r="523" spans="1:5" x14ac:dyDescent="0.25">
      <c r="A523" s="1" t="s">
        <v>1492</v>
      </c>
      <c r="B523" s="1" t="s">
        <v>1493</v>
      </c>
      <c r="C523" s="1" t="s">
        <v>1066</v>
      </c>
      <c r="D523" s="1" t="s">
        <v>1491</v>
      </c>
      <c r="E523" s="1" t="s">
        <v>18</v>
      </c>
    </row>
    <row r="524" spans="1:5" x14ac:dyDescent="0.25">
      <c r="A524" s="1" t="s">
        <v>1494</v>
      </c>
      <c r="B524" s="1" t="s">
        <v>1495</v>
      </c>
      <c r="C524" s="1" t="s">
        <v>1030</v>
      </c>
      <c r="D524" s="1" t="s">
        <v>1491</v>
      </c>
      <c r="E524" s="1" t="s">
        <v>261</v>
      </c>
    </row>
    <row r="525" spans="1:5" x14ac:dyDescent="0.25">
      <c r="A525" s="1" t="s">
        <v>1496</v>
      </c>
      <c r="B525" s="1" t="s">
        <v>1497</v>
      </c>
      <c r="C525" s="1" t="s">
        <v>1498</v>
      </c>
      <c r="D525" s="1" t="s">
        <v>1491</v>
      </c>
      <c r="E525" s="1" t="s">
        <v>265</v>
      </c>
    </row>
    <row r="526" spans="1:5" x14ac:dyDescent="0.25">
      <c r="A526" s="1" t="s">
        <v>1499</v>
      </c>
      <c r="B526" s="1" t="s">
        <v>1500</v>
      </c>
      <c r="C526" s="1" t="s">
        <v>1501</v>
      </c>
      <c r="D526" s="1" t="s">
        <v>1491</v>
      </c>
      <c r="E526" s="1" t="s">
        <v>452</v>
      </c>
    </row>
    <row r="527" spans="1:5" x14ac:dyDescent="0.25">
      <c r="A527" s="1" t="s">
        <v>1502</v>
      </c>
      <c r="B527" s="1" t="s">
        <v>1503</v>
      </c>
      <c r="C527" s="1" t="s">
        <v>1504</v>
      </c>
      <c r="D527" s="1" t="s">
        <v>1491</v>
      </c>
      <c r="E527" s="1" t="s">
        <v>22</v>
      </c>
    </row>
    <row r="528" spans="1:5" x14ac:dyDescent="0.25">
      <c r="A528" s="1" t="s">
        <v>1505</v>
      </c>
      <c r="B528" s="1" t="s">
        <v>1506</v>
      </c>
      <c r="C528" s="1" t="s">
        <v>1507</v>
      </c>
      <c r="D528" s="1" t="s">
        <v>1491</v>
      </c>
      <c r="E528" s="1" t="s">
        <v>721</v>
      </c>
    </row>
    <row r="529" spans="1:5" x14ac:dyDescent="0.25">
      <c r="A529" s="1" t="s">
        <v>1508</v>
      </c>
      <c r="B529" s="1" t="s">
        <v>1509</v>
      </c>
      <c r="C529" s="1" t="s">
        <v>1284</v>
      </c>
      <c r="D529" s="1" t="s">
        <v>1491</v>
      </c>
      <c r="E529" s="1" t="s">
        <v>637</v>
      </c>
    </row>
    <row r="530" spans="1:5" x14ac:dyDescent="0.25">
      <c r="A530" s="1" t="s">
        <v>1510</v>
      </c>
      <c r="B530" s="1" t="s">
        <v>1511</v>
      </c>
      <c r="C530" s="1" t="s">
        <v>1416</v>
      </c>
      <c r="D530" s="1" t="s">
        <v>1491</v>
      </c>
      <c r="E530" s="1" t="s">
        <v>899</v>
      </c>
    </row>
    <row r="531" spans="1:5" x14ac:dyDescent="0.25">
      <c r="A531" s="1" t="s">
        <v>1512</v>
      </c>
      <c r="B531" s="1" t="s">
        <v>1513</v>
      </c>
      <c r="C531" s="1" t="s">
        <v>1514</v>
      </c>
      <c r="D531" s="1" t="s">
        <v>1491</v>
      </c>
      <c r="E531" s="1" t="s">
        <v>26</v>
      </c>
    </row>
    <row r="532" spans="1:5" x14ac:dyDescent="0.25">
      <c r="A532" s="1" t="s">
        <v>1515</v>
      </c>
      <c r="B532" s="1" t="s">
        <v>1516</v>
      </c>
      <c r="C532" s="1" t="s">
        <v>1517</v>
      </c>
      <c r="D532" s="1" t="s">
        <v>1491</v>
      </c>
      <c r="E532" s="1" t="s">
        <v>1037</v>
      </c>
    </row>
    <row r="533" spans="1:5" x14ac:dyDescent="0.25">
      <c r="A533" s="1" t="s">
        <v>1518</v>
      </c>
      <c r="B533" s="1" t="s">
        <v>1519</v>
      </c>
      <c r="C533" s="1" t="s">
        <v>1520</v>
      </c>
      <c r="D533" s="1" t="s">
        <v>1491</v>
      </c>
      <c r="E533" s="1" t="s">
        <v>29</v>
      </c>
    </row>
    <row r="534" spans="1:5" x14ac:dyDescent="0.25">
      <c r="A534" s="1" t="s">
        <v>1521</v>
      </c>
      <c r="B534" s="1" t="s">
        <v>1522</v>
      </c>
      <c r="C534" s="1" t="s">
        <v>1523</v>
      </c>
      <c r="D534" s="1" t="s">
        <v>1491</v>
      </c>
      <c r="E534" s="1" t="s">
        <v>1045</v>
      </c>
    </row>
    <row r="535" spans="1:5" x14ac:dyDescent="0.25">
      <c r="A535" s="1" t="s">
        <v>1524</v>
      </c>
      <c r="B535" s="1" t="s">
        <v>1525</v>
      </c>
      <c r="C535" s="1" t="s">
        <v>1526</v>
      </c>
      <c r="D535" s="1" t="s">
        <v>1491</v>
      </c>
      <c r="E535" s="1" t="s">
        <v>34</v>
      </c>
    </row>
    <row r="536" spans="1:5" x14ac:dyDescent="0.25">
      <c r="A536" s="1" t="s">
        <v>1527</v>
      </c>
      <c r="B536" s="1" t="s">
        <v>1528</v>
      </c>
      <c r="C536" s="1" t="s">
        <v>1529</v>
      </c>
      <c r="D536" s="1" t="s">
        <v>1491</v>
      </c>
      <c r="E536" s="1" t="s">
        <v>37</v>
      </c>
    </row>
    <row r="537" spans="1:5" x14ac:dyDescent="0.25">
      <c r="A537" s="1" t="s">
        <v>1530</v>
      </c>
      <c r="B537" s="1" t="s">
        <v>1531</v>
      </c>
      <c r="C537" s="1" t="s">
        <v>1532</v>
      </c>
      <c r="D537" s="1" t="s">
        <v>1491</v>
      </c>
      <c r="E537" s="1" t="s">
        <v>41</v>
      </c>
    </row>
    <row r="538" spans="1:5" x14ac:dyDescent="0.25">
      <c r="A538" s="1" t="s">
        <v>1533</v>
      </c>
      <c r="B538" s="1" t="s">
        <v>1534</v>
      </c>
      <c r="C538" s="1" t="s">
        <v>1535</v>
      </c>
      <c r="D538" s="1" t="s">
        <v>555</v>
      </c>
      <c r="E538" s="1" t="s">
        <v>26</v>
      </c>
    </row>
    <row r="539" spans="1:5" x14ac:dyDescent="0.25">
      <c r="A539" s="1" t="s">
        <v>1536</v>
      </c>
      <c r="B539" s="1" t="s">
        <v>1537</v>
      </c>
      <c r="C539" s="1" t="s">
        <v>1538</v>
      </c>
      <c r="D539" s="1" t="s">
        <v>555</v>
      </c>
      <c r="E539" s="1" t="s">
        <v>29</v>
      </c>
    </row>
    <row r="540" spans="1:5" x14ac:dyDescent="0.25">
      <c r="A540" s="1" t="s">
        <v>1539</v>
      </c>
      <c r="B540" s="1" t="s">
        <v>1540</v>
      </c>
      <c r="C540" s="1" t="s">
        <v>1541</v>
      </c>
      <c r="D540" s="1" t="s">
        <v>1542</v>
      </c>
      <c r="E540" s="1" t="s">
        <v>18</v>
      </c>
    </row>
    <row r="541" spans="1:5" x14ac:dyDescent="0.25">
      <c r="A541" s="1" t="s">
        <v>1543</v>
      </c>
      <c r="B541" s="1" t="s">
        <v>1544</v>
      </c>
      <c r="C541" s="1" t="s">
        <v>1545</v>
      </c>
      <c r="D541" s="1" t="s">
        <v>1542</v>
      </c>
      <c r="E541" s="1" t="s">
        <v>261</v>
      </c>
    </row>
    <row r="542" spans="1:5" x14ac:dyDescent="0.25">
      <c r="A542" s="1" t="s">
        <v>1546</v>
      </c>
      <c r="B542" s="1" t="s">
        <v>1547</v>
      </c>
      <c r="C542" s="1" t="s">
        <v>1548</v>
      </c>
      <c r="D542" s="1" t="s">
        <v>1542</v>
      </c>
      <c r="E542" s="1" t="s">
        <v>265</v>
      </c>
    </row>
    <row r="543" spans="1:5" x14ac:dyDescent="0.25">
      <c r="A543" s="1" t="s">
        <v>1549</v>
      </c>
      <c r="B543" s="1" t="s">
        <v>1550</v>
      </c>
      <c r="C543" s="1" t="s">
        <v>1551</v>
      </c>
      <c r="D543" s="1" t="s">
        <v>1542</v>
      </c>
      <c r="E543" s="1" t="s">
        <v>452</v>
      </c>
    </row>
    <row r="544" spans="1:5" x14ac:dyDescent="0.25">
      <c r="A544" s="1" t="s">
        <v>1552</v>
      </c>
      <c r="B544" s="1" t="s">
        <v>1553</v>
      </c>
      <c r="C544" s="1" t="s">
        <v>1554</v>
      </c>
      <c r="D544" s="1" t="s">
        <v>1542</v>
      </c>
      <c r="E544" s="1" t="s">
        <v>22</v>
      </c>
    </row>
    <row r="545" spans="1:5" x14ac:dyDescent="0.25">
      <c r="A545" s="1" t="s">
        <v>1555</v>
      </c>
      <c r="B545" s="1" t="s">
        <v>1556</v>
      </c>
      <c r="C545" s="1" t="s">
        <v>1557</v>
      </c>
      <c r="D545" s="1" t="s">
        <v>1542</v>
      </c>
      <c r="E545" s="1" t="s">
        <v>721</v>
      </c>
    </row>
    <row r="546" spans="1:5" x14ac:dyDescent="0.25">
      <c r="A546" s="1" t="s">
        <v>1558</v>
      </c>
      <c r="B546" s="1" t="s">
        <v>1559</v>
      </c>
      <c r="C546" s="1" t="s">
        <v>1560</v>
      </c>
      <c r="D546" s="1" t="s">
        <v>1542</v>
      </c>
      <c r="E546" s="1" t="s">
        <v>637</v>
      </c>
    </row>
    <row r="547" spans="1:5" x14ac:dyDescent="0.25">
      <c r="A547" s="1" t="s">
        <v>1561</v>
      </c>
      <c r="B547" s="1" t="s">
        <v>1562</v>
      </c>
      <c r="C547" s="1" t="s">
        <v>1563</v>
      </c>
      <c r="D547" s="1" t="s">
        <v>1542</v>
      </c>
      <c r="E547" s="1" t="s">
        <v>899</v>
      </c>
    </row>
    <row r="548" spans="1:5" x14ac:dyDescent="0.25">
      <c r="A548" s="1" t="s">
        <v>1564</v>
      </c>
      <c r="B548" s="1" t="s">
        <v>1565</v>
      </c>
      <c r="C548" s="1" t="s">
        <v>1566</v>
      </c>
      <c r="D548" s="1" t="s">
        <v>1542</v>
      </c>
      <c r="E548" s="1" t="s">
        <v>26</v>
      </c>
    </row>
    <row r="549" spans="1:5" x14ac:dyDescent="0.25">
      <c r="A549" s="1" t="s">
        <v>1567</v>
      </c>
      <c r="B549" s="1" t="s">
        <v>1568</v>
      </c>
      <c r="C549" s="1" t="s">
        <v>81</v>
      </c>
      <c r="D549" s="1" t="s">
        <v>1542</v>
      </c>
      <c r="E549" s="1" t="s">
        <v>1037</v>
      </c>
    </row>
    <row r="550" spans="1:5" x14ac:dyDescent="0.25">
      <c r="A550" s="1" t="s">
        <v>1569</v>
      </c>
      <c r="B550" s="1" t="s">
        <v>1570</v>
      </c>
      <c r="C550" s="1" t="s">
        <v>1571</v>
      </c>
      <c r="D550" s="1" t="s">
        <v>1542</v>
      </c>
      <c r="E550" s="1" t="s">
        <v>29</v>
      </c>
    </row>
    <row r="551" spans="1:5" x14ac:dyDescent="0.25">
      <c r="A551" s="1" t="s">
        <v>1572</v>
      </c>
      <c r="B551" s="1" t="s">
        <v>1573</v>
      </c>
      <c r="C551" s="1" t="s">
        <v>1574</v>
      </c>
      <c r="D551" s="1" t="s">
        <v>1542</v>
      </c>
      <c r="E551" s="1" t="s">
        <v>1045</v>
      </c>
    </row>
    <row r="552" spans="1:5" x14ac:dyDescent="0.25">
      <c r="A552" s="1" t="s">
        <v>1575</v>
      </c>
      <c r="B552" s="1" t="s">
        <v>1576</v>
      </c>
      <c r="C552" s="1" t="s">
        <v>1577</v>
      </c>
      <c r="D552" s="1" t="s">
        <v>1542</v>
      </c>
      <c r="E552" s="1" t="s">
        <v>34</v>
      </c>
    </row>
    <row r="553" spans="1:5" x14ac:dyDescent="0.25">
      <c r="A553" s="1" t="s">
        <v>1578</v>
      </c>
      <c r="B553" s="1" t="s">
        <v>1579</v>
      </c>
      <c r="C553" s="1" t="s">
        <v>1580</v>
      </c>
      <c r="D553" s="1" t="s">
        <v>1542</v>
      </c>
      <c r="E553" s="1" t="s">
        <v>37</v>
      </c>
    </row>
    <row r="554" spans="1:5" x14ac:dyDescent="0.25">
      <c r="A554" s="1" t="s">
        <v>1581</v>
      </c>
      <c r="B554" s="1" t="s">
        <v>1582</v>
      </c>
      <c r="C554" s="1" t="s">
        <v>1583</v>
      </c>
      <c r="D554" s="1" t="s">
        <v>1542</v>
      </c>
      <c r="E554" s="1" t="s">
        <v>41</v>
      </c>
    </row>
    <row r="555" spans="1:5" x14ac:dyDescent="0.25">
      <c r="A555" s="1" t="s">
        <v>1584</v>
      </c>
      <c r="B555" s="1" t="s">
        <v>1585</v>
      </c>
      <c r="C555" s="1" t="s">
        <v>1203</v>
      </c>
      <c r="D555" s="1" t="s">
        <v>656</v>
      </c>
      <c r="E555" s="1" t="s">
        <v>265</v>
      </c>
    </row>
    <row r="556" spans="1:5" x14ac:dyDescent="0.25">
      <c r="A556" s="1" t="s">
        <v>1586</v>
      </c>
      <c r="B556" s="1" t="s">
        <v>1587</v>
      </c>
      <c r="C556" s="1" t="s">
        <v>1588</v>
      </c>
      <c r="D556" s="1" t="s">
        <v>656</v>
      </c>
      <c r="E556" s="1" t="s">
        <v>452</v>
      </c>
    </row>
    <row r="557" spans="1:5" x14ac:dyDescent="0.25">
      <c r="A557" s="1" t="s">
        <v>1589</v>
      </c>
      <c r="B557" s="1" t="s">
        <v>1590</v>
      </c>
      <c r="C557" s="1" t="s">
        <v>1591</v>
      </c>
      <c r="D557" s="1" t="s">
        <v>656</v>
      </c>
      <c r="E557" s="1" t="s">
        <v>22</v>
      </c>
    </row>
    <row r="558" spans="1:5" x14ac:dyDescent="0.25">
      <c r="A558" s="1" t="s">
        <v>1592</v>
      </c>
      <c r="B558" s="1" t="s">
        <v>1593</v>
      </c>
      <c r="C558" s="1" t="s">
        <v>1594</v>
      </c>
      <c r="D558" s="1" t="s">
        <v>656</v>
      </c>
      <c r="E558" s="1" t="s">
        <v>721</v>
      </c>
    </row>
    <row r="559" spans="1:5" x14ac:dyDescent="0.25">
      <c r="A559" s="1" t="s">
        <v>1595</v>
      </c>
      <c r="B559" s="1" t="s">
        <v>1596</v>
      </c>
      <c r="C559" s="1" t="s">
        <v>1383</v>
      </c>
      <c r="D559" s="1" t="s">
        <v>656</v>
      </c>
      <c r="E559" s="1" t="s">
        <v>637</v>
      </c>
    </row>
    <row r="560" spans="1:5" x14ac:dyDescent="0.25">
      <c r="A560" s="1" t="s">
        <v>1597</v>
      </c>
      <c r="B560" s="1" t="s">
        <v>1598</v>
      </c>
      <c r="C560" s="1" t="s">
        <v>1599</v>
      </c>
      <c r="D560" s="1" t="s">
        <v>656</v>
      </c>
      <c r="E560" s="1" t="s">
        <v>899</v>
      </c>
    </row>
    <row r="561" spans="1:5" x14ac:dyDescent="0.25">
      <c r="A561" s="1" t="s">
        <v>1600</v>
      </c>
      <c r="B561" s="1" t="s">
        <v>1601</v>
      </c>
      <c r="C561" s="1" t="s">
        <v>1602</v>
      </c>
      <c r="D561" s="1" t="s">
        <v>656</v>
      </c>
      <c r="E561" s="1" t="s">
        <v>26</v>
      </c>
    </row>
    <row r="562" spans="1:5" x14ac:dyDescent="0.25">
      <c r="A562" s="1" t="s">
        <v>1603</v>
      </c>
      <c r="B562" s="1" t="s">
        <v>1604</v>
      </c>
      <c r="C562" s="1" t="s">
        <v>1605</v>
      </c>
      <c r="D562" s="1" t="s">
        <v>656</v>
      </c>
      <c r="E562" s="1" t="s">
        <v>1037</v>
      </c>
    </row>
    <row r="563" spans="1:5" x14ac:dyDescent="0.25">
      <c r="A563" s="1" t="s">
        <v>1606</v>
      </c>
      <c r="B563" s="1" t="s">
        <v>1607</v>
      </c>
      <c r="C563" s="1" t="s">
        <v>1608</v>
      </c>
      <c r="D563" s="1" t="s">
        <v>656</v>
      </c>
      <c r="E563" s="1" t="s">
        <v>29</v>
      </c>
    </row>
    <row r="564" spans="1:5" x14ac:dyDescent="0.25">
      <c r="A564" s="1" t="s">
        <v>1609</v>
      </c>
      <c r="B564" s="1" t="s">
        <v>1610</v>
      </c>
      <c r="C564" s="1" t="s">
        <v>1611</v>
      </c>
      <c r="D564" s="1" t="s">
        <v>656</v>
      </c>
      <c r="E564" s="1" t="s">
        <v>1045</v>
      </c>
    </row>
    <row r="565" spans="1:5" x14ac:dyDescent="0.25">
      <c r="A565" s="1" t="s">
        <v>1612</v>
      </c>
      <c r="B565" s="1" t="s">
        <v>1613</v>
      </c>
      <c r="C565" s="1" t="s">
        <v>1614</v>
      </c>
      <c r="D565" s="1" t="s">
        <v>656</v>
      </c>
      <c r="E565" s="1" t="s">
        <v>34</v>
      </c>
    </row>
    <row r="566" spans="1:5" x14ac:dyDescent="0.25">
      <c r="A566" s="1" t="s">
        <v>1615</v>
      </c>
      <c r="B566" s="1" t="s">
        <v>1616</v>
      </c>
      <c r="C566" s="1" t="s">
        <v>1617</v>
      </c>
      <c r="D566" s="1" t="s">
        <v>656</v>
      </c>
      <c r="E566" s="1" t="s">
        <v>37</v>
      </c>
    </row>
    <row r="567" spans="1:5" x14ac:dyDescent="0.25">
      <c r="A567" s="1" t="s">
        <v>1618</v>
      </c>
      <c r="B567" s="1" t="s">
        <v>1619</v>
      </c>
      <c r="C567" s="1" t="s">
        <v>1620</v>
      </c>
      <c r="D567" s="1" t="s">
        <v>656</v>
      </c>
      <c r="E567" s="1" t="s">
        <v>41</v>
      </c>
    </row>
    <row r="568" spans="1:5" x14ac:dyDescent="0.25">
      <c r="A568" s="1" t="s">
        <v>1621</v>
      </c>
      <c r="B568" s="1" t="s">
        <v>1622</v>
      </c>
      <c r="C568" s="1" t="s">
        <v>1623</v>
      </c>
      <c r="D568" s="1" t="s">
        <v>656</v>
      </c>
      <c r="E568" s="1" t="s">
        <v>45</v>
      </c>
    </row>
    <row r="569" spans="1:5" x14ac:dyDescent="0.25">
      <c r="A569" s="1" t="s">
        <v>1624</v>
      </c>
      <c r="B569" s="1" t="s">
        <v>1625</v>
      </c>
      <c r="C569" s="1" t="s">
        <v>1419</v>
      </c>
      <c r="D569" s="1" t="s">
        <v>1626</v>
      </c>
      <c r="E569" s="1" t="s">
        <v>22</v>
      </c>
    </row>
    <row r="570" spans="1:5" x14ac:dyDescent="0.25">
      <c r="A570" s="1" t="s">
        <v>1627</v>
      </c>
      <c r="B570" s="1" t="s">
        <v>1628</v>
      </c>
      <c r="C570" s="1" t="s">
        <v>1629</v>
      </c>
      <c r="D570" s="1" t="s">
        <v>1626</v>
      </c>
      <c r="E570" s="1" t="s">
        <v>721</v>
      </c>
    </row>
    <row r="571" spans="1:5" x14ac:dyDescent="0.25">
      <c r="A571" s="1" t="s">
        <v>1630</v>
      </c>
      <c r="B571" s="1" t="s">
        <v>1631</v>
      </c>
      <c r="C571" s="1" t="s">
        <v>1632</v>
      </c>
      <c r="D571" s="1" t="s">
        <v>1626</v>
      </c>
      <c r="E571" s="1" t="s">
        <v>637</v>
      </c>
    </row>
    <row r="572" spans="1:5" x14ac:dyDescent="0.25">
      <c r="A572" s="1" t="s">
        <v>1633</v>
      </c>
      <c r="B572" s="1" t="s">
        <v>1634</v>
      </c>
      <c r="C572" s="1" t="s">
        <v>1635</v>
      </c>
      <c r="D572" s="1" t="s">
        <v>1626</v>
      </c>
      <c r="E572" s="1" t="s">
        <v>899</v>
      </c>
    </row>
    <row r="573" spans="1:5" x14ac:dyDescent="0.25">
      <c r="A573" s="1" t="s">
        <v>1636</v>
      </c>
      <c r="B573" s="1" t="s">
        <v>1637</v>
      </c>
      <c r="C573" s="1" t="s">
        <v>1638</v>
      </c>
      <c r="D573" s="1" t="s">
        <v>1626</v>
      </c>
      <c r="E573" s="1" t="s">
        <v>26</v>
      </c>
    </row>
    <row r="574" spans="1:5" x14ac:dyDescent="0.25">
      <c r="A574" s="1" t="s">
        <v>1639</v>
      </c>
      <c r="B574" s="1" t="s">
        <v>1640</v>
      </c>
      <c r="C574" s="1" t="s">
        <v>1641</v>
      </c>
      <c r="D574" s="1" t="s">
        <v>1626</v>
      </c>
      <c r="E574" s="1" t="s">
        <v>1037</v>
      </c>
    </row>
    <row r="575" spans="1:5" x14ac:dyDescent="0.25">
      <c r="A575" s="1" t="s">
        <v>1642</v>
      </c>
      <c r="B575" s="1" t="s">
        <v>1643</v>
      </c>
      <c r="C575" s="1" t="s">
        <v>1644</v>
      </c>
      <c r="D575" s="1" t="s">
        <v>1626</v>
      </c>
      <c r="E575" s="1" t="s">
        <v>29</v>
      </c>
    </row>
    <row r="576" spans="1:5" x14ac:dyDescent="0.25">
      <c r="A576" s="1" t="s">
        <v>1645</v>
      </c>
      <c r="B576" s="1" t="s">
        <v>1646</v>
      </c>
      <c r="C576" s="1" t="s">
        <v>1647</v>
      </c>
      <c r="D576" s="1" t="s">
        <v>1626</v>
      </c>
      <c r="E576" s="1" t="s">
        <v>1045</v>
      </c>
    </row>
    <row r="577" spans="1:5" x14ac:dyDescent="0.25">
      <c r="A577" s="1" t="s">
        <v>1648</v>
      </c>
      <c r="B577" s="1" t="s">
        <v>1649</v>
      </c>
      <c r="C577" s="1" t="s">
        <v>1650</v>
      </c>
      <c r="D577" s="1" t="s">
        <v>1626</v>
      </c>
      <c r="E577" s="1" t="s">
        <v>34</v>
      </c>
    </row>
    <row r="578" spans="1:5" x14ac:dyDescent="0.25">
      <c r="A578" s="1" t="s">
        <v>1651</v>
      </c>
      <c r="B578" s="1" t="s">
        <v>1652</v>
      </c>
      <c r="C578" s="1" t="s">
        <v>141</v>
      </c>
      <c r="D578" s="1" t="s">
        <v>1626</v>
      </c>
      <c r="E578" s="1" t="s">
        <v>37</v>
      </c>
    </row>
    <row r="579" spans="1:5" x14ac:dyDescent="0.25">
      <c r="A579" s="1" t="s">
        <v>1653</v>
      </c>
      <c r="B579" s="1" t="s">
        <v>1654</v>
      </c>
      <c r="C579" s="1" t="s">
        <v>1655</v>
      </c>
      <c r="D579" s="1" t="s">
        <v>1626</v>
      </c>
      <c r="E579" s="1" t="s">
        <v>41</v>
      </c>
    </row>
    <row r="580" spans="1:5" x14ac:dyDescent="0.25">
      <c r="A580" s="1" t="s">
        <v>1656</v>
      </c>
      <c r="B580" s="1" t="s">
        <v>1657</v>
      </c>
      <c r="C580" s="1" t="s">
        <v>1658</v>
      </c>
      <c r="D580" s="1" t="s">
        <v>1626</v>
      </c>
      <c r="E580" s="1" t="s">
        <v>45</v>
      </c>
    </row>
    <row r="581" spans="1:5" x14ac:dyDescent="0.25">
      <c r="A581" s="1" t="s">
        <v>1659</v>
      </c>
      <c r="B581" s="1" t="s">
        <v>1660</v>
      </c>
      <c r="C581" s="1" t="s">
        <v>1661</v>
      </c>
      <c r="D581" s="1" t="s">
        <v>800</v>
      </c>
      <c r="E581" s="1" t="s">
        <v>637</v>
      </c>
    </row>
    <row r="582" spans="1:5" x14ac:dyDescent="0.25">
      <c r="A582" s="1" t="s">
        <v>1662</v>
      </c>
      <c r="B582" s="1" t="s">
        <v>1663</v>
      </c>
      <c r="C582" s="1" t="s">
        <v>1664</v>
      </c>
      <c r="D582" s="1" t="s">
        <v>800</v>
      </c>
      <c r="E582" s="1" t="s">
        <v>899</v>
      </c>
    </row>
    <row r="583" spans="1:5" x14ac:dyDescent="0.25">
      <c r="A583" s="1" t="s">
        <v>1665</v>
      </c>
      <c r="B583" s="1" t="s">
        <v>1666</v>
      </c>
      <c r="C583" s="1" t="s">
        <v>1667</v>
      </c>
      <c r="D583" s="1" t="s">
        <v>800</v>
      </c>
      <c r="E583" s="1" t="s">
        <v>26</v>
      </c>
    </row>
    <row r="584" spans="1:5" x14ac:dyDescent="0.25">
      <c r="A584" s="1" t="s">
        <v>1668</v>
      </c>
      <c r="B584" s="1" t="s">
        <v>1669</v>
      </c>
      <c r="C584" s="1" t="s">
        <v>1670</v>
      </c>
      <c r="D584" s="1" t="s">
        <v>800</v>
      </c>
      <c r="E584" s="1" t="s">
        <v>1037</v>
      </c>
    </row>
    <row r="585" spans="1:5" x14ac:dyDescent="0.25">
      <c r="A585" s="1" t="s">
        <v>1671</v>
      </c>
      <c r="B585" s="1" t="s">
        <v>1672</v>
      </c>
      <c r="C585" s="1" t="s">
        <v>1673</v>
      </c>
      <c r="D585" s="1" t="s">
        <v>800</v>
      </c>
      <c r="E585" s="1" t="s">
        <v>29</v>
      </c>
    </row>
    <row r="586" spans="1:5" x14ac:dyDescent="0.25">
      <c r="A586" s="1" t="s">
        <v>1674</v>
      </c>
      <c r="B586" s="1" t="s">
        <v>1675</v>
      </c>
      <c r="C586" s="1" t="s">
        <v>1676</v>
      </c>
      <c r="D586" s="1" t="s">
        <v>800</v>
      </c>
      <c r="E586" s="1" t="s">
        <v>1045</v>
      </c>
    </row>
    <row r="587" spans="1:5" x14ac:dyDescent="0.25">
      <c r="A587" s="1" t="s">
        <v>1677</v>
      </c>
      <c r="B587" s="1" t="s">
        <v>1678</v>
      </c>
      <c r="C587" s="1" t="s">
        <v>1679</v>
      </c>
      <c r="D587" s="1" t="s">
        <v>800</v>
      </c>
      <c r="E587" s="1" t="s">
        <v>34</v>
      </c>
    </row>
    <row r="588" spans="1:5" x14ac:dyDescent="0.25">
      <c r="A588" s="1" t="s">
        <v>1680</v>
      </c>
      <c r="B588" s="1" t="s">
        <v>1681</v>
      </c>
      <c r="C588" s="1" t="s">
        <v>1682</v>
      </c>
      <c r="D588" s="1" t="s">
        <v>800</v>
      </c>
      <c r="E588" s="1" t="s">
        <v>37</v>
      </c>
    </row>
    <row r="589" spans="1:5" x14ac:dyDescent="0.25">
      <c r="A589" s="1" t="s">
        <v>1683</v>
      </c>
      <c r="B589" s="1" t="s">
        <v>1684</v>
      </c>
      <c r="C589" s="1" t="s">
        <v>1685</v>
      </c>
      <c r="D589" s="1" t="s">
        <v>800</v>
      </c>
      <c r="E589" s="1" t="s">
        <v>41</v>
      </c>
    </row>
    <row r="590" spans="1:5" x14ac:dyDescent="0.25">
      <c r="A590" s="1" t="s">
        <v>1686</v>
      </c>
      <c r="B590" s="1" t="s">
        <v>1687</v>
      </c>
      <c r="C590" s="1" t="s">
        <v>1688</v>
      </c>
      <c r="D590" s="1" t="s">
        <v>800</v>
      </c>
      <c r="E590" s="1" t="s">
        <v>45</v>
      </c>
    </row>
    <row r="591" spans="1:5" x14ac:dyDescent="0.25">
      <c r="A591" s="1" t="s">
        <v>1689</v>
      </c>
      <c r="B591" s="1" t="s">
        <v>1690</v>
      </c>
      <c r="C591" s="1" t="s">
        <v>1691</v>
      </c>
      <c r="D591" s="1" t="s">
        <v>931</v>
      </c>
      <c r="E591" s="1" t="s">
        <v>26</v>
      </c>
    </row>
    <row r="592" spans="1:5" x14ac:dyDescent="0.25">
      <c r="A592" s="1" t="s">
        <v>1693</v>
      </c>
      <c r="B592" s="1" t="s">
        <v>1694</v>
      </c>
      <c r="C592" s="1" t="s">
        <v>1695</v>
      </c>
      <c r="D592" s="1" t="s">
        <v>931</v>
      </c>
      <c r="E592" s="1" t="s">
        <v>1037</v>
      </c>
    </row>
    <row r="593" spans="1:5" x14ac:dyDescent="0.25">
      <c r="A593" s="1" t="s">
        <v>1696</v>
      </c>
      <c r="B593" s="1" t="s">
        <v>1697</v>
      </c>
      <c r="C593" s="1" t="s">
        <v>1698</v>
      </c>
      <c r="D593" s="1" t="s">
        <v>931</v>
      </c>
      <c r="E593" s="1" t="s">
        <v>29</v>
      </c>
    </row>
    <row r="594" spans="1:5" x14ac:dyDescent="0.25">
      <c r="A594" s="1" t="s">
        <v>1699</v>
      </c>
      <c r="B594" s="1" t="s">
        <v>1700</v>
      </c>
      <c r="C594" s="1" t="s">
        <v>1701</v>
      </c>
      <c r="D594" s="1" t="s">
        <v>931</v>
      </c>
      <c r="E594" s="1" t="s">
        <v>1045</v>
      </c>
    </row>
    <row r="595" spans="1:5" x14ac:dyDescent="0.25">
      <c r="A595" s="1" t="s">
        <v>1702</v>
      </c>
      <c r="B595" s="1" t="s">
        <v>1703</v>
      </c>
      <c r="C595" s="1" t="s">
        <v>1704</v>
      </c>
      <c r="D595" s="1" t="s">
        <v>931</v>
      </c>
      <c r="E595" s="1" t="s">
        <v>34</v>
      </c>
    </row>
    <row r="596" spans="1:5" x14ac:dyDescent="0.25">
      <c r="A596" s="1" t="s">
        <v>1705</v>
      </c>
      <c r="B596" s="1" t="s">
        <v>1706</v>
      </c>
      <c r="C596" s="1" t="s">
        <v>1707</v>
      </c>
      <c r="D596" s="1" t="s">
        <v>931</v>
      </c>
      <c r="E596" s="1" t="s">
        <v>37</v>
      </c>
    </row>
    <row r="597" spans="1:5" x14ac:dyDescent="0.25">
      <c r="A597" s="1" t="s">
        <v>1708</v>
      </c>
      <c r="B597" s="1" t="s">
        <v>1709</v>
      </c>
      <c r="C597" s="1" t="s">
        <v>1710</v>
      </c>
      <c r="D597" s="1" t="s">
        <v>931</v>
      </c>
      <c r="E597" s="1" t="s">
        <v>41</v>
      </c>
    </row>
    <row r="598" spans="1:5" x14ac:dyDescent="0.25">
      <c r="A598" s="1" t="s">
        <v>1711</v>
      </c>
      <c r="B598" s="1" t="s">
        <v>1712</v>
      </c>
      <c r="C598" s="1" t="s">
        <v>1713</v>
      </c>
      <c r="D598" s="1" t="s">
        <v>931</v>
      </c>
      <c r="E598" s="1" t="s">
        <v>45</v>
      </c>
    </row>
    <row r="599" spans="1:5" x14ac:dyDescent="0.25">
      <c r="A599" s="1" t="s">
        <v>1714</v>
      </c>
      <c r="B599" s="1" t="s">
        <v>1715</v>
      </c>
      <c r="C599" s="1" t="s">
        <v>1716</v>
      </c>
      <c r="D599" s="1" t="s">
        <v>1717</v>
      </c>
      <c r="E599" s="1" t="s">
        <v>26</v>
      </c>
    </row>
    <row r="600" spans="1:5" x14ac:dyDescent="0.25">
      <c r="A600" s="1" t="s">
        <v>1718</v>
      </c>
      <c r="B600" s="1" t="s">
        <v>1719</v>
      </c>
      <c r="C600" s="1" t="s">
        <v>1720</v>
      </c>
      <c r="D600" s="1" t="s">
        <v>1717</v>
      </c>
      <c r="E600" s="1" t="s">
        <v>1037</v>
      </c>
    </row>
    <row r="601" spans="1:5" x14ac:dyDescent="0.25">
      <c r="A601" s="1" t="s">
        <v>1721</v>
      </c>
      <c r="B601" s="1" t="s">
        <v>1722</v>
      </c>
      <c r="C601" s="1" t="s">
        <v>1723</v>
      </c>
      <c r="D601" s="1" t="s">
        <v>1717</v>
      </c>
      <c r="E601" s="1" t="s">
        <v>29</v>
      </c>
    </row>
    <row r="602" spans="1:5" x14ac:dyDescent="0.25">
      <c r="A602" s="1" t="s">
        <v>1724</v>
      </c>
      <c r="B602" s="1" t="s">
        <v>1725</v>
      </c>
      <c r="C602" s="1" t="s">
        <v>1726</v>
      </c>
      <c r="D602" s="1" t="s">
        <v>1717</v>
      </c>
      <c r="E602" s="1" t="s">
        <v>1045</v>
      </c>
    </row>
    <row r="603" spans="1:5" x14ac:dyDescent="0.25">
      <c r="A603" s="1" t="s">
        <v>1727</v>
      </c>
      <c r="B603" s="1" t="s">
        <v>1728</v>
      </c>
      <c r="C603" s="1" t="s">
        <v>1729</v>
      </c>
      <c r="D603" s="1" t="s">
        <v>1717</v>
      </c>
      <c r="E603" s="1" t="s">
        <v>34</v>
      </c>
    </row>
    <row r="604" spans="1:5" x14ac:dyDescent="0.25">
      <c r="A604" s="1" t="s">
        <v>1730</v>
      </c>
      <c r="B604" s="1" t="s">
        <v>1731</v>
      </c>
      <c r="C604" s="1" t="s">
        <v>1732</v>
      </c>
      <c r="D604" s="1" t="s">
        <v>1717</v>
      </c>
      <c r="E604" s="1" t="s">
        <v>37</v>
      </c>
    </row>
    <row r="605" spans="1:5" x14ac:dyDescent="0.25">
      <c r="A605" s="1" t="s">
        <v>1733</v>
      </c>
      <c r="B605" s="1" t="s">
        <v>1734</v>
      </c>
      <c r="C605" s="1" t="s">
        <v>1735</v>
      </c>
      <c r="D605" s="1" t="s">
        <v>1717</v>
      </c>
      <c r="E605" s="1" t="s">
        <v>41</v>
      </c>
    </row>
    <row r="606" spans="1:5" x14ac:dyDescent="0.25">
      <c r="A606" s="1" t="s">
        <v>1736</v>
      </c>
      <c r="B606" s="1" t="s">
        <v>1737</v>
      </c>
      <c r="C606" s="1" t="s">
        <v>1738</v>
      </c>
      <c r="D606" s="1" t="s">
        <v>1717</v>
      </c>
      <c r="E606" s="1" t="s">
        <v>45</v>
      </c>
    </row>
    <row r="607" spans="1:5" x14ac:dyDescent="0.25">
      <c r="A607" s="1" t="s">
        <v>1739</v>
      </c>
      <c r="B607" s="1" t="s">
        <v>1740</v>
      </c>
      <c r="C607" s="1" t="s">
        <v>1741</v>
      </c>
      <c r="D607" s="1" t="s">
        <v>1717</v>
      </c>
      <c r="E607" s="1" t="s">
        <v>17</v>
      </c>
    </row>
    <row r="608" spans="1:5" x14ac:dyDescent="0.25">
      <c r="A608" s="1" t="s">
        <v>1742</v>
      </c>
      <c r="B608" s="1" t="s">
        <v>1743</v>
      </c>
      <c r="C608" s="1" t="s">
        <v>1744</v>
      </c>
      <c r="D608" s="1" t="s">
        <v>1077</v>
      </c>
      <c r="E608" s="1" t="s">
        <v>26</v>
      </c>
    </row>
    <row r="609" spans="1:5" x14ac:dyDescent="0.25">
      <c r="A609" s="1" t="s">
        <v>1745</v>
      </c>
      <c r="B609" s="1" t="s">
        <v>1746</v>
      </c>
      <c r="C609" s="1" t="s">
        <v>1692</v>
      </c>
      <c r="D609" s="1" t="s">
        <v>1077</v>
      </c>
      <c r="E609" s="1" t="s">
        <v>1037</v>
      </c>
    </row>
    <row r="610" spans="1:5" x14ac:dyDescent="0.25">
      <c r="A610" s="1" t="s">
        <v>1747</v>
      </c>
      <c r="B610" s="1" t="s">
        <v>1748</v>
      </c>
      <c r="C610" s="1" t="s">
        <v>1749</v>
      </c>
      <c r="D610" s="1" t="s">
        <v>1077</v>
      </c>
      <c r="E610" s="1" t="s">
        <v>29</v>
      </c>
    </row>
    <row r="611" spans="1:5" x14ac:dyDescent="0.25">
      <c r="A611" s="1" t="s">
        <v>1750</v>
      </c>
      <c r="B611" s="1" t="s">
        <v>1751</v>
      </c>
      <c r="C611" s="1" t="s">
        <v>1752</v>
      </c>
      <c r="D611" s="1" t="s">
        <v>1077</v>
      </c>
      <c r="E611" s="1" t="s">
        <v>1045</v>
      </c>
    </row>
    <row r="612" spans="1:5" x14ac:dyDescent="0.25">
      <c r="A612" s="1" t="s">
        <v>1753</v>
      </c>
      <c r="B612" s="1" t="s">
        <v>1754</v>
      </c>
      <c r="C612" s="1" t="s">
        <v>1707</v>
      </c>
      <c r="D612" s="1" t="s">
        <v>1077</v>
      </c>
      <c r="E612" s="1" t="s">
        <v>34</v>
      </c>
    </row>
    <row r="613" spans="1:5" x14ac:dyDescent="0.25">
      <c r="A613" s="1" t="s">
        <v>1755</v>
      </c>
      <c r="B613" s="1" t="s">
        <v>1756</v>
      </c>
      <c r="C613" s="1" t="s">
        <v>1757</v>
      </c>
      <c r="D613" s="1" t="s">
        <v>1077</v>
      </c>
      <c r="E613" s="1" t="s">
        <v>37</v>
      </c>
    </row>
    <row r="614" spans="1:5" x14ac:dyDescent="0.25">
      <c r="A614" s="1" t="s">
        <v>1758</v>
      </c>
      <c r="B614" s="1" t="s">
        <v>1759</v>
      </c>
      <c r="C614" s="1" t="s">
        <v>1760</v>
      </c>
      <c r="D614" s="1" t="s">
        <v>1077</v>
      </c>
      <c r="E614" s="1" t="s">
        <v>41</v>
      </c>
    </row>
    <row r="615" spans="1:5" x14ac:dyDescent="0.25">
      <c r="A615" s="1" t="s">
        <v>1761</v>
      </c>
      <c r="B615" s="1" t="s">
        <v>1762</v>
      </c>
      <c r="C615" s="1" t="s">
        <v>1763</v>
      </c>
      <c r="D615" s="1" t="s">
        <v>1077</v>
      </c>
      <c r="E615" s="1" t="s">
        <v>45</v>
      </c>
    </row>
    <row r="616" spans="1:5" x14ac:dyDescent="0.25">
      <c r="A616" s="1" t="s">
        <v>1764</v>
      </c>
      <c r="B616" s="1" t="s">
        <v>1765</v>
      </c>
      <c r="C616" s="1" t="s">
        <v>1766</v>
      </c>
      <c r="D616" s="1" t="s">
        <v>1077</v>
      </c>
      <c r="E616" s="1" t="s">
        <v>17</v>
      </c>
    </row>
    <row r="617" spans="1:5" x14ac:dyDescent="0.25">
      <c r="A617" s="1" t="s">
        <v>1767</v>
      </c>
      <c r="B617" s="1" t="s">
        <v>1768</v>
      </c>
      <c r="C617" s="1" t="s">
        <v>1769</v>
      </c>
      <c r="D617" s="1" t="s">
        <v>1770</v>
      </c>
      <c r="E617" s="1" t="s">
        <v>26</v>
      </c>
    </row>
    <row r="618" spans="1:5" x14ac:dyDescent="0.25">
      <c r="A618" s="1" t="s">
        <v>1771</v>
      </c>
      <c r="B618" s="1" t="s">
        <v>1772</v>
      </c>
      <c r="C618" s="1" t="s">
        <v>1773</v>
      </c>
      <c r="D618" s="1" t="s">
        <v>1770</v>
      </c>
      <c r="E618" s="1" t="s">
        <v>1037</v>
      </c>
    </row>
    <row r="619" spans="1:5" x14ac:dyDescent="0.25">
      <c r="A619" s="1" t="s">
        <v>1774</v>
      </c>
      <c r="B619" s="1" t="s">
        <v>1775</v>
      </c>
      <c r="C619" s="1" t="s">
        <v>1776</v>
      </c>
      <c r="D619" s="1" t="s">
        <v>1770</v>
      </c>
      <c r="E619" s="1" t="s">
        <v>29</v>
      </c>
    </row>
    <row r="620" spans="1:5" x14ac:dyDescent="0.25">
      <c r="A620" s="1" t="s">
        <v>1777</v>
      </c>
      <c r="B620" s="1" t="s">
        <v>1778</v>
      </c>
      <c r="C620" s="1" t="s">
        <v>1779</v>
      </c>
      <c r="D620" s="1" t="s">
        <v>1770</v>
      </c>
      <c r="E620" s="1" t="s">
        <v>1045</v>
      </c>
    </row>
    <row r="621" spans="1:5" x14ac:dyDescent="0.25">
      <c r="A621" s="1" t="s">
        <v>1780</v>
      </c>
      <c r="B621" s="1" t="s">
        <v>1781</v>
      </c>
      <c r="C621" s="1" t="s">
        <v>1782</v>
      </c>
      <c r="D621" s="1" t="s">
        <v>1770</v>
      </c>
      <c r="E621" s="1" t="s">
        <v>34</v>
      </c>
    </row>
    <row r="622" spans="1:5" x14ac:dyDescent="0.25">
      <c r="A622" s="1" t="s">
        <v>1783</v>
      </c>
      <c r="B622" s="1" t="s">
        <v>1784</v>
      </c>
      <c r="C622" s="1" t="s">
        <v>1785</v>
      </c>
      <c r="D622" s="1" t="s">
        <v>1770</v>
      </c>
      <c r="E622" s="1" t="s">
        <v>37</v>
      </c>
    </row>
    <row r="623" spans="1:5" x14ac:dyDescent="0.25">
      <c r="A623" s="1" t="s">
        <v>1786</v>
      </c>
      <c r="B623" s="1" t="s">
        <v>1787</v>
      </c>
      <c r="C623" s="1" t="s">
        <v>1788</v>
      </c>
      <c r="D623" s="1" t="s">
        <v>1770</v>
      </c>
      <c r="E623" s="1" t="s">
        <v>41</v>
      </c>
    </row>
    <row r="624" spans="1:5" x14ac:dyDescent="0.25">
      <c r="A624" s="1" t="s">
        <v>1789</v>
      </c>
      <c r="B624" s="1" t="s">
        <v>1790</v>
      </c>
      <c r="C624" s="1" t="s">
        <v>1791</v>
      </c>
      <c r="D624" s="1" t="s">
        <v>1770</v>
      </c>
      <c r="E624" s="1" t="s">
        <v>45</v>
      </c>
    </row>
    <row r="625" spans="1:5" x14ac:dyDescent="0.25">
      <c r="A625" s="1" t="s">
        <v>1792</v>
      </c>
      <c r="B625" s="1" t="s">
        <v>1793</v>
      </c>
      <c r="C625" s="1" t="s">
        <v>1794</v>
      </c>
      <c r="D625" s="1" t="s">
        <v>1770</v>
      </c>
      <c r="E625" s="1" t="s">
        <v>17</v>
      </c>
    </row>
    <row r="626" spans="1:5" x14ac:dyDescent="0.25">
      <c r="A626" s="1" t="s">
        <v>1795</v>
      </c>
      <c r="B626" s="1" t="s">
        <v>1796</v>
      </c>
      <c r="C626" s="1" t="s">
        <v>1797</v>
      </c>
      <c r="D626" s="1" t="s">
        <v>1770</v>
      </c>
      <c r="E626" s="1" t="s">
        <v>51</v>
      </c>
    </row>
    <row r="627" spans="1:5" x14ac:dyDescent="0.25">
      <c r="A627" s="1" t="s">
        <v>1798</v>
      </c>
      <c r="B627" s="1" t="s">
        <v>1799</v>
      </c>
      <c r="C627" s="1" t="s">
        <v>1800</v>
      </c>
      <c r="D627" s="1" t="s">
        <v>1770</v>
      </c>
      <c r="E627" s="1" t="s">
        <v>33</v>
      </c>
    </row>
    <row r="628" spans="1:5" x14ac:dyDescent="0.25">
      <c r="A628" s="1" t="s">
        <v>1801</v>
      </c>
      <c r="B628" s="1" t="s">
        <v>1802</v>
      </c>
      <c r="C628" s="1" t="s">
        <v>1620</v>
      </c>
      <c r="D628" s="1" t="s">
        <v>1221</v>
      </c>
      <c r="E628" s="1" t="s">
        <v>26</v>
      </c>
    </row>
    <row r="629" spans="1:5" x14ac:dyDescent="0.25">
      <c r="A629" s="1" t="s">
        <v>1803</v>
      </c>
      <c r="B629" s="1" t="s">
        <v>1804</v>
      </c>
      <c r="C629" s="1" t="s">
        <v>1805</v>
      </c>
      <c r="D629" s="1" t="s">
        <v>1221</v>
      </c>
      <c r="E629" s="1" t="s">
        <v>1037</v>
      </c>
    </row>
    <row r="630" spans="1:5" x14ac:dyDescent="0.25">
      <c r="A630" s="1" t="s">
        <v>1806</v>
      </c>
      <c r="B630" s="1" t="s">
        <v>1807</v>
      </c>
      <c r="C630" s="1" t="s">
        <v>1808</v>
      </c>
      <c r="D630" s="1" t="s">
        <v>1221</v>
      </c>
      <c r="E630" s="1" t="s">
        <v>29</v>
      </c>
    </row>
    <row r="631" spans="1:5" x14ac:dyDescent="0.25">
      <c r="A631" s="1" t="s">
        <v>1809</v>
      </c>
      <c r="B631" s="1" t="s">
        <v>1810</v>
      </c>
      <c r="C631" s="1" t="s">
        <v>1811</v>
      </c>
      <c r="D631" s="1" t="s">
        <v>1221</v>
      </c>
      <c r="E631" s="1" t="s">
        <v>1045</v>
      </c>
    </row>
    <row r="632" spans="1:5" x14ac:dyDescent="0.25">
      <c r="A632" s="1" t="s">
        <v>1812</v>
      </c>
      <c r="B632" s="1" t="s">
        <v>1813</v>
      </c>
      <c r="C632" s="1" t="s">
        <v>1814</v>
      </c>
      <c r="D632" s="1" t="s">
        <v>1221</v>
      </c>
      <c r="E632" s="1" t="s">
        <v>34</v>
      </c>
    </row>
    <row r="633" spans="1:5" x14ac:dyDescent="0.25">
      <c r="A633" s="1" t="s">
        <v>1815</v>
      </c>
      <c r="B633" s="1" t="s">
        <v>1816</v>
      </c>
      <c r="C633" s="1" t="s">
        <v>1817</v>
      </c>
      <c r="D633" s="1" t="s">
        <v>1221</v>
      </c>
      <c r="E633" s="1" t="s">
        <v>37</v>
      </c>
    </row>
    <row r="634" spans="1:5" x14ac:dyDescent="0.25">
      <c r="A634" s="1" t="s">
        <v>1818</v>
      </c>
      <c r="B634" s="1" t="s">
        <v>1819</v>
      </c>
      <c r="C634" s="1" t="s">
        <v>1820</v>
      </c>
      <c r="D634" s="1" t="s">
        <v>1221</v>
      </c>
      <c r="E634" s="1" t="s">
        <v>41</v>
      </c>
    </row>
    <row r="635" spans="1:5" x14ac:dyDescent="0.25">
      <c r="A635" s="1" t="s">
        <v>1821</v>
      </c>
      <c r="B635" s="1" t="s">
        <v>1822</v>
      </c>
      <c r="C635" s="1" t="s">
        <v>1823</v>
      </c>
      <c r="D635" s="1" t="s">
        <v>1221</v>
      </c>
      <c r="E635" s="1" t="s">
        <v>45</v>
      </c>
    </row>
    <row r="636" spans="1:5" x14ac:dyDescent="0.25">
      <c r="A636" s="1" t="s">
        <v>1824</v>
      </c>
      <c r="B636" s="1" t="s">
        <v>1825</v>
      </c>
      <c r="C636" s="1" t="s">
        <v>1826</v>
      </c>
      <c r="D636" s="1" t="s">
        <v>1221</v>
      </c>
      <c r="E636" s="1" t="s">
        <v>17</v>
      </c>
    </row>
    <row r="637" spans="1:5" x14ac:dyDescent="0.25">
      <c r="A637" s="1" t="s">
        <v>1827</v>
      </c>
      <c r="B637" s="1" t="s">
        <v>1828</v>
      </c>
      <c r="C637" s="1" t="s">
        <v>1829</v>
      </c>
      <c r="D637" s="1" t="s">
        <v>1221</v>
      </c>
      <c r="E637" s="1" t="s">
        <v>51</v>
      </c>
    </row>
    <row r="638" spans="1:5" x14ac:dyDescent="0.25">
      <c r="A638" s="1" t="s">
        <v>1830</v>
      </c>
      <c r="B638" s="1" t="s">
        <v>1831</v>
      </c>
      <c r="C638" s="1" t="s">
        <v>1832</v>
      </c>
      <c r="D638" s="1" t="s">
        <v>1221</v>
      </c>
      <c r="E638" s="1" t="s">
        <v>33</v>
      </c>
    </row>
    <row r="639" spans="1:5" x14ac:dyDescent="0.25">
      <c r="A639" s="1" t="s">
        <v>1833</v>
      </c>
      <c r="B639" s="1" t="s">
        <v>1834</v>
      </c>
      <c r="C639" s="1" t="s">
        <v>1835</v>
      </c>
      <c r="D639" s="1" t="s">
        <v>1364</v>
      </c>
      <c r="E639" s="1" t="s">
        <v>29</v>
      </c>
    </row>
    <row r="640" spans="1:5" x14ac:dyDescent="0.25">
      <c r="A640" s="1" t="s">
        <v>1836</v>
      </c>
      <c r="B640" s="1" t="s">
        <v>1837</v>
      </c>
      <c r="C640" s="1" t="s">
        <v>1838</v>
      </c>
      <c r="D640" s="1" t="s">
        <v>1364</v>
      </c>
      <c r="E640" s="1" t="s">
        <v>1045</v>
      </c>
    </row>
    <row r="641" spans="1:5" x14ac:dyDescent="0.25">
      <c r="A641" s="1" t="s">
        <v>1839</v>
      </c>
      <c r="B641" s="1" t="s">
        <v>1840</v>
      </c>
      <c r="C641" s="1" t="s">
        <v>1841</v>
      </c>
      <c r="D641" s="1" t="s">
        <v>1364</v>
      </c>
      <c r="E641" s="1" t="s">
        <v>34</v>
      </c>
    </row>
    <row r="642" spans="1:5" x14ac:dyDescent="0.25">
      <c r="A642" s="1" t="s">
        <v>1842</v>
      </c>
      <c r="B642" s="1" t="s">
        <v>1843</v>
      </c>
      <c r="C642" s="1" t="s">
        <v>1844</v>
      </c>
      <c r="D642" s="1" t="s">
        <v>1364</v>
      </c>
      <c r="E642" s="1" t="s">
        <v>37</v>
      </c>
    </row>
    <row r="643" spans="1:5" x14ac:dyDescent="0.25">
      <c r="A643" s="1" t="s">
        <v>1845</v>
      </c>
      <c r="B643" s="1" t="s">
        <v>1846</v>
      </c>
      <c r="C643" s="1" t="s">
        <v>1847</v>
      </c>
      <c r="D643" s="1" t="s">
        <v>1364</v>
      </c>
      <c r="E643" s="1" t="s">
        <v>41</v>
      </c>
    </row>
    <row r="644" spans="1:5" x14ac:dyDescent="0.25">
      <c r="A644" s="1" t="s">
        <v>1848</v>
      </c>
      <c r="B644" s="1" t="s">
        <v>1849</v>
      </c>
      <c r="C644" s="1" t="s">
        <v>1850</v>
      </c>
      <c r="D644" s="1" t="s">
        <v>1364</v>
      </c>
      <c r="E644" s="1" t="s">
        <v>45</v>
      </c>
    </row>
    <row r="645" spans="1:5" x14ac:dyDescent="0.25">
      <c r="A645" s="1" t="s">
        <v>1851</v>
      </c>
      <c r="B645" s="1" t="s">
        <v>1852</v>
      </c>
      <c r="C645" s="1" t="s">
        <v>1853</v>
      </c>
      <c r="D645" s="1" t="s">
        <v>1364</v>
      </c>
      <c r="E645" s="1" t="s">
        <v>17</v>
      </c>
    </row>
    <row r="646" spans="1:5" x14ac:dyDescent="0.25">
      <c r="A646" s="1" t="s">
        <v>1854</v>
      </c>
      <c r="B646" s="1" t="s">
        <v>1855</v>
      </c>
      <c r="C646" s="1" t="s">
        <v>1856</v>
      </c>
      <c r="D646" s="1" t="s">
        <v>1364</v>
      </c>
      <c r="E646" s="1" t="s">
        <v>51</v>
      </c>
    </row>
    <row r="647" spans="1:5" x14ac:dyDescent="0.25">
      <c r="A647" s="1" t="s">
        <v>1857</v>
      </c>
      <c r="B647" s="1" t="s">
        <v>1858</v>
      </c>
      <c r="C647" s="1" t="s">
        <v>1859</v>
      </c>
      <c r="D647" s="1" t="s">
        <v>1364</v>
      </c>
      <c r="E647" s="1" t="s">
        <v>33</v>
      </c>
    </row>
    <row r="648" spans="1:5" x14ac:dyDescent="0.25">
      <c r="A648" s="1" t="s">
        <v>1860</v>
      </c>
      <c r="B648" s="1" t="s">
        <v>1861</v>
      </c>
      <c r="C648" s="1" t="s">
        <v>1862</v>
      </c>
      <c r="D648" s="1" t="s">
        <v>1512</v>
      </c>
      <c r="E648" s="1" t="s">
        <v>29</v>
      </c>
    </row>
    <row r="649" spans="1:5" x14ac:dyDescent="0.25">
      <c r="A649" s="1" t="s">
        <v>1863</v>
      </c>
      <c r="B649" s="1" t="s">
        <v>1864</v>
      </c>
      <c r="C649" s="1" t="s">
        <v>1865</v>
      </c>
      <c r="D649" s="1" t="s">
        <v>1512</v>
      </c>
      <c r="E649" s="1" t="s">
        <v>1045</v>
      </c>
    </row>
    <row r="650" spans="1:5" x14ac:dyDescent="0.25">
      <c r="A650" s="1" t="s">
        <v>1866</v>
      </c>
      <c r="B650" s="1" t="s">
        <v>1867</v>
      </c>
      <c r="C650" s="1" t="s">
        <v>1868</v>
      </c>
      <c r="D650" s="1" t="s">
        <v>1512</v>
      </c>
      <c r="E650" s="1" t="s">
        <v>34</v>
      </c>
    </row>
    <row r="651" spans="1:5" x14ac:dyDescent="0.25">
      <c r="A651" s="1" t="s">
        <v>1869</v>
      </c>
      <c r="B651" s="1" t="s">
        <v>1870</v>
      </c>
      <c r="C651" s="1" t="s">
        <v>1871</v>
      </c>
      <c r="D651" s="1" t="s">
        <v>1512</v>
      </c>
      <c r="E651" s="1" t="s">
        <v>37</v>
      </c>
    </row>
    <row r="652" spans="1:5" x14ac:dyDescent="0.25">
      <c r="A652" s="1" t="s">
        <v>1872</v>
      </c>
      <c r="B652" s="1" t="s">
        <v>1873</v>
      </c>
      <c r="C652" s="1" t="s">
        <v>1874</v>
      </c>
      <c r="D652" s="1" t="s">
        <v>1512</v>
      </c>
      <c r="E652" s="1" t="s">
        <v>41</v>
      </c>
    </row>
    <row r="653" spans="1:5" x14ac:dyDescent="0.25">
      <c r="A653" s="1" t="s">
        <v>1875</v>
      </c>
      <c r="B653" s="1" t="s">
        <v>1876</v>
      </c>
      <c r="C653" s="1" t="s">
        <v>1877</v>
      </c>
      <c r="D653" s="1" t="s">
        <v>1512</v>
      </c>
      <c r="E653" s="1" t="s">
        <v>45</v>
      </c>
    </row>
    <row r="654" spans="1:5" x14ac:dyDescent="0.25">
      <c r="A654" s="1" t="s">
        <v>1878</v>
      </c>
      <c r="B654" s="1" t="s">
        <v>1879</v>
      </c>
      <c r="C654" s="1" t="s">
        <v>1880</v>
      </c>
      <c r="D654" s="1" t="s">
        <v>1512</v>
      </c>
      <c r="E654" s="1" t="s">
        <v>17</v>
      </c>
    </row>
    <row r="655" spans="1:5" x14ac:dyDescent="0.25">
      <c r="A655" s="1" t="s">
        <v>1881</v>
      </c>
      <c r="B655" s="1" t="s">
        <v>1882</v>
      </c>
      <c r="C655" s="1" t="s">
        <v>1883</v>
      </c>
      <c r="D655" s="1" t="s">
        <v>1512</v>
      </c>
      <c r="E655" s="1" t="s">
        <v>51</v>
      </c>
    </row>
    <row r="656" spans="1:5" x14ac:dyDescent="0.25">
      <c r="A656" s="1" t="s">
        <v>1884</v>
      </c>
      <c r="B656" s="1" t="s">
        <v>1885</v>
      </c>
      <c r="C656" s="1" t="s">
        <v>1886</v>
      </c>
      <c r="D656" s="1" t="s">
        <v>1512</v>
      </c>
      <c r="E656" s="1" t="s">
        <v>33</v>
      </c>
    </row>
    <row r="657" spans="1:5" x14ac:dyDescent="0.25">
      <c r="A657" s="1" t="s">
        <v>1887</v>
      </c>
      <c r="B657" s="1" t="s">
        <v>1888</v>
      </c>
      <c r="C657" s="1" t="s">
        <v>1889</v>
      </c>
      <c r="D657" s="1" t="s">
        <v>1512</v>
      </c>
      <c r="E657" s="1" t="s">
        <v>50</v>
      </c>
    </row>
    <row r="658" spans="1:5" x14ac:dyDescent="0.25">
      <c r="A658" s="1" t="s">
        <v>1890</v>
      </c>
      <c r="B658" s="1" t="s">
        <v>1891</v>
      </c>
      <c r="C658" s="1" t="s">
        <v>1892</v>
      </c>
      <c r="D658" s="1" t="s">
        <v>1512</v>
      </c>
      <c r="E658" s="1" t="s">
        <v>58</v>
      </c>
    </row>
    <row r="659" spans="1:5" x14ac:dyDescent="0.25">
      <c r="A659" s="1" t="s">
        <v>1893</v>
      </c>
      <c r="B659" s="1" t="s">
        <v>1894</v>
      </c>
      <c r="C659" s="1" t="s">
        <v>1895</v>
      </c>
      <c r="D659" s="1" t="s">
        <v>1512</v>
      </c>
      <c r="E659" s="1" t="s">
        <v>65</v>
      </c>
    </row>
    <row r="660" spans="1:5" x14ac:dyDescent="0.25">
      <c r="A660" s="1" t="s">
        <v>1896</v>
      </c>
      <c r="B660" s="1" t="s">
        <v>1897</v>
      </c>
      <c r="C660" s="1" t="s">
        <v>1898</v>
      </c>
      <c r="D660" s="1" t="s">
        <v>1512</v>
      </c>
      <c r="E660" s="1" t="s">
        <v>68</v>
      </c>
    </row>
    <row r="661" spans="1:5" x14ac:dyDescent="0.25">
      <c r="A661" s="1" t="s">
        <v>1899</v>
      </c>
      <c r="B661" s="1" t="s">
        <v>1900</v>
      </c>
      <c r="C661" s="1" t="s">
        <v>1901</v>
      </c>
      <c r="D661" s="1" t="s">
        <v>1512</v>
      </c>
      <c r="E661" s="1" t="s">
        <v>1902</v>
      </c>
    </row>
    <row r="662" spans="1:5" x14ac:dyDescent="0.25">
      <c r="A662" s="1" t="s">
        <v>1903</v>
      </c>
      <c r="B662" s="1" t="s">
        <v>1904</v>
      </c>
      <c r="C662" s="1" t="s">
        <v>1905</v>
      </c>
      <c r="D662" s="1" t="s">
        <v>1512</v>
      </c>
      <c r="E662" s="1" t="s">
        <v>71</v>
      </c>
    </row>
    <row r="663" spans="1:5" x14ac:dyDescent="0.25">
      <c r="A663" s="1" t="s">
        <v>1906</v>
      </c>
      <c r="B663" s="1" t="s">
        <v>1907</v>
      </c>
      <c r="C663" s="1" t="s">
        <v>1908</v>
      </c>
      <c r="D663" s="1" t="s">
        <v>1512</v>
      </c>
      <c r="E663" s="1" t="s">
        <v>74</v>
      </c>
    </row>
    <row r="664" spans="1:5" x14ac:dyDescent="0.25">
      <c r="A664" s="1" t="s">
        <v>1909</v>
      </c>
      <c r="B664" s="1" t="s">
        <v>1910</v>
      </c>
      <c r="C664" s="1" t="s">
        <v>1911</v>
      </c>
      <c r="D664" s="1" t="s">
        <v>1512</v>
      </c>
      <c r="E664" s="1" t="s">
        <v>78</v>
      </c>
    </row>
    <row r="665" spans="1:5" x14ac:dyDescent="0.25">
      <c r="A665" s="1" t="s">
        <v>1912</v>
      </c>
      <c r="B665" s="1" t="s">
        <v>1913</v>
      </c>
      <c r="C665" s="1" t="s">
        <v>1914</v>
      </c>
      <c r="D665" s="1" t="s">
        <v>1512</v>
      </c>
      <c r="E665" s="1" t="s">
        <v>81</v>
      </c>
    </row>
    <row r="666" spans="1:5" x14ac:dyDescent="0.25">
      <c r="A666" s="1" t="s">
        <v>1915</v>
      </c>
      <c r="B666" s="1" t="s">
        <v>1916</v>
      </c>
      <c r="C666" s="1" t="s">
        <v>1917</v>
      </c>
      <c r="D666" s="1" t="s">
        <v>1512</v>
      </c>
      <c r="E666" s="1" t="s">
        <v>85</v>
      </c>
    </row>
    <row r="667" spans="1:5" x14ac:dyDescent="0.25">
      <c r="A667" s="1" t="s">
        <v>1918</v>
      </c>
      <c r="B667" s="1" t="s">
        <v>1919</v>
      </c>
      <c r="C667" s="1" t="s">
        <v>1920</v>
      </c>
      <c r="D667" s="1" t="s">
        <v>1512</v>
      </c>
      <c r="E667" s="1" t="s">
        <v>87</v>
      </c>
    </row>
    <row r="668" spans="1:5" x14ac:dyDescent="0.25">
      <c r="A668" s="1" t="s">
        <v>1921</v>
      </c>
      <c r="B668" s="1" t="s">
        <v>1922</v>
      </c>
      <c r="C668" s="1" t="s">
        <v>1923</v>
      </c>
      <c r="D668" s="1" t="s">
        <v>1512</v>
      </c>
      <c r="E668" s="1" t="s">
        <v>90</v>
      </c>
    </row>
    <row r="669" spans="1:5" x14ac:dyDescent="0.25">
      <c r="A669" s="1" t="s">
        <v>1924</v>
      </c>
      <c r="B669" s="1" t="s">
        <v>1925</v>
      </c>
      <c r="C669" s="1" t="s">
        <v>1926</v>
      </c>
      <c r="D669" s="1" t="s">
        <v>1809</v>
      </c>
      <c r="E669" s="1" t="s">
        <v>37</v>
      </c>
    </row>
    <row r="670" spans="1:5" x14ac:dyDescent="0.25">
      <c r="A670" s="1" t="s">
        <v>1927</v>
      </c>
      <c r="B670" s="1" t="s">
        <v>1928</v>
      </c>
      <c r="C670" s="1" t="s">
        <v>1929</v>
      </c>
      <c r="D670" s="1" t="s">
        <v>1809</v>
      </c>
      <c r="E670" s="1" t="s">
        <v>41</v>
      </c>
    </row>
    <row r="671" spans="1:5" x14ac:dyDescent="0.25">
      <c r="A671" s="1" t="s">
        <v>1930</v>
      </c>
      <c r="B671" s="1" t="s">
        <v>1931</v>
      </c>
      <c r="C671" s="1" t="s">
        <v>1932</v>
      </c>
      <c r="D671" s="1" t="s">
        <v>1809</v>
      </c>
      <c r="E671" s="1" t="s">
        <v>45</v>
      </c>
    </row>
    <row r="672" spans="1:5" x14ac:dyDescent="0.25">
      <c r="A672" s="1" t="s">
        <v>1933</v>
      </c>
      <c r="B672" s="1" t="s">
        <v>1934</v>
      </c>
      <c r="C672" s="1" t="s">
        <v>1935</v>
      </c>
      <c r="D672" s="1" t="s">
        <v>1809</v>
      </c>
      <c r="E672" s="1" t="s">
        <v>17</v>
      </c>
    </row>
    <row r="673" spans="1:5" x14ac:dyDescent="0.25">
      <c r="A673" s="1" t="s">
        <v>1936</v>
      </c>
      <c r="B673" s="1" t="s">
        <v>1937</v>
      </c>
      <c r="C673" s="1" t="s">
        <v>1938</v>
      </c>
      <c r="D673" s="1" t="s">
        <v>1809</v>
      </c>
      <c r="E673" s="1" t="s">
        <v>51</v>
      </c>
    </row>
    <row r="674" spans="1:5" x14ac:dyDescent="0.25">
      <c r="A674" s="1" t="s">
        <v>1939</v>
      </c>
      <c r="B674" s="1" t="s">
        <v>1940</v>
      </c>
      <c r="C674" s="1" t="s">
        <v>1941</v>
      </c>
      <c r="D674" s="1" t="s">
        <v>1809</v>
      </c>
      <c r="E674" s="1" t="s">
        <v>33</v>
      </c>
    </row>
    <row r="675" spans="1:5" x14ac:dyDescent="0.25">
      <c r="A675" s="1" t="s">
        <v>1942</v>
      </c>
      <c r="B675" s="1" t="s">
        <v>1943</v>
      </c>
      <c r="C675" s="1" t="s">
        <v>1944</v>
      </c>
      <c r="D675" s="1" t="s">
        <v>1809</v>
      </c>
      <c r="E675" s="1" t="s">
        <v>50</v>
      </c>
    </row>
    <row r="676" spans="1:5" x14ac:dyDescent="0.25">
      <c r="A676" s="1" t="s">
        <v>1945</v>
      </c>
      <c r="B676" s="1" t="s">
        <v>1946</v>
      </c>
      <c r="C676" s="1" t="s">
        <v>1947</v>
      </c>
      <c r="D676" s="1" t="s">
        <v>1809</v>
      </c>
      <c r="E676" s="1" t="s">
        <v>58</v>
      </c>
    </row>
    <row r="677" spans="1:5" x14ac:dyDescent="0.25">
      <c r="A677" s="1" t="s">
        <v>1948</v>
      </c>
      <c r="B677" s="1" t="s">
        <v>1949</v>
      </c>
      <c r="C677" s="1" t="s">
        <v>1950</v>
      </c>
      <c r="D677" s="1" t="s">
        <v>1809</v>
      </c>
      <c r="E677" s="1" t="s">
        <v>65</v>
      </c>
    </row>
    <row r="678" spans="1:5" x14ac:dyDescent="0.25">
      <c r="A678" s="1" t="s">
        <v>1951</v>
      </c>
      <c r="B678" s="1" t="s">
        <v>1952</v>
      </c>
      <c r="C678" s="1" t="s">
        <v>1953</v>
      </c>
      <c r="D678" s="1" t="s">
        <v>1809</v>
      </c>
      <c r="E678" s="1" t="s">
        <v>68</v>
      </c>
    </row>
    <row r="679" spans="1:5" x14ac:dyDescent="0.25">
      <c r="A679" s="1" t="s">
        <v>1954</v>
      </c>
      <c r="B679" s="1" t="s">
        <v>1955</v>
      </c>
      <c r="C679" s="1" t="s">
        <v>1956</v>
      </c>
      <c r="D679" s="1" t="s">
        <v>1809</v>
      </c>
      <c r="E679" s="1" t="s">
        <v>1902</v>
      </c>
    </row>
    <row r="680" spans="1:5" x14ac:dyDescent="0.25">
      <c r="A680" s="1" t="s">
        <v>1957</v>
      </c>
      <c r="B680" s="1" t="s">
        <v>1958</v>
      </c>
      <c r="C680" s="1" t="s">
        <v>1959</v>
      </c>
      <c r="D680" s="1" t="s">
        <v>1809</v>
      </c>
      <c r="E680" s="1" t="s">
        <v>71</v>
      </c>
    </row>
    <row r="681" spans="1:5" x14ac:dyDescent="0.25">
      <c r="A681" s="1" t="s">
        <v>1960</v>
      </c>
      <c r="B681" s="1" t="s">
        <v>1961</v>
      </c>
      <c r="C681" s="1" t="s">
        <v>1962</v>
      </c>
      <c r="D681" s="1" t="s">
        <v>1809</v>
      </c>
      <c r="E681" s="1" t="s">
        <v>74</v>
      </c>
    </row>
    <row r="682" spans="1:5" x14ac:dyDescent="0.25">
      <c r="A682" s="1" t="s">
        <v>1963</v>
      </c>
      <c r="B682" s="1" t="s">
        <v>1964</v>
      </c>
      <c r="C682" s="1" t="s">
        <v>1965</v>
      </c>
      <c r="D682" s="1" t="s">
        <v>1809</v>
      </c>
      <c r="E682" s="1" t="s">
        <v>78</v>
      </c>
    </row>
    <row r="683" spans="1:5" x14ac:dyDescent="0.25">
      <c r="A683" s="1" t="s">
        <v>1966</v>
      </c>
      <c r="B683" s="1" t="s">
        <v>1967</v>
      </c>
      <c r="C683" s="1" t="s">
        <v>1968</v>
      </c>
      <c r="D683" s="1" t="s">
        <v>1969</v>
      </c>
      <c r="E683" s="1" t="s">
        <v>37</v>
      </c>
    </row>
    <row r="684" spans="1:5" x14ac:dyDescent="0.25">
      <c r="A684" s="1" t="s">
        <v>1970</v>
      </c>
      <c r="B684" s="1" t="s">
        <v>1971</v>
      </c>
      <c r="C684" s="1" t="s">
        <v>1972</v>
      </c>
      <c r="D684" s="1" t="s">
        <v>1969</v>
      </c>
      <c r="E684" s="1" t="s">
        <v>41</v>
      </c>
    </row>
    <row r="685" spans="1:5" x14ac:dyDescent="0.25">
      <c r="A685" s="1" t="s">
        <v>1973</v>
      </c>
      <c r="B685" s="1" t="s">
        <v>1974</v>
      </c>
      <c r="C685" s="1" t="s">
        <v>1975</v>
      </c>
      <c r="D685" s="1" t="s">
        <v>1969</v>
      </c>
      <c r="E685" s="1" t="s">
        <v>45</v>
      </c>
    </row>
    <row r="686" spans="1:5" x14ac:dyDescent="0.25">
      <c r="A686" s="1" t="s">
        <v>1976</v>
      </c>
      <c r="B686" s="1" t="s">
        <v>1977</v>
      </c>
      <c r="C686" s="1" t="s">
        <v>1978</v>
      </c>
      <c r="D686" s="1" t="s">
        <v>1969</v>
      </c>
      <c r="E686" s="1" t="s">
        <v>17</v>
      </c>
    </row>
    <row r="687" spans="1:5" x14ac:dyDescent="0.25">
      <c r="A687" s="1" t="s">
        <v>1979</v>
      </c>
      <c r="B687" s="1" t="s">
        <v>1980</v>
      </c>
      <c r="C687" s="1" t="s">
        <v>1981</v>
      </c>
      <c r="D687" s="1" t="s">
        <v>1969</v>
      </c>
      <c r="E687" s="1" t="s">
        <v>51</v>
      </c>
    </row>
    <row r="688" spans="1:5" x14ac:dyDescent="0.25">
      <c r="A688" s="1" t="s">
        <v>1982</v>
      </c>
      <c r="B688" s="1" t="s">
        <v>1983</v>
      </c>
      <c r="C688" s="1" t="s">
        <v>1984</v>
      </c>
      <c r="D688" s="1" t="s">
        <v>1969</v>
      </c>
      <c r="E688" s="1" t="s">
        <v>33</v>
      </c>
    </row>
    <row r="689" spans="1:5" x14ac:dyDescent="0.25">
      <c r="A689" s="1" t="s">
        <v>1985</v>
      </c>
      <c r="B689" s="1" t="s">
        <v>1986</v>
      </c>
      <c r="C689" s="1" t="s">
        <v>1987</v>
      </c>
      <c r="D689" s="1" t="s">
        <v>1969</v>
      </c>
      <c r="E689" s="1" t="s">
        <v>50</v>
      </c>
    </row>
    <row r="690" spans="1:5" x14ac:dyDescent="0.25">
      <c r="A690" s="1" t="s">
        <v>1988</v>
      </c>
      <c r="B690" s="1" t="s">
        <v>1989</v>
      </c>
      <c r="C690" s="1" t="s">
        <v>1990</v>
      </c>
      <c r="D690" s="1" t="s">
        <v>1969</v>
      </c>
      <c r="E690" s="1" t="s">
        <v>58</v>
      </c>
    </row>
    <row r="691" spans="1:5" x14ac:dyDescent="0.25">
      <c r="A691" s="1" t="s">
        <v>1992</v>
      </c>
      <c r="B691" s="1" t="s">
        <v>1993</v>
      </c>
      <c r="C691" s="1" t="s">
        <v>1994</v>
      </c>
      <c r="D691" s="1" t="s">
        <v>1969</v>
      </c>
      <c r="E691" s="1" t="s">
        <v>65</v>
      </c>
    </row>
    <row r="692" spans="1:5" x14ac:dyDescent="0.25">
      <c r="A692" s="1" t="s">
        <v>1995</v>
      </c>
      <c r="B692" s="1" t="s">
        <v>1996</v>
      </c>
      <c r="C692" s="1" t="s">
        <v>1997</v>
      </c>
      <c r="D692" s="1" t="s">
        <v>1969</v>
      </c>
      <c r="E692" s="1" t="s">
        <v>68</v>
      </c>
    </row>
    <row r="693" spans="1:5" x14ac:dyDescent="0.25">
      <c r="A693" s="1" t="s">
        <v>1998</v>
      </c>
      <c r="B693" s="1" t="s">
        <v>1999</v>
      </c>
      <c r="C693" s="1" t="s">
        <v>2000</v>
      </c>
      <c r="D693" s="1" t="s">
        <v>1969</v>
      </c>
      <c r="E693" s="1" t="s">
        <v>1902</v>
      </c>
    </row>
    <row r="694" spans="1:5" x14ac:dyDescent="0.25">
      <c r="A694" s="1" t="s">
        <v>2001</v>
      </c>
      <c r="B694" s="1" t="s">
        <v>2002</v>
      </c>
      <c r="C694" s="1" t="s">
        <v>2003</v>
      </c>
      <c r="D694" s="1" t="s">
        <v>1969</v>
      </c>
      <c r="E694" s="1" t="s">
        <v>71</v>
      </c>
    </row>
    <row r="695" spans="1:5" x14ac:dyDescent="0.25">
      <c r="A695" s="1" t="s">
        <v>2004</v>
      </c>
      <c r="B695" s="1" t="s">
        <v>2005</v>
      </c>
      <c r="C695" s="1" t="s">
        <v>2006</v>
      </c>
      <c r="D695" s="1" t="s">
        <v>1969</v>
      </c>
      <c r="E695" s="1" t="s">
        <v>74</v>
      </c>
    </row>
    <row r="696" spans="1:5" x14ac:dyDescent="0.25">
      <c r="A696" s="1" t="s">
        <v>2007</v>
      </c>
      <c r="B696" s="1" t="s">
        <v>2008</v>
      </c>
      <c r="C696" s="1" t="s">
        <v>2009</v>
      </c>
      <c r="D696" s="1" t="s">
        <v>1969</v>
      </c>
      <c r="E696" s="1" t="s">
        <v>78</v>
      </c>
    </row>
    <row r="697" spans="1:5" x14ac:dyDescent="0.25">
      <c r="A697" s="1" t="s">
        <v>2010</v>
      </c>
      <c r="B697" s="1" t="s">
        <v>2011</v>
      </c>
      <c r="C697" s="1" t="s">
        <v>1031</v>
      </c>
      <c r="D697" s="1" t="s">
        <v>1969</v>
      </c>
      <c r="E697" s="1" t="s">
        <v>81</v>
      </c>
    </row>
    <row r="698" spans="1:5" x14ac:dyDescent="0.25">
      <c r="A698" s="1" t="s">
        <v>2012</v>
      </c>
      <c r="B698" s="1" t="s">
        <v>2013</v>
      </c>
      <c r="C698" s="1" t="s">
        <v>2014</v>
      </c>
      <c r="D698" s="1" t="s">
        <v>1969</v>
      </c>
      <c r="E698" s="1" t="s">
        <v>85</v>
      </c>
    </row>
    <row r="699" spans="1:5" x14ac:dyDescent="0.25">
      <c r="A699" s="1" t="s">
        <v>2015</v>
      </c>
      <c r="B699" s="1" t="s">
        <v>2016</v>
      </c>
      <c r="C699" s="1" t="s">
        <v>2017</v>
      </c>
      <c r="D699" s="1" t="s">
        <v>1969</v>
      </c>
      <c r="E699" s="1" t="s">
        <v>87</v>
      </c>
    </row>
    <row r="700" spans="1:5" x14ac:dyDescent="0.25">
      <c r="A700" s="1" t="s">
        <v>2018</v>
      </c>
      <c r="B700" s="1" t="s">
        <v>2019</v>
      </c>
      <c r="C700" s="1" t="s">
        <v>2020</v>
      </c>
      <c r="D700" s="1" t="s">
        <v>1969</v>
      </c>
      <c r="E700" s="1" t="s">
        <v>90</v>
      </c>
    </row>
    <row r="701" spans="1:5" x14ac:dyDescent="0.25">
      <c r="A701" s="1" t="s">
        <v>2021</v>
      </c>
      <c r="B701" s="1" t="s">
        <v>2022</v>
      </c>
      <c r="C701" s="1" t="s">
        <v>2023</v>
      </c>
      <c r="D701" s="1" t="s">
        <v>1969</v>
      </c>
      <c r="E701" s="1" t="s">
        <v>93</v>
      </c>
    </row>
    <row r="702" spans="1:5" x14ac:dyDescent="0.25">
      <c r="A702" s="1" t="s">
        <v>2024</v>
      </c>
      <c r="B702" s="1" t="s">
        <v>2025</v>
      </c>
      <c r="C702" s="1" t="s">
        <v>2026</v>
      </c>
      <c r="D702" s="1" t="s">
        <v>1969</v>
      </c>
      <c r="E702" s="1" t="s">
        <v>96</v>
      </c>
    </row>
    <row r="703" spans="1:5" x14ac:dyDescent="0.25">
      <c r="A703" s="1" t="s">
        <v>2027</v>
      </c>
      <c r="B703" s="1" t="s">
        <v>2028</v>
      </c>
      <c r="C703" s="1" t="s">
        <v>2029</v>
      </c>
      <c r="D703" s="1" t="s">
        <v>1969</v>
      </c>
      <c r="E703" s="1" t="s">
        <v>99</v>
      </c>
    </row>
    <row r="704" spans="1:5" x14ac:dyDescent="0.25">
      <c r="A704" s="1" t="s">
        <v>2030</v>
      </c>
      <c r="B704" s="1" t="s">
        <v>2031</v>
      </c>
      <c r="C704" s="1" t="s">
        <v>2032</v>
      </c>
      <c r="D704" s="1" t="s">
        <v>1969</v>
      </c>
      <c r="E704" s="1" t="s">
        <v>102</v>
      </c>
    </row>
    <row r="705" spans="1:5" x14ac:dyDescent="0.25">
      <c r="A705" s="1" t="s">
        <v>2033</v>
      </c>
      <c r="B705" s="1" t="s">
        <v>2034</v>
      </c>
      <c r="C705" s="1" t="s">
        <v>2035</v>
      </c>
      <c r="D705" s="1" t="s">
        <v>1969</v>
      </c>
      <c r="E705" s="1" t="s">
        <v>105</v>
      </c>
    </row>
    <row r="706" spans="1:5" x14ac:dyDescent="0.25">
      <c r="A706" s="1" t="s">
        <v>2036</v>
      </c>
      <c r="B706" s="1" t="s">
        <v>2037</v>
      </c>
      <c r="C706" s="1" t="s">
        <v>2038</v>
      </c>
      <c r="D706" s="1" t="s">
        <v>1969</v>
      </c>
      <c r="E706" s="1" t="s">
        <v>108</v>
      </c>
    </row>
    <row r="707" spans="1:5" x14ac:dyDescent="0.25">
      <c r="A707" s="1" t="s">
        <v>2039</v>
      </c>
      <c r="B707" s="1" t="s">
        <v>2040</v>
      </c>
      <c r="C707" s="1" t="s">
        <v>2041</v>
      </c>
      <c r="D707" s="1" t="s">
        <v>2042</v>
      </c>
      <c r="E707" s="1" t="s">
        <v>37</v>
      </c>
    </row>
    <row r="708" spans="1:5" x14ac:dyDescent="0.25">
      <c r="A708" s="1" t="s">
        <v>2043</v>
      </c>
      <c r="B708" s="1" t="s">
        <v>2044</v>
      </c>
      <c r="C708" s="1" t="s">
        <v>2045</v>
      </c>
      <c r="D708" s="1" t="s">
        <v>2042</v>
      </c>
      <c r="E708" s="1" t="s">
        <v>41</v>
      </c>
    </row>
    <row r="709" spans="1:5" x14ac:dyDescent="0.25">
      <c r="A709" s="1" t="s">
        <v>2046</v>
      </c>
      <c r="B709" s="1" t="s">
        <v>2047</v>
      </c>
      <c r="C709" s="1" t="s">
        <v>555</v>
      </c>
      <c r="D709" s="1" t="s">
        <v>2042</v>
      </c>
      <c r="E709" s="1" t="s">
        <v>45</v>
      </c>
    </row>
    <row r="710" spans="1:5" x14ac:dyDescent="0.25">
      <c r="A710" s="1" t="s">
        <v>2048</v>
      </c>
      <c r="B710" s="1" t="s">
        <v>2049</v>
      </c>
      <c r="C710" s="1" t="s">
        <v>2050</v>
      </c>
      <c r="D710" s="1" t="s">
        <v>2042</v>
      </c>
      <c r="E710" s="1" t="s">
        <v>17</v>
      </c>
    </row>
    <row r="711" spans="1:5" x14ac:dyDescent="0.25">
      <c r="A711" s="1" t="s">
        <v>2051</v>
      </c>
      <c r="B711" s="1" t="s">
        <v>2052</v>
      </c>
      <c r="C711" s="1" t="s">
        <v>2053</v>
      </c>
      <c r="D711" s="1" t="s">
        <v>2042</v>
      </c>
      <c r="E711" s="1" t="s">
        <v>51</v>
      </c>
    </row>
    <row r="712" spans="1:5" x14ac:dyDescent="0.25">
      <c r="A712" s="1" t="s">
        <v>2054</v>
      </c>
      <c r="B712" s="1" t="s">
        <v>2055</v>
      </c>
      <c r="C712" s="1" t="s">
        <v>2056</v>
      </c>
      <c r="D712" s="1" t="s">
        <v>2042</v>
      </c>
      <c r="E712" s="1" t="s">
        <v>33</v>
      </c>
    </row>
    <row r="713" spans="1:5" x14ac:dyDescent="0.25">
      <c r="A713" s="1" t="s">
        <v>2057</v>
      </c>
      <c r="B713" s="1" t="s">
        <v>2058</v>
      </c>
      <c r="C713" s="1" t="s">
        <v>2059</v>
      </c>
      <c r="D713" s="1" t="s">
        <v>2042</v>
      </c>
      <c r="E713" s="1" t="s">
        <v>50</v>
      </c>
    </row>
    <row r="714" spans="1:5" x14ac:dyDescent="0.25">
      <c r="A714" s="1" t="s">
        <v>2060</v>
      </c>
      <c r="B714" s="1" t="s">
        <v>2061</v>
      </c>
      <c r="C714" s="1" t="s">
        <v>2062</v>
      </c>
      <c r="D714" s="1" t="s">
        <v>2042</v>
      </c>
      <c r="E714" s="1" t="s">
        <v>58</v>
      </c>
    </row>
    <row r="715" spans="1:5" x14ac:dyDescent="0.25">
      <c r="A715" s="1" t="s">
        <v>2063</v>
      </c>
      <c r="B715" s="1" t="s">
        <v>2064</v>
      </c>
      <c r="C715" s="1" t="s">
        <v>2065</v>
      </c>
      <c r="D715" s="1" t="s">
        <v>2042</v>
      </c>
      <c r="E715" s="1" t="s">
        <v>65</v>
      </c>
    </row>
    <row r="716" spans="1:5" x14ac:dyDescent="0.25">
      <c r="A716" s="1" t="s">
        <v>2066</v>
      </c>
      <c r="B716" s="1" t="s">
        <v>2067</v>
      </c>
      <c r="C716" s="1" t="s">
        <v>2068</v>
      </c>
      <c r="D716" s="1" t="s">
        <v>2042</v>
      </c>
      <c r="E716" s="1" t="s">
        <v>68</v>
      </c>
    </row>
    <row r="717" spans="1:5" x14ac:dyDescent="0.25">
      <c r="A717" s="1" t="s">
        <v>2069</v>
      </c>
      <c r="B717" s="1" t="s">
        <v>2070</v>
      </c>
      <c r="C717" s="1" t="s">
        <v>2071</v>
      </c>
      <c r="D717" s="1" t="s">
        <v>2042</v>
      </c>
      <c r="E717" s="1" t="s">
        <v>1902</v>
      </c>
    </row>
    <row r="718" spans="1:5" x14ac:dyDescent="0.25">
      <c r="A718" s="1" t="s">
        <v>2072</v>
      </c>
      <c r="B718" s="1" t="s">
        <v>2073</v>
      </c>
      <c r="C718" s="1" t="s">
        <v>1012</v>
      </c>
      <c r="D718" s="1" t="s">
        <v>2042</v>
      </c>
      <c r="E718" s="1" t="s">
        <v>71</v>
      </c>
    </row>
    <row r="719" spans="1:5" x14ac:dyDescent="0.25">
      <c r="A719" s="1" t="s">
        <v>2074</v>
      </c>
      <c r="B719" s="1" t="s">
        <v>2075</v>
      </c>
      <c r="C719" s="1" t="s">
        <v>2076</v>
      </c>
      <c r="D719" s="1" t="s">
        <v>2042</v>
      </c>
      <c r="E719" s="1" t="s">
        <v>74</v>
      </c>
    </row>
    <row r="720" spans="1:5" x14ac:dyDescent="0.25">
      <c r="A720" s="1" t="s">
        <v>2077</v>
      </c>
      <c r="B720" s="1" t="s">
        <v>2078</v>
      </c>
      <c r="C720" s="1" t="s">
        <v>2079</v>
      </c>
      <c r="D720" s="1" t="s">
        <v>2042</v>
      </c>
      <c r="E720" s="1" t="s">
        <v>78</v>
      </c>
    </row>
    <row r="721" spans="1:5" x14ac:dyDescent="0.25">
      <c r="A721" s="1" t="s">
        <v>1969</v>
      </c>
      <c r="B721" s="1" t="s">
        <v>2080</v>
      </c>
      <c r="C721" s="1" t="s">
        <v>2081</v>
      </c>
      <c r="D721" s="1" t="s">
        <v>2042</v>
      </c>
      <c r="E721" s="1" t="s">
        <v>81</v>
      </c>
    </row>
    <row r="722" spans="1:5" x14ac:dyDescent="0.25">
      <c r="A722" s="1" t="s">
        <v>2082</v>
      </c>
      <c r="B722" s="1" t="s">
        <v>2083</v>
      </c>
      <c r="C722" s="1" t="s">
        <v>2084</v>
      </c>
      <c r="D722" s="1" t="s">
        <v>2042</v>
      </c>
      <c r="E722" s="1" t="s">
        <v>85</v>
      </c>
    </row>
    <row r="723" spans="1:5" x14ac:dyDescent="0.25">
      <c r="A723" s="1" t="s">
        <v>2085</v>
      </c>
      <c r="B723" s="1" t="s">
        <v>2086</v>
      </c>
      <c r="C723" s="1" t="s">
        <v>2087</v>
      </c>
      <c r="D723" s="1" t="s">
        <v>2042</v>
      </c>
      <c r="E723" s="1" t="s">
        <v>87</v>
      </c>
    </row>
    <row r="724" spans="1:5" x14ac:dyDescent="0.25">
      <c r="A724" s="1" t="s">
        <v>2088</v>
      </c>
      <c r="B724" s="1" t="s">
        <v>2089</v>
      </c>
      <c r="C724" s="1" t="s">
        <v>2090</v>
      </c>
      <c r="D724" s="1" t="s">
        <v>2042</v>
      </c>
      <c r="E724" s="1" t="s">
        <v>90</v>
      </c>
    </row>
    <row r="725" spans="1:5" x14ac:dyDescent="0.25">
      <c r="A725" s="1" t="s">
        <v>2091</v>
      </c>
      <c r="B725" s="1" t="s">
        <v>2092</v>
      </c>
      <c r="C725" s="1" t="s">
        <v>2093</v>
      </c>
      <c r="D725" s="1" t="s">
        <v>2042</v>
      </c>
      <c r="E725" s="1" t="s">
        <v>93</v>
      </c>
    </row>
    <row r="726" spans="1:5" x14ac:dyDescent="0.25">
      <c r="A726" s="1" t="s">
        <v>2094</v>
      </c>
      <c r="B726" s="1" t="s">
        <v>2095</v>
      </c>
      <c r="C726" s="1" t="s">
        <v>2096</v>
      </c>
      <c r="D726" s="1" t="s">
        <v>2042</v>
      </c>
      <c r="E726" s="1" t="s">
        <v>96</v>
      </c>
    </row>
    <row r="727" spans="1:5" x14ac:dyDescent="0.25">
      <c r="A727" s="1" t="s">
        <v>2097</v>
      </c>
      <c r="B727" s="1" t="s">
        <v>2098</v>
      </c>
      <c r="C727" s="1" t="s">
        <v>2099</v>
      </c>
      <c r="D727" s="1" t="s">
        <v>2042</v>
      </c>
      <c r="E727" s="1" t="s">
        <v>99</v>
      </c>
    </row>
    <row r="728" spans="1:5" x14ac:dyDescent="0.25">
      <c r="A728" s="1" t="s">
        <v>2100</v>
      </c>
      <c r="B728" s="1" t="s">
        <v>2101</v>
      </c>
      <c r="C728" s="1" t="s">
        <v>2102</v>
      </c>
      <c r="D728" s="1" t="s">
        <v>2042</v>
      </c>
      <c r="E728" s="1" t="s">
        <v>102</v>
      </c>
    </row>
    <row r="729" spans="1:5" x14ac:dyDescent="0.25">
      <c r="A729" s="1" t="s">
        <v>2103</v>
      </c>
      <c r="B729" s="1" t="s">
        <v>2104</v>
      </c>
      <c r="C729" s="1" t="s">
        <v>2105</v>
      </c>
      <c r="D729" s="1" t="s">
        <v>2042</v>
      </c>
      <c r="E729" s="1" t="s">
        <v>105</v>
      </c>
    </row>
    <row r="730" spans="1:5" x14ac:dyDescent="0.25">
      <c r="A730" s="1" t="s">
        <v>2106</v>
      </c>
      <c r="B730" s="1" t="s">
        <v>2107</v>
      </c>
      <c r="C730" s="1" t="s">
        <v>2108</v>
      </c>
      <c r="D730" s="1" t="s">
        <v>2042</v>
      </c>
      <c r="E730" s="1" t="s">
        <v>108</v>
      </c>
    </row>
    <row r="731" spans="1:5" x14ac:dyDescent="0.25">
      <c r="A731" s="1" t="s">
        <v>2109</v>
      </c>
      <c r="B731" s="1" t="s">
        <v>2110</v>
      </c>
      <c r="C731" s="1" t="s">
        <v>2111</v>
      </c>
      <c r="D731" s="1" t="s">
        <v>2112</v>
      </c>
      <c r="E731" s="1" t="s">
        <v>37</v>
      </c>
    </row>
    <row r="732" spans="1:5" x14ac:dyDescent="0.25">
      <c r="A732" s="1" t="s">
        <v>2113</v>
      </c>
      <c r="B732" s="1" t="s">
        <v>2114</v>
      </c>
      <c r="C732" s="1" t="s">
        <v>2115</v>
      </c>
      <c r="D732" s="1" t="s">
        <v>2112</v>
      </c>
      <c r="E732" s="1" t="s">
        <v>41</v>
      </c>
    </row>
    <row r="733" spans="1:5" x14ac:dyDescent="0.25">
      <c r="A733" s="1" t="s">
        <v>2116</v>
      </c>
      <c r="B733" s="1" t="s">
        <v>2117</v>
      </c>
      <c r="C733" s="1" t="s">
        <v>2118</v>
      </c>
      <c r="D733" s="1" t="s">
        <v>2112</v>
      </c>
      <c r="E733" s="1" t="s">
        <v>45</v>
      </c>
    </row>
    <row r="734" spans="1:5" x14ac:dyDescent="0.25">
      <c r="A734" s="1" t="s">
        <v>2119</v>
      </c>
      <c r="B734" s="1" t="s">
        <v>2120</v>
      </c>
      <c r="C734" s="1" t="s">
        <v>2121</v>
      </c>
      <c r="D734" s="1" t="s">
        <v>2112</v>
      </c>
      <c r="E734" s="1" t="s">
        <v>17</v>
      </c>
    </row>
    <row r="735" spans="1:5" x14ac:dyDescent="0.25">
      <c r="A735" s="1" t="s">
        <v>2122</v>
      </c>
      <c r="B735" s="1" t="s">
        <v>2123</v>
      </c>
      <c r="C735" s="1" t="s">
        <v>2124</v>
      </c>
      <c r="D735" s="1" t="s">
        <v>2112</v>
      </c>
      <c r="E735" s="1" t="s">
        <v>51</v>
      </c>
    </row>
    <row r="736" spans="1:5" x14ac:dyDescent="0.25">
      <c r="A736" s="1" t="s">
        <v>2125</v>
      </c>
      <c r="B736" s="1" t="s">
        <v>2126</v>
      </c>
      <c r="C736" s="1" t="s">
        <v>2127</v>
      </c>
      <c r="D736" s="1" t="s">
        <v>2112</v>
      </c>
      <c r="E736" s="1" t="s">
        <v>33</v>
      </c>
    </row>
    <row r="737" spans="1:5" x14ac:dyDescent="0.25">
      <c r="A737" s="1" t="s">
        <v>2128</v>
      </c>
      <c r="B737" s="1" t="s">
        <v>2129</v>
      </c>
      <c r="C737" s="1" t="s">
        <v>2130</v>
      </c>
      <c r="D737" s="1" t="s">
        <v>2112</v>
      </c>
      <c r="E737" s="1" t="s">
        <v>50</v>
      </c>
    </row>
    <row r="738" spans="1:5" x14ac:dyDescent="0.25">
      <c r="A738" s="1" t="s">
        <v>2131</v>
      </c>
      <c r="B738" s="1" t="s">
        <v>2132</v>
      </c>
      <c r="C738" s="1" t="s">
        <v>2133</v>
      </c>
      <c r="D738" s="1" t="s">
        <v>2112</v>
      </c>
      <c r="E738" s="1" t="s">
        <v>58</v>
      </c>
    </row>
    <row r="739" spans="1:5" x14ac:dyDescent="0.25">
      <c r="A739" s="1" t="s">
        <v>2134</v>
      </c>
      <c r="B739" s="1" t="s">
        <v>2135</v>
      </c>
      <c r="C739" s="1" t="s">
        <v>2136</v>
      </c>
      <c r="D739" s="1" t="s">
        <v>2112</v>
      </c>
      <c r="E739" s="1" t="s">
        <v>65</v>
      </c>
    </row>
    <row r="740" spans="1:5" x14ac:dyDescent="0.25">
      <c r="A740" s="1" t="s">
        <v>2137</v>
      </c>
      <c r="B740" s="1" t="s">
        <v>2138</v>
      </c>
      <c r="C740" s="1" t="s">
        <v>2139</v>
      </c>
      <c r="D740" s="1" t="s">
        <v>2112</v>
      </c>
      <c r="E740" s="1" t="s">
        <v>68</v>
      </c>
    </row>
    <row r="741" spans="1:5" x14ac:dyDescent="0.25">
      <c r="A741" s="1" t="s">
        <v>2140</v>
      </c>
      <c r="B741" s="1" t="s">
        <v>2141</v>
      </c>
      <c r="C741" s="1" t="s">
        <v>2142</v>
      </c>
      <c r="D741" s="1" t="s">
        <v>2112</v>
      </c>
      <c r="E741" s="1" t="s">
        <v>1902</v>
      </c>
    </row>
    <row r="742" spans="1:5" x14ac:dyDescent="0.25">
      <c r="A742" s="1" t="s">
        <v>2143</v>
      </c>
      <c r="B742" s="1" t="s">
        <v>2144</v>
      </c>
      <c r="C742" s="1" t="s">
        <v>2145</v>
      </c>
      <c r="D742" s="1" t="s">
        <v>2112</v>
      </c>
      <c r="E742" s="1" t="s">
        <v>71</v>
      </c>
    </row>
    <row r="743" spans="1:5" x14ac:dyDescent="0.25">
      <c r="A743" s="1" t="s">
        <v>2146</v>
      </c>
      <c r="B743" s="1" t="s">
        <v>2147</v>
      </c>
      <c r="C743" s="1" t="s">
        <v>2148</v>
      </c>
      <c r="D743" s="1" t="s">
        <v>2112</v>
      </c>
      <c r="E743" s="1" t="s">
        <v>74</v>
      </c>
    </row>
    <row r="744" spans="1:5" x14ac:dyDescent="0.25">
      <c r="A744" s="1" t="s">
        <v>2149</v>
      </c>
      <c r="B744" s="1" t="s">
        <v>2150</v>
      </c>
      <c r="C744" s="1" t="s">
        <v>2151</v>
      </c>
      <c r="D744" s="1" t="s">
        <v>2112</v>
      </c>
      <c r="E744" s="1" t="s">
        <v>78</v>
      </c>
    </row>
    <row r="745" spans="1:5" x14ac:dyDescent="0.25">
      <c r="A745" s="1" t="s">
        <v>2152</v>
      </c>
      <c r="B745" s="1" t="s">
        <v>2153</v>
      </c>
      <c r="C745" s="1" t="s">
        <v>2154</v>
      </c>
      <c r="D745" s="1" t="s">
        <v>2155</v>
      </c>
      <c r="E745" s="1" t="s">
        <v>41</v>
      </c>
    </row>
    <row r="746" spans="1:5" x14ac:dyDescent="0.25">
      <c r="A746" s="1" t="s">
        <v>2156</v>
      </c>
      <c r="B746" s="1" t="s">
        <v>2157</v>
      </c>
      <c r="C746" s="1" t="s">
        <v>2158</v>
      </c>
      <c r="D746" s="1" t="s">
        <v>2155</v>
      </c>
      <c r="E746" s="1" t="s">
        <v>45</v>
      </c>
    </row>
    <row r="747" spans="1:5" x14ac:dyDescent="0.25">
      <c r="A747" s="1" t="s">
        <v>2159</v>
      </c>
      <c r="B747" s="1" t="s">
        <v>2160</v>
      </c>
      <c r="C747" s="1" t="s">
        <v>2161</v>
      </c>
      <c r="D747" s="1" t="s">
        <v>2155</v>
      </c>
      <c r="E747" s="1" t="s">
        <v>17</v>
      </c>
    </row>
    <row r="748" spans="1:5" x14ac:dyDescent="0.25">
      <c r="A748" s="1" t="s">
        <v>2162</v>
      </c>
      <c r="B748" s="1" t="s">
        <v>2163</v>
      </c>
      <c r="C748" s="1" t="s">
        <v>2164</v>
      </c>
      <c r="D748" s="1" t="s">
        <v>2155</v>
      </c>
      <c r="E748" s="1" t="s">
        <v>51</v>
      </c>
    </row>
    <row r="749" spans="1:5" x14ac:dyDescent="0.25">
      <c r="A749" s="1" t="s">
        <v>2165</v>
      </c>
      <c r="B749" s="1" t="s">
        <v>2166</v>
      </c>
      <c r="C749" s="1" t="s">
        <v>2167</v>
      </c>
      <c r="D749" s="1" t="s">
        <v>2155</v>
      </c>
      <c r="E749" s="1" t="s">
        <v>33</v>
      </c>
    </row>
    <row r="750" spans="1:5" x14ac:dyDescent="0.25">
      <c r="A750" s="1" t="s">
        <v>2168</v>
      </c>
      <c r="B750" s="1" t="s">
        <v>2169</v>
      </c>
      <c r="C750" s="1" t="s">
        <v>1991</v>
      </c>
      <c r="D750" s="1" t="s">
        <v>2155</v>
      </c>
      <c r="E750" s="1" t="s">
        <v>50</v>
      </c>
    </row>
    <row r="751" spans="1:5" x14ac:dyDescent="0.25">
      <c r="A751" s="1" t="s">
        <v>2170</v>
      </c>
      <c r="B751" s="1" t="s">
        <v>2171</v>
      </c>
      <c r="C751" s="1" t="s">
        <v>2172</v>
      </c>
      <c r="D751" s="1" t="s">
        <v>2155</v>
      </c>
      <c r="E751" s="1" t="s">
        <v>58</v>
      </c>
    </row>
    <row r="752" spans="1:5" x14ac:dyDescent="0.25">
      <c r="A752" s="1" t="s">
        <v>2173</v>
      </c>
      <c r="B752" s="1" t="s">
        <v>2174</v>
      </c>
      <c r="C752" s="1" t="s">
        <v>2175</v>
      </c>
      <c r="D752" s="1" t="s">
        <v>2155</v>
      </c>
      <c r="E752" s="1" t="s">
        <v>65</v>
      </c>
    </row>
    <row r="753" spans="1:5" x14ac:dyDescent="0.25">
      <c r="A753" s="1" t="s">
        <v>2176</v>
      </c>
      <c r="B753" s="1" t="s">
        <v>2177</v>
      </c>
      <c r="C753" s="1" t="s">
        <v>2178</v>
      </c>
      <c r="D753" s="1" t="s">
        <v>2155</v>
      </c>
      <c r="E753" s="1" t="s">
        <v>68</v>
      </c>
    </row>
    <row r="754" spans="1:5" x14ac:dyDescent="0.25">
      <c r="A754" s="1" t="s">
        <v>2179</v>
      </c>
      <c r="B754" s="1" t="s">
        <v>2180</v>
      </c>
      <c r="C754" s="1" t="s">
        <v>2181</v>
      </c>
      <c r="D754" s="1" t="s">
        <v>2155</v>
      </c>
      <c r="E754" s="1" t="s">
        <v>1902</v>
      </c>
    </row>
    <row r="755" spans="1:5" x14ac:dyDescent="0.25">
      <c r="A755" s="1" t="s">
        <v>2182</v>
      </c>
      <c r="B755" s="1" t="s">
        <v>2183</v>
      </c>
      <c r="C755" s="1" t="s">
        <v>2184</v>
      </c>
      <c r="D755" s="1" t="s">
        <v>2155</v>
      </c>
      <c r="E755" s="1" t="s">
        <v>71</v>
      </c>
    </row>
    <row r="756" spans="1:5" x14ac:dyDescent="0.25">
      <c r="A756" s="1" t="s">
        <v>2185</v>
      </c>
      <c r="B756" s="1" t="s">
        <v>2186</v>
      </c>
      <c r="C756" s="1" t="s">
        <v>2187</v>
      </c>
      <c r="D756" s="1" t="s">
        <v>2155</v>
      </c>
      <c r="E756" s="1" t="s">
        <v>74</v>
      </c>
    </row>
    <row r="757" spans="1:5" x14ac:dyDescent="0.25">
      <c r="A757" s="1" t="s">
        <v>2188</v>
      </c>
      <c r="B757" s="1" t="s">
        <v>2189</v>
      </c>
      <c r="C757" s="1" t="s">
        <v>2190</v>
      </c>
      <c r="D757" s="1" t="s">
        <v>2155</v>
      </c>
      <c r="E757" s="1" t="s">
        <v>78</v>
      </c>
    </row>
    <row r="758" spans="1:5" x14ac:dyDescent="0.25">
      <c r="A758" s="1" t="s">
        <v>2191</v>
      </c>
      <c r="B758" s="1" t="s">
        <v>2192</v>
      </c>
      <c r="C758" s="1" t="s">
        <v>2193</v>
      </c>
      <c r="D758" s="1" t="s">
        <v>2155</v>
      </c>
      <c r="E758" s="1" t="s">
        <v>81</v>
      </c>
    </row>
    <row r="759" spans="1:5" x14ac:dyDescent="0.25">
      <c r="A759" s="1" t="s">
        <v>2194</v>
      </c>
      <c r="B759" s="1" t="s">
        <v>2195</v>
      </c>
      <c r="C759" s="1" t="s">
        <v>2196</v>
      </c>
      <c r="D759" s="1" t="s">
        <v>2155</v>
      </c>
      <c r="E759" s="1" t="s">
        <v>85</v>
      </c>
    </row>
    <row r="760" spans="1:5" x14ac:dyDescent="0.25">
      <c r="A760" s="1" t="s">
        <v>2197</v>
      </c>
      <c r="B760" s="1" t="s">
        <v>2198</v>
      </c>
      <c r="C760" s="1" t="s">
        <v>2199</v>
      </c>
      <c r="D760" s="1" t="s">
        <v>2155</v>
      </c>
      <c r="E760" s="1" t="s">
        <v>87</v>
      </c>
    </row>
    <row r="761" spans="1:5" x14ac:dyDescent="0.25">
      <c r="A761" s="1" t="s">
        <v>2200</v>
      </c>
      <c r="B761" s="1" t="s">
        <v>2201</v>
      </c>
      <c r="C761" s="1" t="s">
        <v>2202</v>
      </c>
      <c r="D761" s="1" t="s">
        <v>2155</v>
      </c>
      <c r="E761" s="1" t="s">
        <v>90</v>
      </c>
    </row>
    <row r="762" spans="1:5" x14ac:dyDescent="0.25">
      <c r="A762" s="1" t="s">
        <v>2203</v>
      </c>
      <c r="B762" s="1" t="s">
        <v>2204</v>
      </c>
      <c r="C762" s="1" t="s">
        <v>2205</v>
      </c>
      <c r="D762" s="1" t="s">
        <v>2155</v>
      </c>
      <c r="E762" s="1" t="s">
        <v>93</v>
      </c>
    </row>
    <row r="763" spans="1:5" x14ac:dyDescent="0.25">
      <c r="A763" s="1" t="s">
        <v>2206</v>
      </c>
      <c r="B763" s="1" t="s">
        <v>2207</v>
      </c>
      <c r="C763" s="1" t="s">
        <v>2208</v>
      </c>
      <c r="D763" s="1" t="s">
        <v>2155</v>
      </c>
      <c r="E763" s="1" t="s">
        <v>96</v>
      </c>
    </row>
    <row r="764" spans="1:5" x14ac:dyDescent="0.25">
      <c r="A764" s="1" t="s">
        <v>2209</v>
      </c>
      <c r="B764" s="1" t="s">
        <v>2210</v>
      </c>
      <c r="C764" s="1" t="s">
        <v>2211</v>
      </c>
      <c r="D764" s="1" t="s">
        <v>2155</v>
      </c>
      <c r="E764" s="1" t="s">
        <v>99</v>
      </c>
    </row>
    <row r="765" spans="1:5" x14ac:dyDescent="0.25">
      <c r="A765" s="1" t="s">
        <v>2212</v>
      </c>
      <c r="B765" s="1" t="s">
        <v>2213</v>
      </c>
      <c r="C765" s="1" t="s">
        <v>2214</v>
      </c>
      <c r="D765" s="1" t="s">
        <v>2155</v>
      </c>
      <c r="E765" s="1" t="s">
        <v>102</v>
      </c>
    </row>
    <row r="766" spans="1:5" x14ac:dyDescent="0.25">
      <c r="A766" s="1" t="s">
        <v>2215</v>
      </c>
      <c r="B766" s="1" t="s">
        <v>2216</v>
      </c>
      <c r="C766" s="1" t="s">
        <v>2217</v>
      </c>
      <c r="D766" s="1" t="s">
        <v>2155</v>
      </c>
      <c r="E766" s="1" t="s">
        <v>105</v>
      </c>
    </row>
    <row r="767" spans="1:5" x14ac:dyDescent="0.25">
      <c r="A767" s="1" t="s">
        <v>2218</v>
      </c>
      <c r="B767" s="1" t="s">
        <v>2219</v>
      </c>
      <c r="C767" s="1" t="s">
        <v>2220</v>
      </c>
      <c r="D767" s="1" t="s">
        <v>2155</v>
      </c>
      <c r="E767" s="1" t="s">
        <v>108</v>
      </c>
    </row>
    <row r="768" spans="1:5" x14ac:dyDescent="0.25">
      <c r="A768" s="1" t="s">
        <v>2221</v>
      </c>
      <c r="B768" s="1" t="s">
        <v>2222</v>
      </c>
      <c r="C768" s="1" t="s">
        <v>2223</v>
      </c>
      <c r="D768" s="1" t="s">
        <v>2155</v>
      </c>
      <c r="E768" s="1" t="s">
        <v>111</v>
      </c>
    </row>
    <row r="769" spans="1:5" x14ac:dyDescent="0.25">
      <c r="A769" s="1" t="s">
        <v>2224</v>
      </c>
      <c r="B769" s="1" t="s">
        <v>2225</v>
      </c>
      <c r="C769" s="1" t="s">
        <v>2226</v>
      </c>
      <c r="D769" s="1" t="s">
        <v>2155</v>
      </c>
      <c r="E769" s="1" t="s">
        <v>114</v>
      </c>
    </row>
    <row r="770" spans="1:5" x14ac:dyDescent="0.25">
      <c r="A770" s="1" t="s">
        <v>2227</v>
      </c>
      <c r="B770" s="1" t="s">
        <v>2228</v>
      </c>
      <c r="C770" s="1" t="s">
        <v>2229</v>
      </c>
      <c r="D770" s="1" t="s">
        <v>2230</v>
      </c>
      <c r="E770" s="1" t="s">
        <v>41</v>
      </c>
    </row>
    <row r="771" spans="1:5" x14ac:dyDescent="0.25">
      <c r="A771" s="1" t="s">
        <v>2231</v>
      </c>
      <c r="B771" s="1" t="s">
        <v>2232</v>
      </c>
      <c r="C771" s="1" t="s">
        <v>2124</v>
      </c>
      <c r="D771" s="1" t="s">
        <v>2230</v>
      </c>
      <c r="E771" s="1" t="s">
        <v>45</v>
      </c>
    </row>
    <row r="772" spans="1:5" x14ac:dyDescent="0.25">
      <c r="A772" s="1" t="s">
        <v>2233</v>
      </c>
      <c r="B772" s="1" t="s">
        <v>2234</v>
      </c>
      <c r="C772" s="1" t="s">
        <v>2235</v>
      </c>
      <c r="D772" s="1" t="s">
        <v>2230</v>
      </c>
      <c r="E772" s="1" t="s">
        <v>17</v>
      </c>
    </row>
    <row r="773" spans="1:5" x14ac:dyDescent="0.25">
      <c r="A773" s="1" t="s">
        <v>2236</v>
      </c>
      <c r="B773" s="1" t="s">
        <v>2237</v>
      </c>
      <c r="C773" s="1" t="s">
        <v>2238</v>
      </c>
      <c r="D773" s="1" t="s">
        <v>2230</v>
      </c>
      <c r="E773" s="1" t="s">
        <v>51</v>
      </c>
    </row>
    <row r="774" spans="1:5" x14ac:dyDescent="0.25">
      <c r="A774" s="1" t="s">
        <v>2239</v>
      </c>
      <c r="B774" s="1" t="s">
        <v>2240</v>
      </c>
      <c r="C774" s="1" t="s">
        <v>2241</v>
      </c>
      <c r="D774" s="1" t="s">
        <v>2230</v>
      </c>
      <c r="E774" s="1" t="s">
        <v>33</v>
      </c>
    </row>
    <row r="775" spans="1:5" x14ac:dyDescent="0.25">
      <c r="A775" s="1" t="s">
        <v>2242</v>
      </c>
      <c r="B775" s="1" t="s">
        <v>2243</v>
      </c>
      <c r="C775" s="1" t="s">
        <v>2244</v>
      </c>
      <c r="D775" s="1" t="s">
        <v>2230</v>
      </c>
      <c r="E775" s="1" t="s">
        <v>50</v>
      </c>
    </row>
    <row r="776" spans="1:5" x14ac:dyDescent="0.25">
      <c r="A776" s="1" t="s">
        <v>2245</v>
      </c>
      <c r="B776" s="1" t="s">
        <v>2246</v>
      </c>
      <c r="C776" s="1" t="s">
        <v>2247</v>
      </c>
      <c r="D776" s="1" t="s">
        <v>2230</v>
      </c>
      <c r="E776" s="1" t="s">
        <v>58</v>
      </c>
    </row>
    <row r="777" spans="1:5" x14ac:dyDescent="0.25">
      <c r="A777" s="1" t="s">
        <v>2248</v>
      </c>
      <c r="B777" s="1" t="s">
        <v>2249</v>
      </c>
      <c r="C777" s="1" t="s">
        <v>2250</v>
      </c>
      <c r="D777" s="1" t="s">
        <v>2230</v>
      </c>
      <c r="E777" s="1" t="s">
        <v>65</v>
      </c>
    </row>
    <row r="778" spans="1:5" x14ac:dyDescent="0.25">
      <c r="A778" s="1" t="s">
        <v>2251</v>
      </c>
      <c r="B778" s="1" t="s">
        <v>2252</v>
      </c>
      <c r="C778" s="1" t="s">
        <v>2253</v>
      </c>
      <c r="D778" s="1" t="s">
        <v>2230</v>
      </c>
      <c r="E778" s="1" t="s">
        <v>68</v>
      </c>
    </row>
    <row r="779" spans="1:5" x14ac:dyDescent="0.25">
      <c r="A779" s="1" t="s">
        <v>2254</v>
      </c>
      <c r="B779" s="1" t="s">
        <v>2255</v>
      </c>
      <c r="C779" s="1" t="s">
        <v>2256</v>
      </c>
      <c r="D779" s="1" t="s">
        <v>2230</v>
      </c>
      <c r="E779" s="1" t="s">
        <v>1902</v>
      </c>
    </row>
    <row r="780" spans="1:5" x14ac:dyDescent="0.25">
      <c r="A780" s="1" t="s">
        <v>2257</v>
      </c>
      <c r="B780" s="1" t="s">
        <v>2258</v>
      </c>
      <c r="C780" s="1" t="s">
        <v>2259</v>
      </c>
      <c r="D780" s="1" t="s">
        <v>2230</v>
      </c>
      <c r="E780" s="1" t="s">
        <v>71</v>
      </c>
    </row>
    <row r="781" spans="1:5" x14ac:dyDescent="0.25">
      <c r="A781" s="1" t="s">
        <v>2260</v>
      </c>
      <c r="B781" s="1" t="s">
        <v>2261</v>
      </c>
      <c r="C781" s="1" t="s">
        <v>2262</v>
      </c>
      <c r="D781" s="1" t="s">
        <v>2230</v>
      </c>
      <c r="E781" s="1" t="s">
        <v>74</v>
      </c>
    </row>
    <row r="782" spans="1:5" x14ac:dyDescent="0.25">
      <c r="A782" s="1" t="s">
        <v>2263</v>
      </c>
      <c r="B782" s="1" t="s">
        <v>2264</v>
      </c>
      <c r="C782" s="1" t="s">
        <v>2265</v>
      </c>
      <c r="D782" s="1" t="s">
        <v>2230</v>
      </c>
      <c r="E782" s="1" t="s">
        <v>78</v>
      </c>
    </row>
    <row r="783" spans="1:5" x14ac:dyDescent="0.25">
      <c r="A783" s="1" t="s">
        <v>2266</v>
      </c>
      <c r="B783" s="1" t="s">
        <v>2267</v>
      </c>
      <c r="C783" s="1" t="s">
        <v>2268</v>
      </c>
      <c r="D783" s="1" t="s">
        <v>2269</v>
      </c>
      <c r="E783" s="1" t="s">
        <v>45</v>
      </c>
    </row>
    <row r="784" spans="1:5" x14ac:dyDescent="0.25">
      <c r="A784" s="1" t="s">
        <v>2270</v>
      </c>
      <c r="B784" s="1" t="s">
        <v>2271</v>
      </c>
      <c r="C784" s="1" t="s">
        <v>2272</v>
      </c>
      <c r="D784" s="1" t="s">
        <v>2269</v>
      </c>
      <c r="E784" s="1" t="s">
        <v>17</v>
      </c>
    </row>
    <row r="785" spans="1:5" x14ac:dyDescent="0.25">
      <c r="A785" s="1" t="s">
        <v>2273</v>
      </c>
      <c r="B785" s="1" t="s">
        <v>2274</v>
      </c>
      <c r="C785" s="1" t="s">
        <v>2275</v>
      </c>
      <c r="D785" s="1" t="s">
        <v>2269</v>
      </c>
      <c r="E785" s="1" t="s">
        <v>51</v>
      </c>
    </row>
    <row r="786" spans="1:5" x14ac:dyDescent="0.25">
      <c r="A786" s="1" t="s">
        <v>2276</v>
      </c>
      <c r="B786" s="1" t="s">
        <v>2277</v>
      </c>
      <c r="C786" s="1" t="s">
        <v>2278</v>
      </c>
      <c r="D786" s="1" t="s">
        <v>2269</v>
      </c>
      <c r="E786" s="1" t="s">
        <v>33</v>
      </c>
    </row>
    <row r="787" spans="1:5" x14ac:dyDescent="0.25">
      <c r="A787" s="1" t="s">
        <v>2279</v>
      </c>
      <c r="B787" s="1" t="s">
        <v>2280</v>
      </c>
      <c r="C787" s="1" t="s">
        <v>2281</v>
      </c>
      <c r="D787" s="1" t="s">
        <v>2269</v>
      </c>
      <c r="E787" s="1" t="s">
        <v>50</v>
      </c>
    </row>
    <row r="788" spans="1:5" x14ac:dyDescent="0.25">
      <c r="A788" s="1" t="s">
        <v>2282</v>
      </c>
      <c r="B788" s="1" t="s">
        <v>2283</v>
      </c>
      <c r="C788" s="1" t="s">
        <v>2284</v>
      </c>
      <c r="D788" s="1" t="s">
        <v>2269</v>
      </c>
      <c r="E788" s="1" t="s">
        <v>58</v>
      </c>
    </row>
    <row r="789" spans="1:5" x14ac:dyDescent="0.25">
      <c r="A789" s="1" t="s">
        <v>2285</v>
      </c>
      <c r="B789" s="1" t="s">
        <v>2286</v>
      </c>
      <c r="C789" s="1" t="s">
        <v>2287</v>
      </c>
      <c r="D789" s="1" t="s">
        <v>2269</v>
      </c>
      <c r="E789" s="1" t="s">
        <v>65</v>
      </c>
    </row>
    <row r="790" spans="1:5" x14ac:dyDescent="0.25">
      <c r="A790" s="1" t="s">
        <v>2288</v>
      </c>
      <c r="B790" s="1" t="s">
        <v>2289</v>
      </c>
      <c r="C790" s="1" t="s">
        <v>2290</v>
      </c>
      <c r="D790" s="1" t="s">
        <v>2269</v>
      </c>
      <c r="E790" s="1" t="s">
        <v>68</v>
      </c>
    </row>
    <row r="791" spans="1:5" x14ac:dyDescent="0.25">
      <c r="A791" s="1" t="s">
        <v>2291</v>
      </c>
      <c r="B791" s="1" t="s">
        <v>2292</v>
      </c>
      <c r="C791" s="1" t="s">
        <v>2293</v>
      </c>
      <c r="D791" s="1" t="s">
        <v>2269</v>
      </c>
      <c r="E791" s="1" t="s">
        <v>1902</v>
      </c>
    </row>
    <row r="792" spans="1:5" x14ac:dyDescent="0.25">
      <c r="A792" s="1" t="s">
        <v>2294</v>
      </c>
      <c r="B792" s="1" t="s">
        <v>2295</v>
      </c>
      <c r="C792" s="1" t="s">
        <v>2296</v>
      </c>
      <c r="D792" s="1" t="s">
        <v>2269</v>
      </c>
      <c r="E792" s="1" t="s">
        <v>71</v>
      </c>
    </row>
    <row r="793" spans="1:5" x14ac:dyDescent="0.25">
      <c r="A793" s="1" t="s">
        <v>2297</v>
      </c>
      <c r="B793" s="1" t="s">
        <v>2298</v>
      </c>
      <c r="C793" s="1" t="s">
        <v>2299</v>
      </c>
      <c r="D793" s="1" t="s">
        <v>2269</v>
      </c>
      <c r="E793" s="1" t="s">
        <v>74</v>
      </c>
    </row>
    <row r="794" spans="1:5" x14ac:dyDescent="0.25">
      <c r="A794" s="1" t="s">
        <v>2300</v>
      </c>
      <c r="B794" s="1" t="s">
        <v>2301</v>
      </c>
      <c r="C794" s="1" t="s">
        <v>2302</v>
      </c>
      <c r="D794" s="1" t="s">
        <v>2269</v>
      </c>
      <c r="E794" s="1" t="s">
        <v>78</v>
      </c>
    </row>
    <row r="795" spans="1:5" x14ac:dyDescent="0.25">
      <c r="A795" s="1" t="s">
        <v>2303</v>
      </c>
      <c r="B795" s="1" t="s">
        <v>2304</v>
      </c>
      <c r="C795" s="1" t="s">
        <v>2305</v>
      </c>
      <c r="D795" s="1" t="s">
        <v>2306</v>
      </c>
      <c r="E795" s="1" t="s">
        <v>17</v>
      </c>
    </row>
    <row r="796" spans="1:5" x14ac:dyDescent="0.25">
      <c r="A796" s="1" t="s">
        <v>2307</v>
      </c>
      <c r="B796" s="1" t="s">
        <v>2308</v>
      </c>
      <c r="C796" s="1" t="s">
        <v>2309</v>
      </c>
      <c r="D796" s="1" t="s">
        <v>2306</v>
      </c>
      <c r="E796" s="1" t="s">
        <v>51</v>
      </c>
    </row>
    <row r="797" spans="1:5" x14ac:dyDescent="0.25">
      <c r="A797" s="1" t="s">
        <v>2310</v>
      </c>
      <c r="B797" s="1" t="s">
        <v>2311</v>
      </c>
      <c r="C797" s="1" t="s">
        <v>2312</v>
      </c>
      <c r="D797" s="1" t="s">
        <v>2306</v>
      </c>
      <c r="E797" s="1" t="s">
        <v>33</v>
      </c>
    </row>
    <row r="798" spans="1:5" x14ac:dyDescent="0.25">
      <c r="A798" s="1" t="s">
        <v>2313</v>
      </c>
      <c r="B798" s="1" t="s">
        <v>2314</v>
      </c>
      <c r="C798" s="1" t="s">
        <v>2315</v>
      </c>
      <c r="D798" s="1" t="s">
        <v>2306</v>
      </c>
      <c r="E798" s="1" t="s">
        <v>50</v>
      </c>
    </row>
    <row r="799" spans="1:5" x14ac:dyDescent="0.25">
      <c r="A799" s="1" t="s">
        <v>2316</v>
      </c>
      <c r="B799" s="1" t="s">
        <v>2317</v>
      </c>
      <c r="C799" s="1" t="s">
        <v>2318</v>
      </c>
      <c r="D799" s="1" t="s">
        <v>2306</v>
      </c>
      <c r="E799" s="1" t="s">
        <v>58</v>
      </c>
    </row>
    <row r="800" spans="1:5" x14ac:dyDescent="0.25">
      <c r="A800" s="1" t="s">
        <v>2319</v>
      </c>
      <c r="B800" s="1" t="s">
        <v>2320</v>
      </c>
      <c r="C800" s="1" t="s">
        <v>2321</v>
      </c>
      <c r="D800" s="1" t="s">
        <v>2306</v>
      </c>
      <c r="E800" s="1" t="s">
        <v>65</v>
      </c>
    </row>
    <row r="801" spans="1:5" x14ac:dyDescent="0.25">
      <c r="A801" s="1" t="s">
        <v>2322</v>
      </c>
      <c r="B801" s="1" t="s">
        <v>2323</v>
      </c>
      <c r="C801" s="1" t="s">
        <v>2324</v>
      </c>
      <c r="D801" s="1" t="s">
        <v>2306</v>
      </c>
      <c r="E801" s="1" t="s">
        <v>68</v>
      </c>
    </row>
    <row r="802" spans="1:5" x14ac:dyDescent="0.25">
      <c r="A802" s="1" t="s">
        <v>2325</v>
      </c>
      <c r="B802" s="1" t="s">
        <v>2326</v>
      </c>
      <c r="C802" s="1" t="s">
        <v>2327</v>
      </c>
      <c r="D802" s="1" t="s">
        <v>2306</v>
      </c>
      <c r="E802" s="1" t="s">
        <v>1902</v>
      </c>
    </row>
    <row r="803" spans="1:5" x14ac:dyDescent="0.25">
      <c r="A803" s="1" t="s">
        <v>2328</v>
      </c>
      <c r="B803" s="1" t="s">
        <v>2329</v>
      </c>
      <c r="C803" s="1" t="s">
        <v>2330</v>
      </c>
      <c r="D803" s="1" t="s">
        <v>2306</v>
      </c>
      <c r="E803" s="1" t="s">
        <v>71</v>
      </c>
    </row>
    <row r="804" spans="1:5" x14ac:dyDescent="0.25">
      <c r="A804" s="1" t="s">
        <v>2331</v>
      </c>
      <c r="B804" s="1" t="s">
        <v>2332</v>
      </c>
      <c r="C804" s="1" t="s">
        <v>2333</v>
      </c>
      <c r="D804" s="1" t="s">
        <v>2306</v>
      </c>
      <c r="E804" s="1" t="s">
        <v>74</v>
      </c>
    </row>
    <row r="805" spans="1:5" x14ac:dyDescent="0.25">
      <c r="A805" s="1" t="s">
        <v>2334</v>
      </c>
      <c r="B805" s="1" t="s">
        <v>2335</v>
      </c>
      <c r="C805" s="1" t="s">
        <v>2336</v>
      </c>
      <c r="D805" s="1" t="s">
        <v>2306</v>
      </c>
      <c r="E805" s="1" t="s">
        <v>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4A52-E67F-4A4D-8979-D425603A99AF}">
  <sheetPr codeName="Лист7"/>
  <dimension ref="A1:I181"/>
  <sheetViews>
    <sheetView workbookViewId="0">
      <selection activeCell="R34" sqref="R34"/>
    </sheetView>
  </sheetViews>
  <sheetFormatPr defaultRowHeight="15" x14ac:dyDescent="0.25"/>
  <sheetData>
    <row r="1" spans="1:9" x14ac:dyDescent="0.25">
      <c r="A1" s="11" t="s">
        <v>2381</v>
      </c>
      <c r="B1" s="11" t="s">
        <v>12</v>
      </c>
      <c r="C1" s="11" t="s">
        <v>2382</v>
      </c>
      <c r="D1" s="11" t="s">
        <v>2383</v>
      </c>
      <c r="E1" s="11" t="s">
        <v>2385</v>
      </c>
      <c r="F1" s="11" t="s">
        <v>2384</v>
      </c>
      <c r="G1" s="11" t="s">
        <v>2386</v>
      </c>
      <c r="H1" s="11" t="s">
        <v>2489</v>
      </c>
      <c r="I1" s="11" t="s">
        <v>2387</v>
      </c>
    </row>
    <row r="2" spans="1:9" x14ac:dyDescent="0.25">
      <c r="A2">
        <v>15</v>
      </c>
      <c r="B2">
        <v>20</v>
      </c>
      <c r="C2">
        <v>2</v>
      </c>
      <c r="D2">
        <v>20</v>
      </c>
      <c r="E2">
        <v>2</v>
      </c>
      <c r="F2">
        <v>50</v>
      </c>
      <c r="G2">
        <v>5</v>
      </c>
      <c r="H2">
        <v>3</v>
      </c>
      <c r="I2" t="s">
        <v>2396</v>
      </c>
    </row>
    <row r="3" spans="1:9" x14ac:dyDescent="0.25">
      <c r="A3">
        <v>15</v>
      </c>
      <c r="B3">
        <v>20</v>
      </c>
      <c r="C3">
        <v>3</v>
      </c>
      <c r="D3">
        <v>20</v>
      </c>
      <c r="E3">
        <v>2</v>
      </c>
      <c r="F3">
        <v>50</v>
      </c>
      <c r="G3">
        <v>5</v>
      </c>
      <c r="H3">
        <v>3</v>
      </c>
      <c r="I3" t="s">
        <v>2396</v>
      </c>
    </row>
    <row r="4" spans="1:9" x14ac:dyDescent="0.25">
      <c r="A4">
        <v>15</v>
      </c>
      <c r="B4">
        <v>20</v>
      </c>
      <c r="C4">
        <v>4</v>
      </c>
      <c r="D4">
        <v>20</v>
      </c>
      <c r="E4">
        <v>2</v>
      </c>
      <c r="F4">
        <v>50</v>
      </c>
      <c r="G4">
        <v>5</v>
      </c>
      <c r="H4">
        <v>3</v>
      </c>
      <c r="I4" t="s">
        <v>2397</v>
      </c>
    </row>
    <row r="5" spans="1:9" x14ac:dyDescent="0.25">
      <c r="A5">
        <v>20</v>
      </c>
      <c r="B5">
        <v>25</v>
      </c>
      <c r="C5">
        <v>2</v>
      </c>
      <c r="D5">
        <v>20</v>
      </c>
      <c r="E5">
        <v>2</v>
      </c>
      <c r="F5">
        <v>58</v>
      </c>
      <c r="G5">
        <v>7.5</v>
      </c>
      <c r="H5">
        <v>3</v>
      </c>
      <c r="I5" t="s">
        <v>2397</v>
      </c>
    </row>
    <row r="6" spans="1:9" x14ac:dyDescent="0.25">
      <c r="A6">
        <v>20</v>
      </c>
      <c r="B6">
        <v>25</v>
      </c>
      <c r="C6">
        <v>3</v>
      </c>
      <c r="D6">
        <v>20</v>
      </c>
      <c r="E6">
        <v>3</v>
      </c>
      <c r="F6">
        <v>58</v>
      </c>
      <c r="G6">
        <v>7.5</v>
      </c>
      <c r="H6">
        <v>3</v>
      </c>
      <c r="I6" t="s">
        <v>2397</v>
      </c>
    </row>
    <row r="7" spans="1:9" x14ac:dyDescent="0.25">
      <c r="A7">
        <v>20</v>
      </c>
      <c r="B7">
        <v>25</v>
      </c>
      <c r="C7">
        <v>4</v>
      </c>
      <c r="D7">
        <v>20</v>
      </c>
      <c r="E7">
        <v>4</v>
      </c>
      <c r="F7">
        <v>58</v>
      </c>
      <c r="G7">
        <v>7.5</v>
      </c>
      <c r="H7">
        <v>3</v>
      </c>
      <c r="I7" t="s">
        <v>2398</v>
      </c>
    </row>
    <row r="8" spans="1:9" x14ac:dyDescent="0.25">
      <c r="A8">
        <v>20</v>
      </c>
      <c r="B8">
        <v>25</v>
      </c>
      <c r="C8">
        <v>2</v>
      </c>
      <c r="D8">
        <v>25</v>
      </c>
      <c r="E8">
        <v>2</v>
      </c>
      <c r="F8">
        <v>58</v>
      </c>
      <c r="G8">
        <v>7.5</v>
      </c>
      <c r="H8">
        <v>3</v>
      </c>
      <c r="I8" t="s">
        <v>2397</v>
      </c>
    </row>
    <row r="9" spans="1:9" x14ac:dyDescent="0.25">
      <c r="A9">
        <v>20</v>
      </c>
      <c r="B9">
        <v>25</v>
      </c>
      <c r="C9">
        <v>3</v>
      </c>
      <c r="D9">
        <v>25</v>
      </c>
      <c r="E9">
        <v>3</v>
      </c>
      <c r="F9">
        <v>58</v>
      </c>
      <c r="G9">
        <v>7.5</v>
      </c>
      <c r="H9">
        <v>3</v>
      </c>
      <c r="I9" t="s">
        <v>2397</v>
      </c>
    </row>
    <row r="10" spans="1:9" x14ac:dyDescent="0.25">
      <c r="A10">
        <v>20</v>
      </c>
      <c r="B10">
        <v>25</v>
      </c>
      <c r="C10">
        <v>4</v>
      </c>
      <c r="D10">
        <v>25</v>
      </c>
      <c r="E10">
        <v>4</v>
      </c>
      <c r="F10">
        <v>58</v>
      </c>
      <c r="G10">
        <v>7.5</v>
      </c>
      <c r="H10">
        <v>3</v>
      </c>
      <c r="I10" t="s">
        <v>2398</v>
      </c>
    </row>
    <row r="11" spans="1:9" x14ac:dyDescent="0.25">
      <c r="A11">
        <v>25</v>
      </c>
      <c r="B11">
        <v>32</v>
      </c>
      <c r="C11">
        <v>2</v>
      </c>
      <c r="D11">
        <v>20</v>
      </c>
      <c r="E11">
        <v>2</v>
      </c>
      <c r="F11">
        <v>76</v>
      </c>
      <c r="G11">
        <v>9</v>
      </c>
      <c r="H11">
        <v>3</v>
      </c>
      <c r="I11" t="s">
        <v>2397</v>
      </c>
    </row>
    <row r="12" spans="1:9" x14ac:dyDescent="0.25">
      <c r="A12">
        <v>25</v>
      </c>
      <c r="B12">
        <v>32</v>
      </c>
      <c r="C12">
        <v>3</v>
      </c>
      <c r="D12">
        <v>20</v>
      </c>
      <c r="E12">
        <v>3</v>
      </c>
      <c r="F12">
        <v>76</v>
      </c>
      <c r="G12">
        <v>9</v>
      </c>
      <c r="H12">
        <v>3</v>
      </c>
      <c r="I12" t="s">
        <v>2398</v>
      </c>
    </row>
    <row r="13" spans="1:9" x14ac:dyDescent="0.25">
      <c r="A13">
        <v>25</v>
      </c>
      <c r="B13">
        <v>32</v>
      </c>
      <c r="C13">
        <v>4</v>
      </c>
      <c r="D13">
        <v>20</v>
      </c>
      <c r="E13">
        <v>4</v>
      </c>
      <c r="F13">
        <v>76</v>
      </c>
      <c r="G13">
        <v>9</v>
      </c>
      <c r="H13">
        <v>3</v>
      </c>
      <c r="I13" t="s">
        <v>2398</v>
      </c>
    </row>
    <row r="14" spans="1:9" x14ac:dyDescent="0.25">
      <c r="A14">
        <v>25</v>
      </c>
      <c r="B14">
        <v>32</v>
      </c>
      <c r="C14">
        <v>2</v>
      </c>
      <c r="D14">
        <v>25</v>
      </c>
      <c r="E14">
        <v>2</v>
      </c>
      <c r="F14">
        <v>76</v>
      </c>
      <c r="G14">
        <v>9</v>
      </c>
      <c r="H14">
        <v>3</v>
      </c>
      <c r="I14" t="s">
        <v>2397</v>
      </c>
    </row>
    <row r="15" spans="1:9" x14ac:dyDescent="0.25">
      <c r="A15">
        <v>25</v>
      </c>
      <c r="B15">
        <v>32</v>
      </c>
      <c r="C15">
        <v>3</v>
      </c>
      <c r="D15">
        <v>25</v>
      </c>
      <c r="E15">
        <v>3</v>
      </c>
      <c r="F15">
        <v>76</v>
      </c>
      <c r="G15">
        <v>9</v>
      </c>
      <c r="H15">
        <v>3</v>
      </c>
      <c r="I15" t="s">
        <v>2398</v>
      </c>
    </row>
    <row r="16" spans="1:9" x14ac:dyDescent="0.25">
      <c r="A16">
        <v>25</v>
      </c>
      <c r="B16">
        <v>32</v>
      </c>
      <c r="C16">
        <v>4</v>
      </c>
      <c r="D16">
        <v>25</v>
      </c>
      <c r="E16">
        <v>4</v>
      </c>
      <c r="F16">
        <v>76</v>
      </c>
      <c r="G16">
        <v>9</v>
      </c>
      <c r="H16">
        <v>3</v>
      </c>
      <c r="I16" t="s">
        <v>2398</v>
      </c>
    </row>
    <row r="17" spans="1:9" x14ac:dyDescent="0.25">
      <c r="A17">
        <v>25</v>
      </c>
      <c r="B17">
        <v>32</v>
      </c>
      <c r="C17">
        <v>2</v>
      </c>
      <c r="D17">
        <v>32</v>
      </c>
      <c r="E17">
        <v>2</v>
      </c>
      <c r="F17">
        <v>76</v>
      </c>
      <c r="G17">
        <v>9</v>
      </c>
      <c r="H17">
        <v>3</v>
      </c>
      <c r="I17" t="s">
        <v>2397</v>
      </c>
    </row>
    <row r="18" spans="1:9" x14ac:dyDescent="0.25">
      <c r="A18">
        <v>25</v>
      </c>
      <c r="B18">
        <v>32</v>
      </c>
      <c r="C18">
        <v>3</v>
      </c>
      <c r="D18">
        <v>32</v>
      </c>
      <c r="E18">
        <v>3</v>
      </c>
      <c r="F18">
        <v>76</v>
      </c>
      <c r="G18">
        <v>9</v>
      </c>
      <c r="H18">
        <v>3</v>
      </c>
      <c r="I18" t="s">
        <v>2398</v>
      </c>
    </row>
    <row r="19" spans="1:9" x14ac:dyDescent="0.25">
      <c r="A19">
        <v>25</v>
      </c>
      <c r="B19">
        <v>32</v>
      </c>
      <c r="C19">
        <v>4</v>
      </c>
      <c r="D19">
        <v>32</v>
      </c>
      <c r="E19">
        <v>4</v>
      </c>
      <c r="F19">
        <v>76</v>
      </c>
      <c r="G19">
        <v>9</v>
      </c>
      <c r="H19">
        <v>3</v>
      </c>
      <c r="I19" t="s">
        <v>2398</v>
      </c>
    </row>
    <row r="20" spans="1:9" x14ac:dyDescent="0.25">
      <c r="A20">
        <v>32</v>
      </c>
      <c r="B20">
        <v>38</v>
      </c>
      <c r="C20">
        <v>2</v>
      </c>
      <c r="D20">
        <v>20</v>
      </c>
      <c r="E20">
        <v>2</v>
      </c>
      <c r="F20">
        <v>64</v>
      </c>
      <c r="G20">
        <v>13</v>
      </c>
      <c r="H20">
        <v>4</v>
      </c>
      <c r="I20" t="s">
        <v>2397</v>
      </c>
    </row>
    <row r="21" spans="1:9" x14ac:dyDescent="0.25">
      <c r="A21">
        <v>32</v>
      </c>
      <c r="B21">
        <v>38</v>
      </c>
      <c r="C21">
        <v>3</v>
      </c>
      <c r="D21">
        <v>20</v>
      </c>
      <c r="E21">
        <v>3</v>
      </c>
      <c r="F21">
        <v>64</v>
      </c>
      <c r="G21">
        <v>13</v>
      </c>
      <c r="H21">
        <v>4</v>
      </c>
      <c r="I21" t="s">
        <v>2398</v>
      </c>
    </row>
    <row r="22" spans="1:9" x14ac:dyDescent="0.25">
      <c r="A22">
        <v>32</v>
      </c>
      <c r="B22">
        <v>38</v>
      </c>
      <c r="C22">
        <v>4</v>
      </c>
      <c r="D22">
        <v>20</v>
      </c>
      <c r="E22">
        <v>4</v>
      </c>
      <c r="F22">
        <v>64</v>
      </c>
      <c r="G22">
        <v>13</v>
      </c>
      <c r="H22">
        <v>4</v>
      </c>
      <c r="I22" t="s">
        <v>2398</v>
      </c>
    </row>
    <row r="23" spans="1:9" x14ac:dyDescent="0.25">
      <c r="A23">
        <v>32</v>
      </c>
      <c r="B23">
        <v>38</v>
      </c>
      <c r="C23">
        <v>2</v>
      </c>
      <c r="D23">
        <v>25</v>
      </c>
      <c r="E23">
        <v>2</v>
      </c>
      <c r="F23">
        <v>64</v>
      </c>
      <c r="G23">
        <v>13</v>
      </c>
      <c r="H23">
        <v>4</v>
      </c>
      <c r="I23" t="s">
        <v>2397</v>
      </c>
    </row>
    <row r="24" spans="1:9" x14ac:dyDescent="0.25">
      <c r="A24">
        <v>32</v>
      </c>
      <c r="B24">
        <v>38</v>
      </c>
      <c r="C24">
        <v>3</v>
      </c>
      <c r="D24">
        <v>25</v>
      </c>
      <c r="E24">
        <v>3</v>
      </c>
      <c r="F24">
        <v>64</v>
      </c>
      <c r="G24">
        <v>13</v>
      </c>
      <c r="H24">
        <v>4</v>
      </c>
      <c r="I24" t="s">
        <v>2398</v>
      </c>
    </row>
    <row r="25" spans="1:9" x14ac:dyDescent="0.25">
      <c r="A25">
        <v>32</v>
      </c>
      <c r="B25">
        <v>38</v>
      </c>
      <c r="C25">
        <v>4</v>
      </c>
      <c r="D25">
        <v>25</v>
      </c>
      <c r="E25">
        <v>4</v>
      </c>
      <c r="F25">
        <v>64</v>
      </c>
      <c r="G25">
        <v>13</v>
      </c>
      <c r="H25">
        <v>4</v>
      </c>
      <c r="I25" t="s">
        <v>2398</v>
      </c>
    </row>
    <row r="26" spans="1:9" x14ac:dyDescent="0.25">
      <c r="A26">
        <v>32</v>
      </c>
      <c r="B26">
        <v>38</v>
      </c>
      <c r="C26">
        <v>2</v>
      </c>
      <c r="D26">
        <v>32</v>
      </c>
      <c r="E26">
        <v>2</v>
      </c>
      <c r="F26">
        <v>64</v>
      </c>
      <c r="G26">
        <v>13</v>
      </c>
      <c r="H26">
        <v>4</v>
      </c>
      <c r="I26" t="s">
        <v>2397</v>
      </c>
    </row>
    <row r="27" spans="1:9" x14ac:dyDescent="0.25">
      <c r="A27">
        <v>32</v>
      </c>
      <c r="B27">
        <v>38</v>
      </c>
      <c r="C27">
        <v>3</v>
      </c>
      <c r="D27">
        <v>32</v>
      </c>
      <c r="E27">
        <v>3</v>
      </c>
      <c r="F27">
        <v>64</v>
      </c>
      <c r="G27">
        <v>13</v>
      </c>
      <c r="H27">
        <v>4</v>
      </c>
      <c r="I27" t="s">
        <v>2398</v>
      </c>
    </row>
    <row r="28" spans="1:9" x14ac:dyDescent="0.25">
      <c r="A28">
        <v>32</v>
      </c>
      <c r="B28">
        <v>38</v>
      </c>
      <c r="C28">
        <v>4</v>
      </c>
      <c r="D28">
        <v>32</v>
      </c>
      <c r="E28">
        <v>4</v>
      </c>
      <c r="F28">
        <v>64</v>
      </c>
      <c r="G28">
        <v>13</v>
      </c>
      <c r="H28">
        <v>4</v>
      </c>
      <c r="I28" t="s">
        <v>2398</v>
      </c>
    </row>
    <row r="29" spans="1:9" x14ac:dyDescent="0.25">
      <c r="A29">
        <v>32</v>
      </c>
      <c r="B29">
        <v>38</v>
      </c>
      <c r="C29">
        <v>2</v>
      </c>
      <c r="D29">
        <v>38</v>
      </c>
      <c r="E29">
        <v>2</v>
      </c>
      <c r="F29">
        <v>64</v>
      </c>
      <c r="G29">
        <v>13</v>
      </c>
      <c r="H29">
        <v>4</v>
      </c>
      <c r="I29" t="s">
        <v>2397</v>
      </c>
    </row>
    <row r="30" spans="1:9" x14ac:dyDescent="0.25">
      <c r="A30">
        <v>32</v>
      </c>
      <c r="B30">
        <v>38</v>
      </c>
      <c r="C30">
        <v>3</v>
      </c>
      <c r="D30">
        <v>38</v>
      </c>
      <c r="E30">
        <v>3</v>
      </c>
      <c r="F30">
        <v>64</v>
      </c>
      <c r="G30">
        <v>13</v>
      </c>
      <c r="H30">
        <v>4</v>
      </c>
      <c r="I30" t="s">
        <v>2398</v>
      </c>
    </row>
    <row r="31" spans="1:9" x14ac:dyDescent="0.25">
      <c r="A31">
        <v>32</v>
      </c>
      <c r="B31">
        <v>38</v>
      </c>
      <c r="C31">
        <v>4</v>
      </c>
      <c r="D31">
        <v>38</v>
      </c>
      <c r="E31">
        <v>4</v>
      </c>
      <c r="F31">
        <v>64</v>
      </c>
      <c r="G31">
        <v>13</v>
      </c>
      <c r="H31">
        <v>4</v>
      </c>
      <c r="I31" t="s">
        <v>2398</v>
      </c>
    </row>
    <row r="32" spans="1:9" x14ac:dyDescent="0.25">
      <c r="A32">
        <v>40</v>
      </c>
      <c r="B32">
        <v>45</v>
      </c>
      <c r="C32" t="s">
        <v>2399</v>
      </c>
      <c r="D32">
        <v>45</v>
      </c>
      <c r="E32" t="s">
        <v>2399</v>
      </c>
      <c r="F32">
        <v>80</v>
      </c>
      <c r="G32">
        <v>17.5</v>
      </c>
      <c r="H32">
        <v>5</v>
      </c>
      <c r="I32" t="s">
        <v>2397</v>
      </c>
    </row>
    <row r="33" spans="1:9" x14ac:dyDescent="0.25">
      <c r="A33">
        <v>40</v>
      </c>
      <c r="B33">
        <v>45</v>
      </c>
      <c r="C33">
        <v>4</v>
      </c>
      <c r="D33">
        <v>45</v>
      </c>
      <c r="E33">
        <v>4</v>
      </c>
      <c r="F33">
        <v>80</v>
      </c>
      <c r="G33">
        <v>17.5</v>
      </c>
      <c r="H33">
        <v>5</v>
      </c>
      <c r="I33" t="s">
        <v>2398</v>
      </c>
    </row>
    <row r="34" spans="1:9" x14ac:dyDescent="0.25">
      <c r="A34">
        <v>40</v>
      </c>
      <c r="B34">
        <v>45</v>
      </c>
      <c r="C34">
        <v>5</v>
      </c>
      <c r="D34">
        <v>45</v>
      </c>
      <c r="E34">
        <v>5</v>
      </c>
      <c r="F34">
        <v>80</v>
      </c>
      <c r="G34">
        <v>17.5</v>
      </c>
      <c r="H34">
        <v>5</v>
      </c>
      <c r="I34" t="s">
        <v>2398</v>
      </c>
    </row>
    <row r="35" spans="1:9" x14ac:dyDescent="0.25">
      <c r="A35">
        <v>50</v>
      </c>
      <c r="B35">
        <v>57</v>
      </c>
      <c r="C35">
        <v>3</v>
      </c>
      <c r="D35">
        <v>45</v>
      </c>
      <c r="E35" t="s">
        <v>2399</v>
      </c>
      <c r="F35">
        <v>100</v>
      </c>
      <c r="G35">
        <v>16.5</v>
      </c>
      <c r="H35">
        <v>5</v>
      </c>
      <c r="I35" t="s">
        <v>2398</v>
      </c>
    </row>
    <row r="36" spans="1:9" x14ac:dyDescent="0.25">
      <c r="A36">
        <v>50</v>
      </c>
      <c r="B36">
        <v>57</v>
      </c>
      <c r="C36">
        <v>4</v>
      </c>
      <c r="D36">
        <v>45</v>
      </c>
      <c r="E36">
        <v>3</v>
      </c>
      <c r="F36">
        <v>100</v>
      </c>
      <c r="G36">
        <v>16.5</v>
      </c>
      <c r="H36">
        <v>5</v>
      </c>
      <c r="I36" t="s">
        <v>2400</v>
      </c>
    </row>
    <row r="37" spans="1:9" x14ac:dyDescent="0.25">
      <c r="A37">
        <v>50</v>
      </c>
      <c r="B37">
        <v>57</v>
      </c>
      <c r="C37">
        <v>5</v>
      </c>
      <c r="D37">
        <v>45</v>
      </c>
      <c r="E37">
        <v>4</v>
      </c>
      <c r="F37">
        <v>100</v>
      </c>
      <c r="G37">
        <v>16.5</v>
      </c>
      <c r="H37">
        <v>5</v>
      </c>
      <c r="I37" t="s">
        <v>2401</v>
      </c>
    </row>
    <row r="38" spans="1:9" x14ac:dyDescent="0.25">
      <c r="A38">
        <v>50</v>
      </c>
      <c r="B38">
        <v>57</v>
      </c>
      <c r="C38">
        <v>3</v>
      </c>
      <c r="D38">
        <v>57</v>
      </c>
      <c r="E38">
        <v>3</v>
      </c>
      <c r="F38">
        <v>100</v>
      </c>
      <c r="G38">
        <v>16.5</v>
      </c>
      <c r="H38">
        <v>5</v>
      </c>
      <c r="I38" t="s">
        <v>2398</v>
      </c>
    </row>
    <row r="39" spans="1:9" x14ac:dyDescent="0.25">
      <c r="A39">
        <v>50</v>
      </c>
      <c r="B39">
        <v>57</v>
      </c>
      <c r="C39">
        <v>4</v>
      </c>
      <c r="D39">
        <v>57</v>
      </c>
      <c r="E39">
        <v>4</v>
      </c>
      <c r="F39">
        <v>100</v>
      </c>
      <c r="G39">
        <v>16.5</v>
      </c>
      <c r="H39">
        <v>5</v>
      </c>
      <c r="I39" t="s">
        <v>2400</v>
      </c>
    </row>
    <row r="40" spans="1:9" x14ac:dyDescent="0.25">
      <c r="A40">
        <v>50</v>
      </c>
      <c r="B40">
        <v>57</v>
      </c>
      <c r="C40">
        <v>5</v>
      </c>
      <c r="D40">
        <v>57</v>
      </c>
      <c r="E40">
        <v>5</v>
      </c>
      <c r="F40">
        <v>100</v>
      </c>
      <c r="G40">
        <v>16.5</v>
      </c>
      <c r="H40">
        <v>5</v>
      </c>
      <c r="I40" t="s">
        <v>2401</v>
      </c>
    </row>
    <row r="41" spans="1:9" x14ac:dyDescent="0.25">
      <c r="A41">
        <v>65</v>
      </c>
      <c r="B41">
        <v>76</v>
      </c>
      <c r="C41" t="s">
        <v>2402</v>
      </c>
      <c r="D41">
        <v>45</v>
      </c>
      <c r="E41" t="s">
        <v>2399</v>
      </c>
      <c r="F41">
        <v>130</v>
      </c>
      <c r="G41">
        <v>22</v>
      </c>
      <c r="H41">
        <v>5</v>
      </c>
      <c r="I41" t="s">
        <v>2403</v>
      </c>
    </row>
    <row r="42" spans="1:9" x14ac:dyDescent="0.25">
      <c r="A42">
        <v>65</v>
      </c>
      <c r="B42">
        <v>76</v>
      </c>
      <c r="C42">
        <v>6</v>
      </c>
      <c r="D42">
        <v>45</v>
      </c>
      <c r="E42">
        <v>4</v>
      </c>
      <c r="F42">
        <v>130</v>
      </c>
      <c r="G42">
        <v>22</v>
      </c>
      <c r="H42">
        <v>5</v>
      </c>
      <c r="I42" t="s">
        <v>2404</v>
      </c>
    </row>
    <row r="43" spans="1:9" x14ac:dyDescent="0.25">
      <c r="A43">
        <v>65</v>
      </c>
      <c r="B43">
        <v>76</v>
      </c>
      <c r="C43">
        <v>7</v>
      </c>
      <c r="D43">
        <v>45</v>
      </c>
      <c r="E43">
        <v>5</v>
      </c>
      <c r="F43">
        <v>130</v>
      </c>
      <c r="G43">
        <v>22</v>
      </c>
      <c r="H43">
        <v>5</v>
      </c>
      <c r="I43" t="s">
        <v>2405</v>
      </c>
    </row>
    <row r="44" spans="1:9" x14ac:dyDescent="0.25">
      <c r="A44">
        <v>65</v>
      </c>
      <c r="B44">
        <v>76</v>
      </c>
      <c r="C44" t="s">
        <v>2402</v>
      </c>
      <c r="D44">
        <v>57</v>
      </c>
      <c r="E44">
        <v>3</v>
      </c>
      <c r="F44">
        <v>130</v>
      </c>
      <c r="G44">
        <v>22</v>
      </c>
      <c r="H44">
        <v>5</v>
      </c>
      <c r="I44" t="s">
        <v>2403</v>
      </c>
    </row>
    <row r="45" spans="1:9" x14ac:dyDescent="0.25">
      <c r="A45">
        <v>65</v>
      </c>
      <c r="B45">
        <v>76</v>
      </c>
      <c r="C45">
        <v>6</v>
      </c>
      <c r="D45">
        <v>57</v>
      </c>
      <c r="E45">
        <v>5</v>
      </c>
      <c r="F45">
        <v>130</v>
      </c>
      <c r="G45">
        <v>22</v>
      </c>
      <c r="H45">
        <v>5</v>
      </c>
      <c r="I45" t="s">
        <v>2404</v>
      </c>
    </row>
    <row r="46" spans="1:9" x14ac:dyDescent="0.25">
      <c r="A46">
        <v>65</v>
      </c>
      <c r="B46">
        <v>76</v>
      </c>
      <c r="C46">
        <v>7</v>
      </c>
      <c r="D46">
        <v>57</v>
      </c>
      <c r="E46" t="s">
        <v>2395</v>
      </c>
      <c r="F46">
        <v>130</v>
      </c>
      <c r="G46">
        <v>22</v>
      </c>
      <c r="H46">
        <v>5</v>
      </c>
      <c r="I46" t="s">
        <v>2405</v>
      </c>
    </row>
    <row r="47" spans="1:9" x14ac:dyDescent="0.25">
      <c r="A47">
        <v>65</v>
      </c>
      <c r="B47">
        <v>76</v>
      </c>
      <c r="C47" t="s">
        <v>2402</v>
      </c>
      <c r="D47">
        <v>76</v>
      </c>
      <c r="E47" t="s">
        <v>2402</v>
      </c>
      <c r="F47">
        <v>130</v>
      </c>
      <c r="G47">
        <v>22</v>
      </c>
      <c r="H47">
        <v>5</v>
      </c>
      <c r="I47" t="s">
        <v>2403</v>
      </c>
    </row>
    <row r="48" spans="1:9" x14ac:dyDescent="0.25">
      <c r="A48">
        <v>65</v>
      </c>
      <c r="B48">
        <v>76</v>
      </c>
      <c r="C48">
        <v>6</v>
      </c>
      <c r="D48">
        <v>76</v>
      </c>
      <c r="E48">
        <v>6</v>
      </c>
      <c r="F48">
        <v>130</v>
      </c>
      <c r="G48">
        <v>22</v>
      </c>
      <c r="H48">
        <v>5</v>
      </c>
      <c r="I48" t="s">
        <v>2404</v>
      </c>
    </row>
    <row r="49" spans="1:9" x14ac:dyDescent="0.25">
      <c r="A49">
        <v>65</v>
      </c>
      <c r="B49">
        <v>76</v>
      </c>
      <c r="C49">
        <v>7</v>
      </c>
      <c r="D49">
        <v>76</v>
      </c>
      <c r="E49">
        <v>7</v>
      </c>
      <c r="F49">
        <v>130</v>
      </c>
      <c r="G49">
        <v>22</v>
      </c>
      <c r="H49">
        <v>5</v>
      </c>
      <c r="I49" t="s">
        <v>2405</v>
      </c>
    </row>
    <row r="50" spans="1:9" x14ac:dyDescent="0.25">
      <c r="A50">
        <v>80</v>
      </c>
      <c r="B50">
        <v>89</v>
      </c>
      <c r="C50" t="s">
        <v>2402</v>
      </c>
      <c r="D50">
        <v>57</v>
      </c>
      <c r="E50">
        <v>3</v>
      </c>
      <c r="F50">
        <v>160</v>
      </c>
      <c r="G50">
        <v>25.5</v>
      </c>
      <c r="H50">
        <v>5</v>
      </c>
      <c r="I50" t="s">
        <v>2406</v>
      </c>
    </row>
    <row r="51" spans="1:9" x14ac:dyDescent="0.25">
      <c r="A51">
        <v>80</v>
      </c>
      <c r="B51">
        <v>89</v>
      </c>
      <c r="C51">
        <v>6</v>
      </c>
      <c r="D51">
        <v>57</v>
      </c>
      <c r="E51">
        <v>4</v>
      </c>
      <c r="F51">
        <v>160</v>
      </c>
      <c r="G51">
        <v>25.5</v>
      </c>
      <c r="H51">
        <v>5</v>
      </c>
      <c r="I51">
        <v>2</v>
      </c>
    </row>
    <row r="52" spans="1:9" x14ac:dyDescent="0.25">
      <c r="A52">
        <v>80</v>
      </c>
      <c r="B52">
        <v>89</v>
      </c>
      <c r="C52">
        <v>8</v>
      </c>
      <c r="D52">
        <v>57</v>
      </c>
      <c r="E52" t="s">
        <v>2395</v>
      </c>
      <c r="F52">
        <v>160</v>
      </c>
      <c r="G52">
        <v>25.5</v>
      </c>
      <c r="H52">
        <v>5</v>
      </c>
      <c r="I52" t="s">
        <v>2407</v>
      </c>
    </row>
    <row r="53" spans="1:9" x14ac:dyDescent="0.25">
      <c r="A53">
        <v>80</v>
      </c>
      <c r="B53">
        <v>89</v>
      </c>
      <c r="C53" t="s">
        <v>2402</v>
      </c>
      <c r="D53">
        <v>76</v>
      </c>
      <c r="E53" t="s">
        <v>2402</v>
      </c>
      <c r="F53">
        <v>160</v>
      </c>
      <c r="G53">
        <v>25.5</v>
      </c>
      <c r="H53">
        <v>5</v>
      </c>
      <c r="I53" t="s">
        <v>2406</v>
      </c>
    </row>
    <row r="54" spans="1:9" x14ac:dyDescent="0.25">
      <c r="A54">
        <v>80</v>
      </c>
      <c r="B54">
        <v>89</v>
      </c>
      <c r="C54">
        <v>6</v>
      </c>
      <c r="D54">
        <v>76</v>
      </c>
      <c r="E54">
        <v>6</v>
      </c>
      <c r="F54">
        <v>160</v>
      </c>
      <c r="G54">
        <v>25.5</v>
      </c>
      <c r="H54">
        <v>5</v>
      </c>
      <c r="I54">
        <v>2</v>
      </c>
    </row>
    <row r="55" spans="1:9" x14ac:dyDescent="0.25">
      <c r="A55">
        <v>80</v>
      </c>
      <c r="B55">
        <v>89</v>
      </c>
      <c r="C55">
        <v>8</v>
      </c>
      <c r="D55">
        <v>76</v>
      </c>
      <c r="E55">
        <v>7</v>
      </c>
      <c r="F55">
        <v>160</v>
      </c>
      <c r="G55">
        <v>25.5</v>
      </c>
      <c r="H55">
        <v>5</v>
      </c>
      <c r="I55" t="s">
        <v>2407</v>
      </c>
    </row>
    <row r="56" spans="1:9" x14ac:dyDescent="0.25">
      <c r="A56">
        <v>80</v>
      </c>
      <c r="B56">
        <v>89</v>
      </c>
      <c r="C56" t="s">
        <v>2402</v>
      </c>
      <c r="D56">
        <v>89</v>
      </c>
      <c r="E56" t="s">
        <v>2402</v>
      </c>
      <c r="F56">
        <v>160</v>
      </c>
      <c r="G56">
        <v>25.5</v>
      </c>
      <c r="H56">
        <v>5</v>
      </c>
      <c r="I56" t="s">
        <v>2406</v>
      </c>
    </row>
    <row r="57" spans="1:9" x14ac:dyDescent="0.25">
      <c r="A57">
        <v>80</v>
      </c>
      <c r="B57">
        <v>89</v>
      </c>
      <c r="C57">
        <v>6</v>
      </c>
      <c r="D57">
        <v>89</v>
      </c>
      <c r="E57">
        <v>6</v>
      </c>
      <c r="F57">
        <v>160</v>
      </c>
      <c r="G57">
        <v>25.5</v>
      </c>
      <c r="H57">
        <v>5</v>
      </c>
      <c r="I57">
        <v>2</v>
      </c>
    </row>
    <row r="58" spans="1:9" x14ac:dyDescent="0.25">
      <c r="A58">
        <v>80</v>
      </c>
      <c r="B58">
        <v>89</v>
      </c>
      <c r="C58">
        <v>8</v>
      </c>
      <c r="D58">
        <v>89</v>
      </c>
      <c r="E58">
        <v>8</v>
      </c>
      <c r="F58">
        <v>160</v>
      </c>
      <c r="G58">
        <v>25.5</v>
      </c>
      <c r="H58">
        <v>5</v>
      </c>
      <c r="I58" t="s">
        <v>2407</v>
      </c>
    </row>
    <row r="59" spans="1:9" x14ac:dyDescent="0.25">
      <c r="A59">
        <v>100</v>
      </c>
      <c r="B59">
        <v>108</v>
      </c>
      <c r="C59">
        <v>4</v>
      </c>
      <c r="D59">
        <v>76</v>
      </c>
      <c r="E59" t="s">
        <v>2402</v>
      </c>
      <c r="F59">
        <v>200</v>
      </c>
      <c r="G59">
        <v>26</v>
      </c>
      <c r="H59">
        <v>5</v>
      </c>
      <c r="I59" t="s">
        <v>2408</v>
      </c>
    </row>
    <row r="60" spans="1:9" x14ac:dyDescent="0.25">
      <c r="A60">
        <v>100</v>
      </c>
      <c r="B60">
        <v>108</v>
      </c>
      <c r="C60">
        <v>6</v>
      </c>
      <c r="D60">
        <v>76</v>
      </c>
      <c r="E60">
        <v>5</v>
      </c>
      <c r="F60">
        <v>200</v>
      </c>
      <c r="G60">
        <v>26</v>
      </c>
      <c r="H60">
        <v>5</v>
      </c>
      <c r="I60" t="s">
        <v>2409</v>
      </c>
    </row>
    <row r="61" spans="1:9" x14ac:dyDescent="0.25">
      <c r="A61">
        <v>100</v>
      </c>
      <c r="B61">
        <v>108</v>
      </c>
      <c r="C61">
        <v>8</v>
      </c>
      <c r="D61">
        <v>76</v>
      </c>
      <c r="E61">
        <v>6</v>
      </c>
      <c r="F61">
        <v>200</v>
      </c>
      <c r="G61">
        <v>26</v>
      </c>
      <c r="H61">
        <v>5</v>
      </c>
      <c r="I61" t="s">
        <v>2410</v>
      </c>
    </row>
    <row r="62" spans="1:9" x14ac:dyDescent="0.25">
      <c r="A62">
        <v>100</v>
      </c>
      <c r="B62">
        <v>108</v>
      </c>
      <c r="C62">
        <v>9</v>
      </c>
      <c r="D62">
        <v>76</v>
      </c>
      <c r="E62">
        <v>7</v>
      </c>
      <c r="F62">
        <v>200</v>
      </c>
      <c r="G62">
        <v>26</v>
      </c>
      <c r="H62">
        <v>5</v>
      </c>
      <c r="I62" t="s">
        <v>2411</v>
      </c>
    </row>
    <row r="63" spans="1:9" x14ac:dyDescent="0.25">
      <c r="A63">
        <v>100</v>
      </c>
      <c r="B63">
        <v>108</v>
      </c>
      <c r="C63">
        <v>4</v>
      </c>
      <c r="D63">
        <v>89</v>
      </c>
      <c r="E63">
        <v>4</v>
      </c>
      <c r="F63">
        <v>200</v>
      </c>
      <c r="G63">
        <v>26</v>
      </c>
      <c r="H63">
        <v>5</v>
      </c>
      <c r="I63" t="s">
        <v>2408</v>
      </c>
    </row>
    <row r="64" spans="1:9" x14ac:dyDescent="0.25">
      <c r="A64">
        <v>100</v>
      </c>
      <c r="B64">
        <v>108</v>
      </c>
      <c r="C64">
        <v>6</v>
      </c>
      <c r="D64">
        <v>89</v>
      </c>
      <c r="E64">
        <v>6</v>
      </c>
      <c r="F64">
        <v>200</v>
      </c>
      <c r="G64">
        <v>26</v>
      </c>
      <c r="H64">
        <v>5</v>
      </c>
      <c r="I64" t="s">
        <v>2409</v>
      </c>
    </row>
    <row r="65" spans="1:9" x14ac:dyDescent="0.25">
      <c r="A65">
        <v>100</v>
      </c>
      <c r="B65">
        <v>108</v>
      </c>
      <c r="C65">
        <v>8</v>
      </c>
      <c r="D65">
        <v>89</v>
      </c>
      <c r="E65">
        <v>8</v>
      </c>
      <c r="F65">
        <v>200</v>
      </c>
      <c r="G65">
        <v>26</v>
      </c>
      <c r="H65">
        <v>5</v>
      </c>
      <c r="I65" t="s">
        <v>2410</v>
      </c>
    </row>
    <row r="66" spans="1:9" x14ac:dyDescent="0.25">
      <c r="A66">
        <v>100</v>
      </c>
      <c r="B66">
        <v>108</v>
      </c>
      <c r="C66">
        <v>9</v>
      </c>
      <c r="D66">
        <v>89</v>
      </c>
      <c r="E66">
        <v>8</v>
      </c>
      <c r="F66">
        <v>200</v>
      </c>
      <c r="G66">
        <v>26</v>
      </c>
      <c r="H66">
        <v>5</v>
      </c>
      <c r="I66" t="s">
        <v>2411</v>
      </c>
    </row>
    <row r="67" spans="1:9" x14ac:dyDescent="0.25">
      <c r="A67">
        <v>100</v>
      </c>
      <c r="B67">
        <v>108</v>
      </c>
      <c r="C67">
        <v>4</v>
      </c>
      <c r="D67">
        <v>108</v>
      </c>
      <c r="E67">
        <v>4</v>
      </c>
      <c r="F67">
        <v>200</v>
      </c>
      <c r="G67">
        <v>26</v>
      </c>
      <c r="H67">
        <v>5</v>
      </c>
      <c r="I67" t="s">
        <v>2408</v>
      </c>
    </row>
    <row r="68" spans="1:9" x14ac:dyDescent="0.25">
      <c r="A68">
        <v>100</v>
      </c>
      <c r="B68">
        <v>108</v>
      </c>
      <c r="C68">
        <v>6</v>
      </c>
      <c r="D68">
        <v>108</v>
      </c>
      <c r="E68">
        <v>6</v>
      </c>
      <c r="F68">
        <v>200</v>
      </c>
      <c r="G68">
        <v>26</v>
      </c>
      <c r="H68">
        <v>5</v>
      </c>
      <c r="I68" t="s">
        <v>2409</v>
      </c>
    </row>
    <row r="69" spans="1:9" x14ac:dyDescent="0.25">
      <c r="A69">
        <v>100</v>
      </c>
      <c r="B69">
        <v>108</v>
      </c>
      <c r="C69">
        <v>8</v>
      </c>
      <c r="D69">
        <v>108</v>
      </c>
      <c r="E69">
        <v>8</v>
      </c>
      <c r="F69">
        <v>200</v>
      </c>
      <c r="G69">
        <v>26</v>
      </c>
      <c r="H69">
        <v>5</v>
      </c>
      <c r="I69" t="s">
        <v>2410</v>
      </c>
    </row>
    <row r="70" spans="1:9" x14ac:dyDescent="0.25">
      <c r="A70">
        <v>100</v>
      </c>
      <c r="B70">
        <v>108</v>
      </c>
      <c r="C70">
        <v>9</v>
      </c>
      <c r="D70">
        <v>108</v>
      </c>
      <c r="E70">
        <v>9</v>
      </c>
      <c r="F70">
        <v>200</v>
      </c>
      <c r="G70">
        <v>26</v>
      </c>
      <c r="H70">
        <v>5</v>
      </c>
      <c r="I70" t="s">
        <v>2411</v>
      </c>
    </row>
    <row r="71" spans="1:9" x14ac:dyDescent="0.25">
      <c r="A71">
        <v>100</v>
      </c>
      <c r="B71">
        <v>114</v>
      </c>
      <c r="C71">
        <v>4</v>
      </c>
      <c r="D71">
        <v>76</v>
      </c>
      <c r="E71" t="s">
        <v>2402</v>
      </c>
      <c r="F71">
        <v>200</v>
      </c>
      <c r="G71">
        <v>33</v>
      </c>
      <c r="H71">
        <v>5</v>
      </c>
      <c r="I71">
        <v>3</v>
      </c>
    </row>
    <row r="72" spans="1:9" x14ac:dyDescent="0.25">
      <c r="A72">
        <v>100</v>
      </c>
      <c r="B72">
        <v>114</v>
      </c>
      <c r="C72">
        <v>5</v>
      </c>
      <c r="D72">
        <v>76</v>
      </c>
      <c r="E72">
        <v>5</v>
      </c>
      <c r="F72">
        <v>200</v>
      </c>
      <c r="G72">
        <v>33</v>
      </c>
      <c r="H72">
        <v>5</v>
      </c>
      <c r="I72" t="s">
        <v>2412</v>
      </c>
    </row>
    <row r="73" spans="1:9" x14ac:dyDescent="0.25">
      <c r="A73">
        <v>100</v>
      </c>
      <c r="B73">
        <v>114</v>
      </c>
      <c r="C73">
        <v>6</v>
      </c>
      <c r="D73">
        <v>76</v>
      </c>
      <c r="E73">
        <v>6</v>
      </c>
      <c r="F73">
        <v>200</v>
      </c>
      <c r="G73">
        <v>33</v>
      </c>
      <c r="H73">
        <v>5</v>
      </c>
      <c r="I73" t="s">
        <v>2413</v>
      </c>
    </row>
    <row r="74" spans="1:9" x14ac:dyDescent="0.25">
      <c r="A74">
        <v>100</v>
      </c>
      <c r="B74">
        <v>114</v>
      </c>
      <c r="C74">
        <v>9</v>
      </c>
      <c r="D74">
        <v>76</v>
      </c>
      <c r="E74">
        <v>7</v>
      </c>
      <c r="F74">
        <v>200</v>
      </c>
      <c r="G74">
        <v>33</v>
      </c>
      <c r="H74">
        <v>5</v>
      </c>
      <c r="I74" t="s">
        <v>2414</v>
      </c>
    </row>
    <row r="75" spans="1:9" x14ac:dyDescent="0.25">
      <c r="A75">
        <v>100</v>
      </c>
      <c r="B75">
        <v>114</v>
      </c>
      <c r="C75">
        <v>4</v>
      </c>
      <c r="D75">
        <v>89</v>
      </c>
      <c r="E75">
        <v>4</v>
      </c>
      <c r="F75">
        <v>200</v>
      </c>
      <c r="G75">
        <v>33</v>
      </c>
      <c r="H75">
        <v>5</v>
      </c>
      <c r="I75">
        <v>3</v>
      </c>
    </row>
    <row r="76" spans="1:9" x14ac:dyDescent="0.25">
      <c r="A76">
        <v>100</v>
      </c>
      <c r="B76">
        <v>114</v>
      </c>
      <c r="C76">
        <v>5</v>
      </c>
      <c r="D76">
        <v>89</v>
      </c>
      <c r="E76">
        <v>5</v>
      </c>
      <c r="F76">
        <v>200</v>
      </c>
      <c r="G76">
        <v>33</v>
      </c>
      <c r="H76">
        <v>5</v>
      </c>
      <c r="I76" t="s">
        <v>2412</v>
      </c>
    </row>
    <row r="77" spans="1:9" x14ac:dyDescent="0.25">
      <c r="A77">
        <v>100</v>
      </c>
      <c r="B77">
        <v>114</v>
      </c>
      <c r="C77">
        <v>6</v>
      </c>
      <c r="D77">
        <v>89</v>
      </c>
      <c r="E77">
        <v>6</v>
      </c>
      <c r="F77">
        <v>200</v>
      </c>
      <c r="G77">
        <v>33</v>
      </c>
      <c r="H77">
        <v>5</v>
      </c>
      <c r="I77" t="s">
        <v>2413</v>
      </c>
    </row>
    <row r="78" spans="1:9" x14ac:dyDescent="0.25">
      <c r="A78">
        <v>100</v>
      </c>
      <c r="B78">
        <v>114</v>
      </c>
      <c r="C78">
        <v>9</v>
      </c>
      <c r="D78">
        <v>89</v>
      </c>
      <c r="E78">
        <v>8</v>
      </c>
      <c r="F78">
        <v>200</v>
      </c>
      <c r="G78">
        <v>33</v>
      </c>
      <c r="H78">
        <v>5</v>
      </c>
      <c r="I78" t="s">
        <v>2414</v>
      </c>
    </row>
    <row r="79" spans="1:9" x14ac:dyDescent="0.25">
      <c r="A79">
        <v>100</v>
      </c>
      <c r="B79">
        <v>114</v>
      </c>
      <c r="C79">
        <v>4</v>
      </c>
      <c r="D79">
        <v>114</v>
      </c>
      <c r="E79">
        <v>4</v>
      </c>
      <c r="F79">
        <v>200</v>
      </c>
      <c r="G79">
        <v>33</v>
      </c>
      <c r="H79">
        <v>5</v>
      </c>
      <c r="I79">
        <v>3</v>
      </c>
    </row>
    <row r="80" spans="1:9" x14ac:dyDescent="0.25">
      <c r="A80">
        <v>100</v>
      </c>
      <c r="B80">
        <v>114</v>
      </c>
      <c r="C80">
        <v>5</v>
      </c>
      <c r="D80">
        <v>114</v>
      </c>
      <c r="E80">
        <v>5</v>
      </c>
      <c r="F80">
        <v>200</v>
      </c>
      <c r="G80">
        <v>33</v>
      </c>
      <c r="H80">
        <v>5</v>
      </c>
      <c r="I80" t="s">
        <v>2412</v>
      </c>
    </row>
    <row r="81" spans="1:9" x14ac:dyDescent="0.25">
      <c r="A81">
        <v>100</v>
      </c>
      <c r="B81">
        <v>114</v>
      </c>
      <c r="C81">
        <v>6</v>
      </c>
      <c r="D81">
        <v>114</v>
      </c>
      <c r="E81">
        <v>6</v>
      </c>
      <c r="F81">
        <v>200</v>
      </c>
      <c r="G81">
        <v>33</v>
      </c>
      <c r="H81">
        <v>5</v>
      </c>
      <c r="I81" t="s">
        <v>2413</v>
      </c>
    </row>
    <row r="82" spans="1:9" x14ac:dyDescent="0.25">
      <c r="A82">
        <v>100</v>
      </c>
      <c r="B82">
        <v>114</v>
      </c>
      <c r="C82">
        <v>9</v>
      </c>
      <c r="D82">
        <v>114</v>
      </c>
      <c r="E82">
        <v>9</v>
      </c>
      <c r="F82">
        <v>200</v>
      </c>
      <c r="G82">
        <v>33</v>
      </c>
      <c r="H82">
        <v>5</v>
      </c>
      <c r="I82" t="s">
        <v>2414</v>
      </c>
    </row>
    <row r="83" spans="1:9" x14ac:dyDescent="0.25">
      <c r="A83">
        <v>125</v>
      </c>
      <c r="B83">
        <v>133</v>
      </c>
      <c r="C83">
        <v>4</v>
      </c>
      <c r="D83">
        <v>89</v>
      </c>
      <c r="E83" t="s">
        <v>2402</v>
      </c>
      <c r="F83">
        <v>220</v>
      </c>
      <c r="G83">
        <v>28.5</v>
      </c>
      <c r="H83">
        <v>6</v>
      </c>
      <c r="I83" t="s">
        <v>2415</v>
      </c>
    </row>
    <row r="84" spans="1:9" x14ac:dyDescent="0.25">
      <c r="A84">
        <v>125</v>
      </c>
      <c r="B84">
        <v>133</v>
      </c>
      <c r="C84">
        <v>6</v>
      </c>
      <c r="D84">
        <v>89</v>
      </c>
      <c r="E84">
        <v>5</v>
      </c>
      <c r="F84">
        <v>220</v>
      </c>
      <c r="G84">
        <v>28.5</v>
      </c>
      <c r="H84">
        <v>6</v>
      </c>
      <c r="I84" t="s">
        <v>2416</v>
      </c>
    </row>
    <row r="85" spans="1:9" x14ac:dyDescent="0.25">
      <c r="A85">
        <v>125</v>
      </c>
      <c r="B85">
        <v>133</v>
      </c>
      <c r="C85">
        <v>8</v>
      </c>
      <c r="D85">
        <v>89</v>
      </c>
      <c r="E85">
        <v>6</v>
      </c>
      <c r="F85">
        <v>220</v>
      </c>
      <c r="G85">
        <v>28.5</v>
      </c>
      <c r="H85">
        <v>6</v>
      </c>
      <c r="I85" t="s">
        <v>2417</v>
      </c>
    </row>
    <row r="86" spans="1:9" x14ac:dyDescent="0.25">
      <c r="A86">
        <v>125</v>
      </c>
      <c r="B86">
        <v>133</v>
      </c>
      <c r="C86">
        <v>10</v>
      </c>
      <c r="D86">
        <v>89</v>
      </c>
      <c r="E86">
        <v>8</v>
      </c>
      <c r="F86">
        <v>220</v>
      </c>
      <c r="G86">
        <v>28.5</v>
      </c>
      <c r="H86">
        <v>6</v>
      </c>
      <c r="I86" t="s">
        <v>2418</v>
      </c>
    </row>
    <row r="87" spans="1:9" x14ac:dyDescent="0.25">
      <c r="A87">
        <v>125</v>
      </c>
      <c r="B87">
        <v>133</v>
      </c>
      <c r="C87">
        <v>12</v>
      </c>
      <c r="D87">
        <v>89</v>
      </c>
      <c r="E87">
        <v>9</v>
      </c>
      <c r="F87">
        <v>220</v>
      </c>
      <c r="G87">
        <v>28.5</v>
      </c>
      <c r="H87">
        <v>6</v>
      </c>
      <c r="I87">
        <v>8</v>
      </c>
    </row>
    <row r="88" spans="1:9" x14ac:dyDescent="0.25">
      <c r="A88">
        <v>125</v>
      </c>
      <c r="B88">
        <v>133</v>
      </c>
      <c r="C88">
        <v>4</v>
      </c>
      <c r="D88">
        <v>108</v>
      </c>
      <c r="E88">
        <v>4</v>
      </c>
      <c r="F88">
        <v>220</v>
      </c>
      <c r="G88">
        <v>28.5</v>
      </c>
      <c r="H88">
        <v>6</v>
      </c>
      <c r="I88" t="s">
        <v>2415</v>
      </c>
    </row>
    <row r="89" spans="1:9" x14ac:dyDescent="0.25">
      <c r="A89">
        <v>125</v>
      </c>
      <c r="B89">
        <v>133</v>
      </c>
      <c r="C89">
        <v>6</v>
      </c>
      <c r="D89">
        <v>108</v>
      </c>
      <c r="E89">
        <v>5</v>
      </c>
      <c r="F89">
        <v>220</v>
      </c>
      <c r="G89">
        <v>28.5</v>
      </c>
      <c r="H89">
        <v>6</v>
      </c>
      <c r="I89" t="s">
        <v>2416</v>
      </c>
    </row>
    <row r="90" spans="1:9" x14ac:dyDescent="0.25">
      <c r="A90">
        <v>125</v>
      </c>
      <c r="B90">
        <v>133</v>
      </c>
      <c r="C90">
        <v>8</v>
      </c>
      <c r="D90">
        <v>108</v>
      </c>
      <c r="E90">
        <v>6</v>
      </c>
      <c r="F90">
        <v>220</v>
      </c>
      <c r="G90">
        <v>28.5</v>
      </c>
      <c r="H90">
        <v>6</v>
      </c>
      <c r="I90" t="s">
        <v>2417</v>
      </c>
    </row>
    <row r="91" spans="1:9" x14ac:dyDescent="0.25">
      <c r="A91">
        <v>125</v>
      </c>
      <c r="B91">
        <v>133</v>
      </c>
      <c r="C91">
        <v>10</v>
      </c>
      <c r="D91">
        <v>108</v>
      </c>
      <c r="E91">
        <v>9</v>
      </c>
      <c r="F91">
        <v>220</v>
      </c>
      <c r="G91">
        <v>28.5</v>
      </c>
      <c r="H91">
        <v>6</v>
      </c>
      <c r="I91" t="s">
        <v>2418</v>
      </c>
    </row>
    <row r="92" spans="1:9" x14ac:dyDescent="0.25">
      <c r="A92">
        <v>125</v>
      </c>
      <c r="B92">
        <v>133</v>
      </c>
      <c r="C92">
        <v>12</v>
      </c>
      <c r="D92">
        <v>108</v>
      </c>
      <c r="E92">
        <v>10</v>
      </c>
      <c r="F92">
        <v>220</v>
      </c>
      <c r="G92">
        <v>28.5</v>
      </c>
      <c r="H92">
        <v>6</v>
      </c>
      <c r="I92">
        <v>8</v>
      </c>
    </row>
    <row r="93" spans="1:9" x14ac:dyDescent="0.25">
      <c r="A93">
        <v>125</v>
      </c>
      <c r="B93">
        <v>133</v>
      </c>
      <c r="C93">
        <v>4</v>
      </c>
      <c r="D93">
        <v>133</v>
      </c>
      <c r="E93">
        <v>4</v>
      </c>
      <c r="F93">
        <v>220</v>
      </c>
      <c r="G93">
        <v>28.5</v>
      </c>
      <c r="H93">
        <v>6</v>
      </c>
      <c r="I93" t="s">
        <v>2415</v>
      </c>
    </row>
    <row r="94" spans="1:9" x14ac:dyDescent="0.25">
      <c r="A94">
        <v>125</v>
      </c>
      <c r="B94">
        <v>133</v>
      </c>
      <c r="C94">
        <v>6</v>
      </c>
      <c r="D94">
        <v>133</v>
      </c>
      <c r="E94">
        <v>6</v>
      </c>
      <c r="F94">
        <v>220</v>
      </c>
      <c r="G94">
        <v>28.5</v>
      </c>
      <c r="H94">
        <v>6</v>
      </c>
      <c r="I94" t="s">
        <v>2416</v>
      </c>
    </row>
    <row r="95" spans="1:9" x14ac:dyDescent="0.25">
      <c r="A95">
        <v>125</v>
      </c>
      <c r="B95">
        <v>133</v>
      </c>
      <c r="C95">
        <v>8</v>
      </c>
      <c r="D95">
        <v>133</v>
      </c>
      <c r="E95">
        <v>8</v>
      </c>
      <c r="F95">
        <v>220</v>
      </c>
      <c r="G95">
        <v>28.5</v>
      </c>
      <c r="H95">
        <v>6</v>
      </c>
      <c r="I95" t="s">
        <v>2417</v>
      </c>
    </row>
    <row r="96" spans="1:9" x14ac:dyDescent="0.25">
      <c r="A96">
        <v>125</v>
      </c>
      <c r="B96">
        <v>133</v>
      </c>
      <c r="C96">
        <v>10</v>
      </c>
      <c r="D96">
        <v>133</v>
      </c>
      <c r="E96">
        <v>10</v>
      </c>
      <c r="F96">
        <v>220</v>
      </c>
      <c r="G96">
        <v>28.5</v>
      </c>
      <c r="H96">
        <v>6</v>
      </c>
      <c r="I96" t="s">
        <v>2418</v>
      </c>
    </row>
    <row r="97" spans="1:9" x14ac:dyDescent="0.25">
      <c r="A97">
        <v>125</v>
      </c>
      <c r="B97">
        <v>133</v>
      </c>
      <c r="C97">
        <v>12</v>
      </c>
      <c r="D97">
        <v>133</v>
      </c>
      <c r="E97">
        <v>12</v>
      </c>
      <c r="F97">
        <v>220</v>
      </c>
      <c r="G97">
        <v>28.5</v>
      </c>
      <c r="H97">
        <v>6</v>
      </c>
      <c r="I97">
        <v>8</v>
      </c>
    </row>
    <row r="98" spans="1:9" x14ac:dyDescent="0.25">
      <c r="A98">
        <v>150</v>
      </c>
      <c r="B98">
        <v>159</v>
      </c>
      <c r="C98" t="s">
        <v>2410</v>
      </c>
      <c r="D98">
        <v>108</v>
      </c>
      <c r="E98">
        <v>4</v>
      </c>
      <c r="F98">
        <v>260</v>
      </c>
      <c r="G98">
        <v>30.5</v>
      </c>
      <c r="H98">
        <v>8</v>
      </c>
      <c r="I98" t="s">
        <v>2419</v>
      </c>
    </row>
    <row r="99" spans="1:9" x14ac:dyDescent="0.25">
      <c r="A99">
        <v>150</v>
      </c>
      <c r="B99">
        <v>159</v>
      </c>
      <c r="C99">
        <v>6</v>
      </c>
      <c r="D99">
        <v>108</v>
      </c>
      <c r="E99">
        <v>5</v>
      </c>
      <c r="F99">
        <v>260</v>
      </c>
      <c r="G99">
        <v>30.5</v>
      </c>
      <c r="H99">
        <v>8</v>
      </c>
      <c r="I99" t="s">
        <v>2420</v>
      </c>
    </row>
    <row r="100" spans="1:9" x14ac:dyDescent="0.25">
      <c r="A100">
        <v>150</v>
      </c>
      <c r="B100">
        <v>159</v>
      </c>
      <c r="C100">
        <v>8</v>
      </c>
      <c r="D100">
        <v>108</v>
      </c>
      <c r="E100">
        <v>6</v>
      </c>
      <c r="F100">
        <v>260</v>
      </c>
      <c r="G100">
        <v>30.5</v>
      </c>
      <c r="H100">
        <v>8</v>
      </c>
      <c r="I100">
        <v>9</v>
      </c>
    </row>
    <row r="101" spans="1:9" x14ac:dyDescent="0.25">
      <c r="A101">
        <v>150</v>
      </c>
      <c r="B101">
        <v>159</v>
      </c>
      <c r="C101">
        <v>10</v>
      </c>
      <c r="D101">
        <v>108</v>
      </c>
      <c r="E101">
        <v>9</v>
      </c>
      <c r="F101">
        <v>260</v>
      </c>
      <c r="G101">
        <v>30.5</v>
      </c>
      <c r="H101">
        <v>8</v>
      </c>
      <c r="I101" t="s">
        <v>2421</v>
      </c>
    </row>
    <row r="102" spans="1:9" x14ac:dyDescent="0.25">
      <c r="A102">
        <v>150</v>
      </c>
      <c r="B102">
        <v>159</v>
      </c>
      <c r="C102">
        <v>12</v>
      </c>
      <c r="D102">
        <v>108</v>
      </c>
      <c r="E102">
        <v>10</v>
      </c>
      <c r="F102">
        <v>260</v>
      </c>
      <c r="G102">
        <v>30.5</v>
      </c>
      <c r="H102">
        <v>8</v>
      </c>
      <c r="I102" t="s">
        <v>2422</v>
      </c>
    </row>
    <row r="103" spans="1:9" x14ac:dyDescent="0.25">
      <c r="A103">
        <v>150</v>
      </c>
      <c r="B103">
        <v>159</v>
      </c>
      <c r="C103" t="s">
        <v>2410</v>
      </c>
      <c r="D103">
        <v>133</v>
      </c>
      <c r="E103">
        <v>4</v>
      </c>
      <c r="F103">
        <v>260</v>
      </c>
      <c r="G103">
        <v>30.5</v>
      </c>
      <c r="H103">
        <v>8</v>
      </c>
      <c r="I103" t="s">
        <v>2419</v>
      </c>
    </row>
    <row r="104" spans="1:9" x14ac:dyDescent="0.25">
      <c r="A104">
        <v>150</v>
      </c>
      <c r="B104">
        <v>159</v>
      </c>
      <c r="C104">
        <v>6</v>
      </c>
      <c r="D104">
        <v>133</v>
      </c>
      <c r="E104">
        <v>5</v>
      </c>
      <c r="F104">
        <v>260</v>
      </c>
      <c r="G104">
        <v>30.5</v>
      </c>
      <c r="H104">
        <v>8</v>
      </c>
      <c r="I104" t="s">
        <v>2420</v>
      </c>
    </row>
    <row r="105" spans="1:9" x14ac:dyDescent="0.25">
      <c r="A105">
        <v>150</v>
      </c>
      <c r="B105">
        <v>159</v>
      </c>
      <c r="C105">
        <v>8</v>
      </c>
      <c r="D105">
        <v>133</v>
      </c>
      <c r="E105">
        <v>6</v>
      </c>
      <c r="F105">
        <v>260</v>
      </c>
      <c r="G105">
        <v>30.5</v>
      </c>
      <c r="H105">
        <v>8</v>
      </c>
      <c r="I105">
        <v>9</v>
      </c>
    </row>
    <row r="106" spans="1:9" x14ac:dyDescent="0.25">
      <c r="A106">
        <v>150</v>
      </c>
      <c r="B106">
        <v>159</v>
      </c>
      <c r="C106">
        <v>10</v>
      </c>
      <c r="D106">
        <v>133</v>
      </c>
      <c r="E106">
        <v>10</v>
      </c>
      <c r="F106">
        <v>260</v>
      </c>
      <c r="G106">
        <v>30.5</v>
      </c>
      <c r="H106">
        <v>8</v>
      </c>
      <c r="I106" t="s">
        <v>2421</v>
      </c>
    </row>
    <row r="107" spans="1:9" x14ac:dyDescent="0.25">
      <c r="A107">
        <v>150</v>
      </c>
      <c r="B107">
        <v>159</v>
      </c>
      <c r="C107">
        <v>12</v>
      </c>
      <c r="D107">
        <v>133</v>
      </c>
      <c r="E107">
        <v>12</v>
      </c>
      <c r="F107">
        <v>260</v>
      </c>
      <c r="G107">
        <v>30.5</v>
      </c>
      <c r="H107">
        <v>8</v>
      </c>
      <c r="I107" t="s">
        <v>2422</v>
      </c>
    </row>
    <row r="108" spans="1:9" x14ac:dyDescent="0.25">
      <c r="A108">
        <v>150</v>
      </c>
      <c r="B108">
        <v>159</v>
      </c>
      <c r="C108" t="s">
        <v>2410</v>
      </c>
      <c r="D108">
        <v>159</v>
      </c>
      <c r="E108" t="s">
        <v>2410</v>
      </c>
      <c r="F108">
        <v>260</v>
      </c>
      <c r="G108">
        <v>30.5</v>
      </c>
      <c r="H108">
        <v>8</v>
      </c>
      <c r="I108" t="s">
        <v>2419</v>
      </c>
    </row>
    <row r="109" spans="1:9" x14ac:dyDescent="0.25">
      <c r="A109">
        <v>150</v>
      </c>
      <c r="B109">
        <v>159</v>
      </c>
      <c r="C109">
        <v>6</v>
      </c>
      <c r="D109">
        <v>159</v>
      </c>
      <c r="E109">
        <v>6</v>
      </c>
      <c r="F109">
        <v>260</v>
      </c>
      <c r="G109">
        <v>30.5</v>
      </c>
      <c r="H109">
        <v>8</v>
      </c>
      <c r="I109" t="s">
        <v>2420</v>
      </c>
    </row>
    <row r="110" spans="1:9" x14ac:dyDescent="0.25">
      <c r="A110">
        <v>150</v>
      </c>
      <c r="B110">
        <v>159</v>
      </c>
      <c r="C110">
        <v>8</v>
      </c>
      <c r="D110">
        <v>159</v>
      </c>
      <c r="E110">
        <v>8</v>
      </c>
      <c r="F110">
        <v>260</v>
      </c>
      <c r="G110">
        <v>30.5</v>
      </c>
      <c r="H110">
        <v>8</v>
      </c>
      <c r="I110">
        <v>9</v>
      </c>
    </row>
    <row r="111" spans="1:9" x14ac:dyDescent="0.25">
      <c r="A111">
        <v>150</v>
      </c>
      <c r="B111">
        <v>159</v>
      </c>
      <c r="C111">
        <v>10</v>
      </c>
      <c r="D111">
        <v>159</v>
      </c>
      <c r="E111">
        <v>10</v>
      </c>
      <c r="F111">
        <v>260</v>
      </c>
      <c r="G111">
        <v>30.5</v>
      </c>
      <c r="H111">
        <v>8</v>
      </c>
      <c r="I111" t="s">
        <v>2421</v>
      </c>
    </row>
    <row r="112" spans="1:9" x14ac:dyDescent="0.25">
      <c r="A112">
        <v>150</v>
      </c>
      <c r="B112">
        <v>159</v>
      </c>
      <c r="C112">
        <v>12</v>
      </c>
      <c r="D112">
        <v>159</v>
      </c>
      <c r="E112">
        <v>12</v>
      </c>
      <c r="F112">
        <v>260</v>
      </c>
      <c r="G112">
        <v>30.5</v>
      </c>
      <c r="H112">
        <v>8</v>
      </c>
      <c r="I112" t="s">
        <v>2422</v>
      </c>
    </row>
    <row r="113" spans="1:9" x14ac:dyDescent="0.25">
      <c r="A113">
        <v>200</v>
      </c>
      <c r="B113">
        <v>219</v>
      </c>
      <c r="C113">
        <v>6</v>
      </c>
      <c r="D113">
        <v>133</v>
      </c>
      <c r="E113">
        <v>5</v>
      </c>
      <c r="F113">
        <v>320</v>
      </c>
      <c r="G113">
        <v>30.5</v>
      </c>
      <c r="H113">
        <v>10</v>
      </c>
      <c r="I113" t="s">
        <v>2423</v>
      </c>
    </row>
    <row r="114" spans="1:9" x14ac:dyDescent="0.25">
      <c r="A114">
        <v>200</v>
      </c>
      <c r="B114">
        <v>219</v>
      </c>
      <c r="C114">
        <v>8</v>
      </c>
      <c r="D114">
        <v>133</v>
      </c>
      <c r="E114">
        <v>6</v>
      </c>
      <c r="F114">
        <v>320</v>
      </c>
      <c r="G114">
        <v>30.5</v>
      </c>
      <c r="H114">
        <v>10</v>
      </c>
      <c r="I114" t="s">
        <v>2424</v>
      </c>
    </row>
    <row r="115" spans="1:9" x14ac:dyDescent="0.25">
      <c r="A115">
        <v>200</v>
      </c>
      <c r="B115">
        <v>219</v>
      </c>
      <c r="C115">
        <v>10</v>
      </c>
      <c r="D115">
        <v>133</v>
      </c>
      <c r="E115">
        <v>8</v>
      </c>
      <c r="F115">
        <v>320</v>
      </c>
      <c r="G115">
        <v>30.5</v>
      </c>
      <c r="H115">
        <v>10</v>
      </c>
      <c r="I115" t="s">
        <v>2425</v>
      </c>
    </row>
    <row r="116" spans="1:9" x14ac:dyDescent="0.25">
      <c r="A116">
        <v>200</v>
      </c>
      <c r="B116">
        <v>219</v>
      </c>
      <c r="C116">
        <v>12</v>
      </c>
      <c r="D116">
        <v>133</v>
      </c>
      <c r="E116">
        <v>10</v>
      </c>
      <c r="F116">
        <v>320</v>
      </c>
      <c r="G116">
        <v>30.5</v>
      </c>
      <c r="H116">
        <v>10</v>
      </c>
      <c r="I116" t="s">
        <v>2426</v>
      </c>
    </row>
    <row r="117" spans="1:9" x14ac:dyDescent="0.25">
      <c r="A117">
        <v>200</v>
      </c>
      <c r="B117">
        <v>219</v>
      </c>
      <c r="C117">
        <v>16</v>
      </c>
      <c r="D117">
        <v>133</v>
      </c>
      <c r="E117">
        <v>16</v>
      </c>
      <c r="F117">
        <v>320</v>
      </c>
      <c r="G117">
        <v>30.5</v>
      </c>
      <c r="H117">
        <v>10</v>
      </c>
      <c r="I117" t="s">
        <v>2427</v>
      </c>
    </row>
    <row r="118" spans="1:9" x14ac:dyDescent="0.25">
      <c r="A118">
        <v>200</v>
      </c>
      <c r="B118">
        <v>219</v>
      </c>
      <c r="C118">
        <v>6</v>
      </c>
      <c r="D118">
        <v>159</v>
      </c>
      <c r="E118">
        <v>6</v>
      </c>
      <c r="F118">
        <v>320</v>
      </c>
      <c r="G118">
        <v>30.5</v>
      </c>
      <c r="H118">
        <v>10</v>
      </c>
      <c r="I118" t="s">
        <v>2423</v>
      </c>
    </row>
    <row r="119" spans="1:9" x14ac:dyDescent="0.25">
      <c r="A119">
        <v>200</v>
      </c>
      <c r="B119">
        <v>219</v>
      </c>
      <c r="C119">
        <v>8</v>
      </c>
      <c r="D119">
        <v>159</v>
      </c>
      <c r="E119">
        <v>6</v>
      </c>
      <c r="F119">
        <v>320</v>
      </c>
      <c r="G119">
        <v>30.5</v>
      </c>
      <c r="H119">
        <v>10</v>
      </c>
      <c r="I119" t="s">
        <v>2424</v>
      </c>
    </row>
    <row r="120" spans="1:9" x14ac:dyDescent="0.25">
      <c r="A120">
        <v>200</v>
      </c>
      <c r="B120">
        <v>219</v>
      </c>
      <c r="C120">
        <v>10</v>
      </c>
      <c r="D120">
        <v>159</v>
      </c>
      <c r="E120">
        <v>8</v>
      </c>
      <c r="F120">
        <v>320</v>
      </c>
      <c r="G120">
        <v>30.5</v>
      </c>
      <c r="H120">
        <v>10</v>
      </c>
      <c r="I120" t="s">
        <v>2425</v>
      </c>
    </row>
    <row r="121" spans="1:9" x14ac:dyDescent="0.25">
      <c r="A121">
        <v>200</v>
      </c>
      <c r="B121">
        <v>219</v>
      </c>
      <c r="C121">
        <v>12</v>
      </c>
      <c r="D121">
        <v>159</v>
      </c>
      <c r="E121">
        <v>11</v>
      </c>
      <c r="F121">
        <v>320</v>
      </c>
      <c r="G121">
        <v>30.5</v>
      </c>
      <c r="H121">
        <v>10</v>
      </c>
      <c r="I121" t="s">
        <v>2426</v>
      </c>
    </row>
    <row r="122" spans="1:9" x14ac:dyDescent="0.25">
      <c r="A122">
        <v>200</v>
      </c>
      <c r="B122">
        <v>219</v>
      </c>
      <c r="C122">
        <v>16</v>
      </c>
      <c r="D122">
        <v>159</v>
      </c>
      <c r="E122">
        <v>12</v>
      </c>
      <c r="F122">
        <v>320</v>
      </c>
      <c r="G122">
        <v>30.5</v>
      </c>
      <c r="H122">
        <v>10</v>
      </c>
      <c r="I122" t="s">
        <v>2427</v>
      </c>
    </row>
    <row r="123" spans="1:9" x14ac:dyDescent="0.25">
      <c r="A123">
        <v>200</v>
      </c>
      <c r="B123">
        <v>219</v>
      </c>
      <c r="C123">
        <v>6</v>
      </c>
      <c r="D123">
        <v>219</v>
      </c>
      <c r="E123">
        <v>6</v>
      </c>
      <c r="F123">
        <v>320</v>
      </c>
      <c r="G123">
        <v>30.5</v>
      </c>
      <c r="H123">
        <v>10</v>
      </c>
      <c r="I123" t="s">
        <v>2423</v>
      </c>
    </row>
    <row r="124" spans="1:9" x14ac:dyDescent="0.25">
      <c r="A124">
        <v>200</v>
      </c>
      <c r="B124">
        <v>219</v>
      </c>
      <c r="C124">
        <v>8</v>
      </c>
      <c r="D124">
        <v>219</v>
      </c>
      <c r="E124">
        <v>8</v>
      </c>
      <c r="F124">
        <v>320</v>
      </c>
      <c r="G124">
        <v>30.5</v>
      </c>
      <c r="H124">
        <v>10</v>
      </c>
      <c r="I124" t="s">
        <v>2424</v>
      </c>
    </row>
    <row r="125" spans="1:9" x14ac:dyDescent="0.25">
      <c r="A125">
        <v>200</v>
      </c>
      <c r="B125">
        <v>219</v>
      </c>
      <c r="C125">
        <v>10</v>
      </c>
      <c r="D125">
        <v>219</v>
      </c>
      <c r="E125">
        <v>10</v>
      </c>
      <c r="F125">
        <v>320</v>
      </c>
      <c r="G125">
        <v>30.5</v>
      </c>
      <c r="H125">
        <v>10</v>
      </c>
      <c r="I125" t="s">
        <v>2425</v>
      </c>
    </row>
    <row r="126" spans="1:9" x14ac:dyDescent="0.25">
      <c r="A126">
        <v>200</v>
      </c>
      <c r="B126">
        <v>219</v>
      </c>
      <c r="C126">
        <v>12</v>
      </c>
      <c r="D126">
        <v>219</v>
      </c>
      <c r="E126">
        <v>12</v>
      </c>
      <c r="F126">
        <v>320</v>
      </c>
      <c r="G126">
        <v>30.5</v>
      </c>
      <c r="H126">
        <v>10</v>
      </c>
      <c r="I126" t="s">
        <v>2426</v>
      </c>
    </row>
    <row r="127" spans="1:9" x14ac:dyDescent="0.25">
      <c r="A127">
        <v>200</v>
      </c>
      <c r="B127">
        <v>219</v>
      </c>
      <c r="C127">
        <v>16</v>
      </c>
      <c r="D127">
        <v>219</v>
      </c>
      <c r="E127">
        <v>16</v>
      </c>
      <c r="F127">
        <v>320</v>
      </c>
      <c r="G127">
        <v>30.5</v>
      </c>
      <c r="H127">
        <v>10</v>
      </c>
      <c r="I127" t="s">
        <v>2427</v>
      </c>
    </row>
    <row r="128" spans="1:9" x14ac:dyDescent="0.25">
      <c r="A128">
        <v>250</v>
      </c>
      <c r="B128">
        <v>273</v>
      </c>
      <c r="C128">
        <v>7</v>
      </c>
      <c r="D128">
        <v>159</v>
      </c>
      <c r="E128" t="s">
        <v>2410</v>
      </c>
      <c r="F128">
        <v>380</v>
      </c>
      <c r="G128">
        <v>38.5</v>
      </c>
      <c r="H128">
        <v>12</v>
      </c>
      <c r="I128" t="s">
        <v>2428</v>
      </c>
    </row>
    <row r="129" spans="1:9" x14ac:dyDescent="0.25">
      <c r="A129">
        <v>250</v>
      </c>
      <c r="B129">
        <v>273</v>
      </c>
      <c r="C129">
        <v>10</v>
      </c>
      <c r="D129">
        <v>159</v>
      </c>
      <c r="E129">
        <v>6</v>
      </c>
      <c r="F129">
        <v>380</v>
      </c>
      <c r="G129">
        <v>38.5</v>
      </c>
      <c r="H129">
        <v>12</v>
      </c>
      <c r="I129">
        <v>26</v>
      </c>
    </row>
    <row r="130" spans="1:9" x14ac:dyDescent="0.25">
      <c r="A130">
        <v>250</v>
      </c>
      <c r="B130">
        <v>273</v>
      </c>
      <c r="C130">
        <v>12</v>
      </c>
      <c r="D130">
        <v>159</v>
      </c>
      <c r="E130">
        <v>8</v>
      </c>
      <c r="F130">
        <v>380</v>
      </c>
      <c r="G130">
        <v>38.5</v>
      </c>
      <c r="H130">
        <v>12</v>
      </c>
      <c r="I130" t="s">
        <v>2429</v>
      </c>
    </row>
    <row r="131" spans="1:9" x14ac:dyDescent="0.25">
      <c r="A131">
        <v>250</v>
      </c>
      <c r="B131">
        <v>273</v>
      </c>
      <c r="C131">
        <v>16</v>
      </c>
      <c r="D131">
        <v>159</v>
      </c>
      <c r="E131">
        <v>11</v>
      </c>
      <c r="F131">
        <v>380</v>
      </c>
      <c r="G131">
        <v>38.5</v>
      </c>
      <c r="H131">
        <v>12</v>
      </c>
      <c r="I131" t="s">
        <v>2430</v>
      </c>
    </row>
    <row r="132" spans="1:9" x14ac:dyDescent="0.25">
      <c r="A132">
        <v>250</v>
      </c>
      <c r="B132">
        <v>273</v>
      </c>
      <c r="C132">
        <v>18</v>
      </c>
      <c r="D132">
        <v>159</v>
      </c>
      <c r="E132">
        <v>12</v>
      </c>
      <c r="F132">
        <v>380</v>
      </c>
      <c r="G132">
        <v>38.5</v>
      </c>
      <c r="H132">
        <v>12</v>
      </c>
      <c r="I132" t="s">
        <v>2431</v>
      </c>
    </row>
    <row r="133" spans="1:9" x14ac:dyDescent="0.25">
      <c r="A133">
        <v>250</v>
      </c>
      <c r="B133">
        <v>273</v>
      </c>
      <c r="C133">
        <v>7</v>
      </c>
      <c r="D133">
        <v>219</v>
      </c>
      <c r="E133">
        <v>6</v>
      </c>
      <c r="F133">
        <v>380</v>
      </c>
      <c r="G133">
        <v>38.5</v>
      </c>
      <c r="H133">
        <v>12</v>
      </c>
      <c r="I133" t="s">
        <v>2428</v>
      </c>
    </row>
    <row r="134" spans="1:9" x14ac:dyDescent="0.25">
      <c r="A134">
        <v>250</v>
      </c>
      <c r="B134">
        <v>273</v>
      </c>
      <c r="C134">
        <v>10</v>
      </c>
      <c r="D134">
        <v>219</v>
      </c>
      <c r="E134">
        <v>8</v>
      </c>
      <c r="F134">
        <v>380</v>
      </c>
      <c r="G134">
        <v>38.5</v>
      </c>
      <c r="H134">
        <v>12</v>
      </c>
      <c r="I134">
        <v>26</v>
      </c>
    </row>
    <row r="135" spans="1:9" x14ac:dyDescent="0.25">
      <c r="A135">
        <v>250</v>
      </c>
      <c r="B135">
        <v>273</v>
      </c>
      <c r="C135">
        <v>12</v>
      </c>
      <c r="D135">
        <v>219</v>
      </c>
      <c r="E135">
        <v>10</v>
      </c>
      <c r="F135">
        <v>380</v>
      </c>
      <c r="G135">
        <v>38.5</v>
      </c>
      <c r="H135">
        <v>12</v>
      </c>
      <c r="I135" t="s">
        <v>2429</v>
      </c>
    </row>
    <row r="136" spans="1:9" x14ac:dyDescent="0.25">
      <c r="A136">
        <v>250</v>
      </c>
      <c r="B136">
        <v>273</v>
      </c>
      <c r="C136">
        <v>16</v>
      </c>
      <c r="D136">
        <v>219</v>
      </c>
      <c r="E136">
        <v>12</v>
      </c>
      <c r="F136">
        <v>380</v>
      </c>
      <c r="G136">
        <v>38.5</v>
      </c>
      <c r="H136">
        <v>12</v>
      </c>
      <c r="I136" t="s">
        <v>2430</v>
      </c>
    </row>
    <row r="137" spans="1:9" x14ac:dyDescent="0.25">
      <c r="A137">
        <v>250</v>
      </c>
      <c r="B137">
        <v>273</v>
      </c>
      <c r="C137">
        <v>18</v>
      </c>
      <c r="D137">
        <v>219</v>
      </c>
      <c r="E137">
        <v>16</v>
      </c>
      <c r="F137">
        <v>380</v>
      </c>
      <c r="G137">
        <v>38.5</v>
      </c>
      <c r="H137">
        <v>12</v>
      </c>
      <c r="I137" t="s">
        <v>2431</v>
      </c>
    </row>
    <row r="138" spans="1:9" x14ac:dyDescent="0.25">
      <c r="A138">
        <v>250</v>
      </c>
      <c r="B138">
        <v>273</v>
      </c>
      <c r="C138">
        <v>7</v>
      </c>
      <c r="D138">
        <v>273</v>
      </c>
      <c r="E138">
        <v>7</v>
      </c>
      <c r="F138">
        <v>380</v>
      </c>
      <c r="G138">
        <v>38.5</v>
      </c>
      <c r="H138">
        <v>12</v>
      </c>
      <c r="I138" t="s">
        <v>2428</v>
      </c>
    </row>
    <row r="139" spans="1:9" x14ac:dyDescent="0.25">
      <c r="A139">
        <v>250</v>
      </c>
      <c r="B139">
        <v>273</v>
      </c>
      <c r="C139">
        <v>10</v>
      </c>
      <c r="D139">
        <v>273</v>
      </c>
      <c r="E139">
        <v>10</v>
      </c>
      <c r="F139">
        <v>380</v>
      </c>
      <c r="G139">
        <v>38.5</v>
      </c>
      <c r="H139">
        <v>12</v>
      </c>
      <c r="I139">
        <v>26</v>
      </c>
    </row>
    <row r="140" spans="1:9" x14ac:dyDescent="0.25">
      <c r="A140">
        <v>250</v>
      </c>
      <c r="B140">
        <v>273</v>
      </c>
      <c r="C140">
        <v>12</v>
      </c>
      <c r="D140">
        <v>273</v>
      </c>
      <c r="E140">
        <v>12</v>
      </c>
      <c r="F140">
        <v>380</v>
      </c>
      <c r="G140">
        <v>38.5</v>
      </c>
      <c r="H140">
        <v>12</v>
      </c>
      <c r="I140" t="s">
        <v>2429</v>
      </c>
    </row>
    <row r="141" spans="1:9" x14ac:dyDescent="0.25">
      <c r="A141">
        <v>250</v>
      </c>
      <c r="B141">
        <v>273</v>
      </c>
      <c r="C141">
        <v>16</v>
      </c>
      <c r="D141">
        <v>273</v>
      </c>
      <c r="E141">
        <v>16</v>
      </c>
      <c r="F141">
        <v>380</v>
      </c>
      <c r="G141">
        <v>38.5</v>
      </c>
      <c r="H141">
        <v>12</v>
      </c>
      <c r="I141" t="s">
        <v>2430</v>
      </c>
    </row>
    <row r="142" spans="1:9" x14ac:dyDescent="0.25">
      <c r="A142">
        <v>250</v>
      </c>
      <c r="B142">
        <v>273</v>
      </c>
      <c r="C142">
        <v>18</v>
      </c>
      <c r="D142">
        <v>273</v>
      </c>
      <c r="E142">
        <v>18</v>
      </c>
      <c r="F142">
        <v>380</v>
      </c>
      <c r="G142">
        <v>38.5</v>
      </c>
      <c r="H142">
        <v>12</v>
      </c>
      <c r="I142" t="s">
        <v>2431</v>
      </c>
    </row>
    <row r="143" spans="1:9" x14ac:dyDescent="0.25">
      <c r="A143">
        <v>300</v>
      </c>
      <c r="B143">
        <v>325</v>
      </c>
      <c r="C143">
        <v>8</v>
      </c>
      <c r="D143">
        <v>219</v>
      </c>
      <c r="E143">
        <v>6</v>
      </c>
      <c r="F143">
        <v>440</v>
      </c>
      <c r="G143">
        <v>37.5</v>
      </c>
      <c r="H143">
        <v>15</v>
      </c>
      <c r="I143" t="s">
        <v>2432</v>
      </c>
    </row>
    <row r="144" spans="1:9" x14ac:dyDescent="0.25">
      <c r="A144">
        <v>300</v>
      </c>
      <c r="B144">
        <v>325</v>
      </c>
      <c r="C144">
        <v>10</v>
      </c>
      <c r="D144">
        <v>219</v>
      </c>
      <c r="E144">
        <v>8</v>
      </c>
      <c r="F144">
        <v>440</v>
      </c>
      <c r="G144">
        <v>37.5</v>
      </c>
      <c r="H144">
        <v>15</v>
      </c>
      <c r="I144" t="s">
        <v>2433</v>
      </c>
    </row>
    <row r="145" spans="1:9" x14ac:dyDescent="0.25">
      <c r="A145">
        <v>300</v>
      </c>
      <c r="B145">
        <v>325</v>
      </c>
      <c r="C145">
        <v>12</v>
      </c>
      <c r="D145">
        <v>219</v>
      </c>
      <c r="E145">
        <v>10</v>
      </c>
      <c r="F145">
        <v>440</v>
      </c>
      <c r="G145">
        <v>37.5</v>
      </c>
      <c r="H145">
        <v>15</v>
      </c>
      <c r="I145" t="s">
        <v>2434</v>
      </c>
    </row>
    <row r="146" spans="1:9" x14ac:dyDescent="0.25">
      <c r="A146">
        <v>300</v>
      </c>
      <c r="B146">
        <v>325</v>
      </c>
      <c r="C146">
        <v>16</v>
      </c>
      <c r="D146">
        <v>219</v>
      </c>
      <c r="E146">
        <v>12</v>
      </c>
      <c r="F146">
        <v>440</v>
      </c>
      <c r="G146">
        <v>37.5</v>
      </c>
      <c r="H146">
        <v>15</v>
      </c>
      <c r="I146" t="s">
        <v>2435</v>
      </c>
    </row>
    <row r="147" spans="1:9" x14ac:dyDescent="0.25">
      <c r="A147">
        <v>300</v>
      </c>
      <c r="B147">
        <v>325</v>
      </c>
      <c r="C147">
        <v>22</v>
      </c>
      <c r="D147">
        <v>219</v>
      </c>
      <c r="E147">
        <v>16</v>
      </c>
      <c r="F147">
        <v>440</v>
      </c>
      <c r="G147">
        <v>37.5</v>
      </c>
      <c r="H147">
        <v>15</v>
      </c>
      <c r="I147" t="s">
        <v>2436</v>
      </c>
    </row>
    <row r="148" spans="1:9" x14ac:dyDescent="0.25">
      <c r="A148">
        <v>300</v>
      </c>
      <c r="B148">
        <v>325</v>
      </c>
      <c r="C148">
        <v>8</v>
      </c>
      <c r="D148">
        <v>273</v>
      </c>
      <c r="E148">
        <v>7</v>
      </c>
      <c r="F148">
        <v>440</v>
      </c>
      <c r="G148">
        <v>37.5</v>
      </c>
      <c r="H148">
        <v>15</v>
      </c>
      <c r="I148" t="s">
        <v>2432</v>
      </c>
    </row>
    <row r="149" spans="1:9" x14ac:dyDescent="0.25">
      <c r="A149">
        <v>300</v>
      </c>
      <c r="B149">
        <v>325</v>
      </c>
      <c r="C149">
        <v>10</v>
      </c>
      <c r="D149">
        <v>273</v>
      </c>
      <c r="E149">
        <v>10</v>
      </c>
      <c r="F149">
        <v>440</v>
      </c>
      <c r="G149">
        <v>37.5</v>
      </c>
      <c r="H149">
        <v>15</v>
      </c>
      <c r="I149" t="s">
        <v>2433</v>
      </c>
    </row>
    <row r="150" spans="1:9" x14ac:dyDescent="0.25">
      <c r="A150">
        <v>300</v>
      </c>
      <c r="B150">
        <v>325</v>
      </c>
      <c r="C150">
        <v>12</v>
      </c>
      <c r="D150">
        <v>273</v>
      </c>
      <c r="E150">
        <v>12</v>
      </c>
      <c r="F150">
        <v>440</v>
      </c>
      <c r="G150">
        <v>37.5</v>
      </c>
      <c r="H150">
        <v>15</v>
      </c>
      <c r="I150" t="s">
        <v>2434</v>
      </c>
    </row>
    <row r="151" spans="1:9" x14ac:dyDescent="0.25">
      <c r="A151">
        <v>300</v>
      </c>
      <c r="B151">
        <v>325</v>
      </c>
      <c r="C151">
        <v>16</v>
      </c>
      <c r="D151">
        <v>273</v>
      </c>
      <c r="E151">
        <v>16</v>
      </c>
      <c r="F151">
        <v>440</v>
      </c>
      <c r="G151">
        <v>37.5</v>
      </c>
      <c r="H151">
        <v>15</v>
      </c>
      <c r="I151" t="s">
        <v>2435</v>
      </c>
    </row>
    <row r="152" spans="1:9" x14ac:dyDescent="0.25">
      <c r="A152">
        <v>300</v>
      </c>
      <c r="B152">
        <v>325</v>
      </c>
      <c r="C152">
        <v>22</v>
      </c>
      <c r="D152">
        <v>273</v>
      </c>
      <c r="E152">
        <v>18</v>
      </c>
      <c r="F152">
        <v>440</v>
      </c>
      <c r="G152">
        <v>37.5</v>
      </c>
      <c r="H152">
        <v>15</v>
      </c>
      <c r="I152" t="s">
        <v>2436</v>
      </c>
    </row>
    <row r="153" spans="1:9" x14ac:dyDescent="0.25">
      <c r="A153">
        <v>300</v>
      </c>
      <c r="B153">
        <v>325</v>
      </c>
      <c r="C153">
        <v>8</v>
      </c>
      <c r="D153">
        <v>325</v>
      </c>
      <c r="E153">
        <v>8</v>
      </c>
      <c r="F153">
        <v>440</v>
      </c>
      <c r="G153">
        <v>37.5</v>
      </c>
      <c r="H153">
        <v>15</v>
      </c>
      <c r="I153" t="s">
        <v>2432</v>
      </c>
    </row>
    <row r="154" spans="1:9" x14ac:dyDescent="0.25">
      <c r="A154">
        <v>300</v>
      </c>
      <c r="B154">
        <v>325</v>
      </c>
      <c r="C154">
        <v>10</v>
      </c>
      <c r="D154">
        <v>325</v>
      </c>
      <c r="E154">
        <v>10</v>
      </c>
      <c r="F154">
        <v>440</v>
      </c>
      <c r="G154">
        <v>37.5</v>
      </c>
      <c r="H154">
        <v>15</v>
      </c>
      <c r="I154" t="s">
        <v>2433</v>
      </c>
    </row>
    <row r="155" spans="1:9" x14ac:dyDescent="0.25">
      <c r="A155">
        <v>300</v>
      </c>
      <c r="B155">
        <v>325</v>
      </c>
      <c r="C155">
        <v>12</v>
      </c>
      <c r="D155">
        <v>325</v>
      </c>
      <c r="E155">
        <v>12</v>
      </c>
      <c r="F155">
        <v>440</v>
      </c>
      <c r="G155">
        <v>37.5</v>
      </c>
      <c r="H155">
        <v>15</v>
      </c>
      <c r="I155" t="s">
        <v>2434</v>
      </c>
    </row>
    <row r="156" spans="1:9" x14ac:dyDescent="0.25">
      <c r="A156">
        <v>300</v>
      </c>
      <c r="B156">
        <v>325</v>
      </c>
      <c r="C156">
        <v>16</v>
      </c>
      <c r="D156">
        <v>325</v>
      </c>
      <c r="E156">
        <v>16</v>
      </c>
      <c r="F156">
        <v>440</v>
      </c>
      <c r="G156">
        <v>37.5</v>
      </c>
      <c r="H156">
        <v>15</v>
      </c>
      <c r="I156" t="s">
        <v>2435</v>
      </c>
    </row>
    <row r="157" spans="1:9" x14ac:dyDescent="0.25">
      <c r="A157">
        <v>300</v>
      </c>
      <c r="B157">
        <v>325</v>
      </c>
      <c r="C157">
        <v>22</v>
      </c>
      <c r="D157">
        <v>325</v>
      </c>
      <c r="E157">
        <v>22</v>
      </c>
      <c r="F157">
        <v>440</v>
      </c>
      <c r="G157">
        <v>37.5</v>
      </c>
      <c r="H157">
        <v>15</v>
      </c>
      <c r="I157" t="s">
        <v>2436</v>
      </c>
    </row>
    <row r="158" spans="1:9" x14ac:dyDescent="0.25">
      <c r="A158">
        <v>350</v>
      </c>
      <c r="B158">
        <v>377</v>
      </c>
      <c r="C158">
        <v>10</v>
      </c>
      <c r="D158">
        <v>273</v>
      </c>
      <c r="E158">
        <v>7</v>
      </c>
      <c r="F158">
        <v>480</v>
      </c>
      <c r="G158">
        <v>36.5</v>
      </c>
      <c r="H158">
        <v>15</v>
      </c>
      <c r="I158">
        <v>46</v>
      </c>
    </row>
    <row r="159" spans="1:9" x14ac:dyDescent="0.25">
      <c r="A159">
        <v>350</v>
      </c>
      <c r="B159">
        <v>377</v>
      </c>
      <c r="C159">
        <v>12</v>
      </c>
      <c r="D159">
        <v>273</v>
      </c>
      <c r="E159">
        <v>10</v>
      </c>
      <c r="F159">
        <v>480</v>
      </c>
      <c r="G159">
        <v>36.5</v>
      </c>
      <c r="H159">
        <v>15</v>
      </c>
      <c r="I159" t="s">
        <v>2437</v>
      </c>
    </row>
    <row r="160" spans="1:9" x14ac:dyDescent="0.25">
      <c r="A160">
        <v>350</v>
      </c>
      <c r="B160">
        <v>377</v>
      </c>
      <c r="C160">
        <v>16</v>
      </c>
      <c r="D160">
        <v>273</v>
      </c>
      <c r="E160">
        <v>12</v>
      </c>
      <c r="F160">
        <v>480</v>
      </c>
      <c r="G160">
        <v>36.5</v>
      </c>
      <c r="H160">
        <v>15</v>
      </c>
      <c r="I160" t="s">
        <v>2438</v>
      </c>
    </row>
    <row r="161" spans="1:9" x14ac:dyDescent="0.25">
      <c r="A161">
        <v>350</v>
      </c>
      <c r="B161">
        <v>377</v>
      </c>
      <c r="C161">
        <v>20</v>
      </c>
      <c r="D161">
        <v>273</v>
      </c>
      <c r="E161">
        <v>16</v>
      </c>
      <c r="F161">
        <v>480</v>
      </c>
      <c r="G161">
        <v>36.5</v>
      </c>
      <c r="H161">
        <v>15</v>
      </c>
      <c r="I161">
        <v>92</v>
      </c>
    </row>
    <row r="162" spans="1:9" x14ac:dyDescent="0.25">
      <c r="A162">
        <v>350</v>
      </c>
      <c r="B162">
        <v>377</v>
      </c>
      <c r="C162">
        <v>10</v>
      </c>
      <c r="D162">
        <v>325</v>
      </c>
      <c r="E162">
        <v>8</v>
      </c>
      <c r="F162">
        <v>480</v>
      </c>
      <c r="G162">
        <v>36.5</v>
      </c>
      <c r="H162">
        <v>15</v>
      </c>
      <c r="I162">
        <v>46</v>
      </c>
    </row>
    <row r="163" spans="1:9" x14ac:dyDescent="0.25">
      <c r="A163">
        <v>350</v>
      </c>
      <c r="B163">
        <v>377</v>
      </c>
      <c r="C163">
        <v>12</v>
      </c>
      <c r="D163">
        <v>325</v>
      </c>
      <c r="E163">
        <v>10</v>
      </c>
      <c r="F163">
        <v>480</v>
      </c>
      <c r="G163">
        <v>36.5</v>
      </c>
      <c r="H163">
        <v>15</v>
      </c>
      <c r="I163" t="s">
        <v>2437</v>
      </c>
    </row>
    <row r="164" spans="1:9" x14ac:dyDescent="0.25">
      <c r="A164">
        <v>350</v>
      </c>
      <c r="B164">
        <v>377</v>
      </c>
      <c r="C164">
        <v>16</v>
      </c>
      <c r="D164">
        <v>325</v>
      </c>
      <c r="E164">
        <v>16</v>
      </c>
      <c r="F164">
        <v>480</v>
      </c>
      <c r="G164">
        <v>36.5</v>
      </c>
      <c r="H164">
        <v>15</v>
      </c>
      <c r="I164" t="s">
        <v>2438</v>
      </c>
    </row>
    <row r="165" spans="1:9" x14ac:dyDescent="0.25">
      <c r="A165">
        <v>350</v>
      </c>
      <c r="B165">
        <v>377</v>
      </c>
      <c r="C165">
        <v>20</v>
      </c>
      <c r="D165">
        <v>325</v>
      </c>
      <c r="E165">
        <v>18</v>
      </c>
      <c r="F165">
        <v>480</v>
      </c>
      <c r="G165">
        <v>36.5</v>
      </c>
      <c r="H165">
        <v>15</v>
      </c>
      <c r="I165">
        <v>92</v>
      </c>
    </row>
    <row r="166" spans="1:9" x14ac:dyDescent="0.25">
      <c r="A166">
        <v>350</v>
      </c>
      <c r="B166">
        <v>377</v>
      </c>
      <c r="C166">
        <v>10</v>
      </c>
      <c r="D166">
        <v>377</v>
      </c>
      <c r="E166">
        <v>10</v>
      </c>
      <c r="F166">
        <v>480</v>
      </c>
      <c r="G166">
        <v>36.5</v>
      </c>
      <c r="H166">
        <v>15</v>
      </c>
      <c r="I166">
        <v>46</v>
      </c>
    </row>
    <row r="167" spans="1:9" x14ac:dyDescent="0.25">
      <c r="A167">
        <v>350</v>
      </c>
      <c r="B167">
        <v>377</v>
      </c>
      <c r="C167">
        <v>12</v>
      </c>
      <c r="D167">
        <v>377</v>
      </c>
      <c r="E167">
        <v>12</v>
      </c>
      <c r="F167">
        <v>480</v>
      </c>
      <c r="G167">
        <v>36.5</v>
      </c>
      <c r="H167">
        <v>15</v>
      </c>
      <c r="I167" t="s">
        <v>2437</v>
      </c>
    </row>
    <row r="168" spans="1:9" x14ac:dyDescent="0.25">
      <c r="A168">
        <v>350</v>
      </c>
      <c r="B168">
        <v>377</v>
      </c>
      <c r="C168">
        <v>16</v>
      </c>
      <c r="D168">
        <v>377</v>
      </c>
      <c r="E168">
        <v>16</v>
      </c>
      <c r="F168">
        <v>480</v>
      </c>
      <c r="G168">
        <v>36.5</v>
      </c>
      <c r="H168">
        <v>15</v>
      </c>
      <c r="I168" t="s">
        <v>2438</v>
      </c>
    </row>
    <row r="169" spans="1:9" x14ac:dyDescent="0.25">
      <c r="A169">
        <v>350</v>
      </c>
      <c r="B169">
        <v>377</v>
      </c>
      <c r="C169">
        <v>20</v>
      </c>
      <c r="D169">
        <v>377</v>
      </c>
      <c r="E169">
        <v>20</v>
      </c>
      <c r="F169">
        <v>480</v>
      </c>
      <c r="G169">
        <v>36.5</v>
      </c>
      <c r="H169">
        <v>15</v>
      </c>
      <c r="I169">
        <v>92</v>
      </c>
    </row>
    <row r="170" spans="1:9" x14ac:dyDescent="0.25">
      <c r="A170">
        <v>400</v>
      </c>
      <c r="B170">
        <v>426</v>
      </c>
      <c r="C170">
        <v>10</v>
      </c>
      <c r="D170">
        <v>325</v>
      </c>
      <c r="E170">
        <v>8</v>
      </c>
      <c r="F170">
        <v>540</v>
      </c>
      <c r="G170">
        <v>37</v>
      </c>
      <c r="H170">
        <v>18</v>
      </c>
      <c r="I170" t="s">
        <v>2439</v>
      </c>
    </row>
    <row r="171" spans="1:9" x14ac:dyDescent="0.25">
      <c r="A171">
        <v>400</v>
      </c>
      <c r="B171">
        <v>426</v>
      </c>
      <c r="C171">
        <v>12</v>
      </c>
      <c r="D171">
        <v>325</v>
      </c>
      <c r="E171">
        <v>10</v>
      </c>
      <c r="F171">
        <v>540</v>
      </c>
      <c r="G171">
        <v>37</v>
      </c>
      <c r="H171">
        <v>18</v>
      </c>
      <c r="I171" t="s">
        <v>2440</v>
      </c>
    </row>
    <row r="172" spans="1:9" x14ac:dyDescent="0.25">
      <c r="A172">
        <v>400</v>
      </c>
      <c r="B172">
        <v>426</v>
      </c>
      <c r="C172">
        <v>16</v>
      </c>
      <c r="D172">
        <v>325</v>
      </c>
      <c r="E172">
        <v>12</v>
      </c>
      <c r="F172">
        <v>540</v>
      </c>
      <c r="G172">
        <v>37</v>
      </c>
      <c r="H172">
        <v>18</v>
      </c>
      <c r="I172" t="s">
        <v>2441</v>
      </c>
    </row>
    <row r="173" spans="1:9" x14ac:dyDescent="0.25">
      <c r="A173">
        <v>400</v>
      </c>
      <c r="B173">
        <v>426</v>
      </c>
      <c r="C173">
        <v>18</v>
      </c>
      <c r="D173">
        <v>325</v>
      </c>
      <c r="E173">
        <v>16</v>
      </c>
      <c r="F173">
        <v>540</v>
      </c>
      <c r="G173">
        <v>37</v>
      </c>
      <c r="H173">
        <v>18</v>
      </c>
      <c r="I173">
        <v>100</v>
      </c>
    </row>
    <row r="174" spans="1:9" x14ac:dyDescent="0.25">
      <c r="A174">
        <v>400</v>
      </c>
      <c r="B174">
        <v>426</v>
      </c>
      <c r="C174">
        <v>10</v>
      </c>
      <c r="D174">
        <v>377</v>
      </c>
      <c r="E174">
        <v>10</v>
      </c>
      <c r="F174">
        <v>540</v>
      </c>
      <c r="G174">
        <v>37</v>
      </c>
      <c r="H174">
        <v>18</v>
      </c>
      <c r="I174" t="s">
        <v>2439</v>
      </c>
    </row>
    <row r="175" spans="1:9" x14ac:dyDescent="0.25">
      <c r="A175">
        <v>400</v>
      </c>
      <c r="B175">
        <v>426</v>
      </c>
      <c r="C175">
        <v>12</v>
      </c>
      <c r="D175">
        <v>377</v>
      </c>
      <c r="E175">
        <v>12</v>
      </c>
      <c r="F175">
        <v>540</v>
      </c>
      <c r="G175">
        <v>37</v>
      </c>
      <c r="H175">
        <v>18</v>
      </c>
      <c r="I175" t="s">
        <v>2440</v>
      </c>
    </row>
    <row r="176" spans="1:9" x14ac:dyDescent="0.25">
      <c r="A176">
        <v>400</v>
      </c>
      <c r="B176">
        <v>426</v>
      </c>
      <c r="C176">
        <v>16</v>
      </c>
      <c r="D176">
        <v>377</v>
      </c>
      <c r="E176">
        <v>16</v>
      </c>
      <c r="F176">
        <v>540</v>
      </c>
      <c r="G176">
        <v>37</v>
      </c>
      <c r="H176">
        <v>18</v>
      </c>
      <c r="I176" t="s">
        <v>2441</v>
      </c>
    </row>
    <row r="177" spans="1:9" x14ac:dyDescent="0.25">
      <c r="A177">
        <v>400</v>
      </c>
      <c r="B177">
        <v>426</v>
      </c>
      <c r="C177">
        <v>18</v>
      </c>
      <c r="D177">
        <v>377</v>
      </c>
      <c r="E177">
        <v>18</v>
      </c>
      <c r="F177">
        <v>540</v>
      </c>
      <c r="G177">
        <v>37</v>
      </c>
      <c r="H177">
        <v>18</v>
      </c>
      <c r="I177">
        <v>100</v>
      </c>
    </row>
    <row r="178" spans="1:9" x14ac:dyDescent="0.25">
      <c r="A178">
        <v>400</v>
      </c>
      <c r="B178">
        <v>426</v>
      </c>
      <c r="C178">
        <v>10</v>
      </c>
      <c r="D178">
        <v>426</v>
      </c>
      <c r="E178">
        <v>10</v>
      </c>
      <c r="F178">
        <v>540</v>
      </c>
      <c r="G178">
        <v>37</v>
      </c>
      <c r="H178">
        <v>18</v>
      </c>
      <c r="I178" t="s">
        <v>2439</v>
      </c>
    </row>
    <row r="179" spans="1:9" x14ac:dyDescent="0.25">
      <c r="A179">
        <v>400</v>
      </c>
      <c r="B179">
        <v>426</v>
      </c>
      <c r="C179">
        <v>12</v>
      </c>
      <c r="D179">
        <v>426</v>
      </c>
      <c r="E179">
        <v>12</v>
      </c>
      <c r="F179">
        <v>540</v>
      </c>
      <c r="G179">
        <v>37</v>
      </c>
      <c r="H179">
        <v>18</v>
      </c>
      <c r="I179" t="s">
        <v>2440</v>
      </c>
    </row>
    <row r="180" spans="1:9" x14ac:dyDescent="0.25">
      <c r="A180">
        <v>400</v>
      </c>
      <c r="B180">
        <v>426</v>
      </c>
      <c r="C180">
        <v>16</v>
      </c>
      <c r="D180">
        <v>426</v>
      </c>
      <c r="E180">
        <v>16</v>
      </c>
      <c r="F180">
        <v>540</v>
      </c>
      <c r="G180">
        <v>37</v>
      </c>
      <c r="H180">
        <v>18</v>
      </c>
      <c r="I180" t="s">
        <v>2441</v>
      </c>
    </row>
    <row r="181" spans="1:9" x14ac:dyDescent="0.25">
      <c r="A181">
        <v>400</v>
      </c>
      <c r="B181">
        <v>426</v>
      </c>
      <c r="C181">
        <v>18</v>
      </c>
      <c r="D181">
        <v>426</v>
      </c>
      <c r="E181">
        <v>18</v>
      </c>
      <c r="F181">
        <v>540</v>
      </c>
      <c r="G181">
        <v>37</v>
      </c>
      <c r="H181">
        <v>18</v>
      </c>
      <c r="I181">
        <v>100</v>
      </c>
    </row>
  </sheetData>
  <conditionalFormatting sqref="A1:I1 A182:I1048576">
    <cfRule type="containsBlanks" dxfId="8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9493-34E8-4F4D-9430-3BEFEFF00FE1}">
  <sheetPr codeName="Лист14"/>
  <dimension ref="A1:I224"/>
  <sheetViews>
    <sheetView workbookViewId="0">
      <selection activeCell="N15" sqref="N15"/>
    </sheetView>
  </sheetViews>
  <sheetFormatPr defaultRowHeight="15" x14ac:dyDescent="0.25"/>
  <sheetData>
    <row r="1" spans="1:9" ht="50.25" customHeight="1" x14ac:dyDescent="0.2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25">
      <c r="A2" s="15">
        <v>1</v>
      </c>
      <c r="B2">
        <v>89</v>
      </c>
      <c r="C2" t="s">
        <v>2402</v>
      </c>
      <c r="D2" t="s">
        <v>195</v>
      </c>
      <c r="E2" t="s">
        <v>22</v>
      </c>
      <c r="F2" s="16">
        <v>300</v>
      </c>
      <c r="G2" s="16">
        <v>100.5</v>
      </c>
      <c r="H2" s="16" t="s">
        <v>2983</v>
      </c>
      <c r="I2" s="15" t="s">
        <v>2481</v>
      </c>
    </row>
    <row r="3" spans="1:9" x14ac:dyDescent="0.25">
      <c r="A3" s="15">
        <v>2</v>
      </c>
      <c r="B3" t="s">
        <v>298</v>
      </c>
      <c r="C3" t="s">
        <v>2402</v>
      </c>
      <c r="D3" t="s">
        <v>258</v>
      </c>
      <c r="E3" t="s">
        <v>22</v>
      </c>
      <c r="F3" s="17">
        <v>300</v>
      </c>
      <c r="G3" s="18">
        <v>100.5</v>
      </c>
      <c r="H3" s="17" t="s">
        <v>2983</v>
      </c>
      <c r="I3" s="15" t="s">
        <v>2402</v>
      </c>
    </row>
    <row r="4" spans="1:9" x14ac:dyDescent="0.25">
      <c r="A4" s="15">
        <v>3</v>
      </c>
      <c r="B4" t="s">
        <v>358</v>
      </c>
      <c r="C4" t="s">
        <v>26</v>
      </c>
      <c r="D4" t="s">
        <v>258</v>
      </c>
      <c r="E4" t="s">
        <v>22</v>
      </c>
      <c r="F4" s="17">
        <v>300</v>
      </c>
      <c r="G4" s="16">
        <v>101</v>
      </c>
      <c r="H4" s="17" t="s">
        <v>2983</v>
      </c>
      <c r="I4" s="15">
        <v>5</v>
      </c>
    </row>
    <row r="5" spans="1:9" x14ac:dyDescent="0.25">
      <c r="A5" s="15">
        <v>4</v>
      </c>
      <c r="B5" t="s">
        <v>358</v>
      </c>
      <c r="C5" t="s">
        <v>26</v>
      </c>
      <c r="D5" t="s">
        <v>298</v>
      </c>
      <c r="E5" t="s">
        <v>2402</v>
      </c>
      <c r="F5" s="18">
        <v>300</v>
      </c>
      <c r="G5" s="18">
        <v>101</v>
      </c>
      <c r="H5" s="17" t="s">
        <v>2983</v>
      </c>
      <c r="I5" s="15" t="s">
        <v>2803</v>
      </c>
    </row>
    <row r="6" spans="1:9" ht="15" customHeight="1" x14ac:dyDescent="0.25">
      <c r="A6" s="15">
        <v>5</v>
      </c>
      <c r="B6" t="s">
        <v>428</v>
      </c>
      <c r="C6" t="s">
        <v>26</v>
      </c>
      <c r="D6" t="s">
        <v>131</v>
      </c>
      <c r="E6" t="s">
        <v>18</v>
      </c>
      <c r="F6" s="16">
        <v>250</v>
      </c>
      <c r="G6" s="16">
        <v>103.5</v>
      </c>
      <c r="H6" s="17" t="s">
        <v>2983</v>
      </c>
      <c r="I6" s="15" t="s">
        <v>2419</v>
      </c>
    </row>
    <row r="7" spans="1:9" x14ac:dyDescent="0.25">
      <c r="A7" s="15">
        <v>6</v>
      </c>
      <c r="B7" t="s">
        <v>428</v>
      </c>
      <c r="C7" t="s">
        <v>26</v>
      </c>
      <c r="D7" t="s">
        <v>152</v>
      </c>
      <c r="E7" t="s">
        <v>2399</v>
      </c>
      <c r="F7" s="18">
        <v>250</v>
      </c>
      <c r="G7" s="17">
        <v>103.5</v>
      </c>
      <c r="H7" s="17" t="s">
        <v>2983</v>
      </c>
      <c r="I7" s="15" t="s">
        <v>2411</v>
      </c>
    </row>
    <row r="8" spans="1:9" ht="15" customHeight="1" x14ac:dyDescent="0.25">
      <c r="A8" s="15">
        <v>7</v>
      </c>
      <c r="B8" t="s">
        <v>428</v>
      </c>
      <c r="C8" t="s">
        <v>26</v>
      </c>
      <c r="D8" t="s">
        <v>195</v>
      </c>
      <c r="E8" t="s">
        <v>22</v>
      </c>
      <c r="F8" s="16">
        <v>300</v>
      </c>
      <c r="G8" s="17">
        <v>103.5</v>
      </c>
      <c r="H8" s="17" t="s">
        <v>2983</v>
      </c>
      <c r="I8" s="15">
        <v>6</v>
      </c>
    </row>
    <row r="9" spans="1:9" x14ac:dyDescent="0.25">
      <c r="A9" s="15">
        <v>8</v>
      </c>
      <c r="B9" t="s">
        <v>428</v>
      </c>
      <c r="C9" t="s">
        <v>26</v>
      </c>
      <c r="D9" t="s">
        <v>258</v>
      </c>
      <c r="E9" t="s">
        <v>22</v>
      </c>
      <c r="F9" s="18">
        <v>300</v>
      </c>
      <c r="G9" s="18">
        <v>103.5</v>
      </c>
      <c r="H9" s="17" t="s">
        <v>2983</v>
      </c>
      <c r="I9" s="15" t="s">
        <v>2484</v>
      </c>
    </row>
    <row r="10" spans="1:9" ht="15" customHeight="1" x14ac:dyDescent="0.25">
      <c r="A10" s="15">
        <v>9</v>
      </c>
      <c r="B10" t="s">
        <v>428</v>
      </c>
      <c r="C10" t="s">
        <v>26</v>
      </c>
      <c r="D10" t="s">
        <v>298</v>
      </c>
      <c r="E10" t="s">
        <v>2402</v>
      </c>
      <c r="F10" s="16">
        <v>350</v>
      </c>
      <c r="G10" s="16">
        <v>123.5</v>
      </c>
      <c r="H10" s="18" t="s">
        <v>2983</v>
      </c>
      <c r="I10" s="15" t="s">
        <v>2466</v>
      </c>
    </row>
    <row r="11" spans="1:9" x14ac:dyDescent="0.25">
      <c r="A11" s="15">
        <v>10</v>
      </c>
      <c r="B11" t="s">
        <v>428</v>
      </c>
      <c r="C11" t="s">
        <v>26</v>
      </c>
      <c r="D11" t="s">
        <v>298</v>
      </c>
      <c r="E11" t="s">
        <v>2402</v>
      </c>
      <c r="F11" s="17">
        <v>350</v>
      </c>
      <c r="G11" s="17">
        <v>123.5</v>
      </c>
      <c r="H11" s="15" t="s">
        <v>2399</v>
      </c>
      <c r="I11" s="15" t="s">
        <v>2475</v>
      </c>
    </row>
    <row r="12" spans="1:9" x14ac:dyDescent="0.25">
      <c r="A12" s="15">
        <v>11</v>
      </c>
      <c r="B12" t="s">
        <v>428</v>
      </c>
      <c r="C12" t="s">
        <v>26</v>
      </c>
      <c r="D12" t="s">
        <v>358</v>
      </c>
      <c r="E12" t="s">
        <v>26</v>
      </c>
      <c r="F12" s="17">
        <v>350</v>
      </c>
      <c r="G12" s="17">
        <v>123.5</v>
      </c>
      <c r="H12" s="19" t="s">
        <v>2983</v>
      </c>
      <c r="I12" s="15" t="s">
        <v>2467</v>
      </c>
    </row>
    <row r="13" spans="1:9" x14ac:dyDescent="0.25">
      <c r="A13" s="15">
        <v>12</v>
      </c>
      <c r="B13" t="s">
        <v>428</v>
      </c>
      <c r="C13" t="s">
        <v>26</v>
      </c>
      <c r="D13" t="s">
        <v>358</v>
      </c>
      <c r="E13" t="s">
        <v>26</v>
      </c>
      <c r="F13" s="18">
        <v>350</v>
      </c>
      <c r="G13" s="18">
        <v>123.5</v>
      </c>
      <c r="H13" s="19" t="s">
        <v>2399</v>
      </c>
      <c r="I13" s="15" t="s">
        <v>2804</v>
      </c>
    </row>
    <row r="14" spans="1:9" ht="15" customHeight="1" x14ac:dyDescent="0.25">
      <c r="A14" s="15">
        <v>13</v>
      </c>
      <c r="B14" t="s">
        <v>498</v>
      </c>
      <c r="C14" t="s">
        <v>29</v>
      </c>
      <c r="D14" t="s">
        <v>195</v>
      </c>
      <c r="E14" t="s">
        <v>22</v>
      </c>
      <c r="F14" s="16">
        <v>300</v>
      </c>
      <c r="G14" s="16">
        <v>100.5</v>
      </c>
      <c r="H14" s="16" t="s">
        <v>2983</v>
      </c>
      <c r="I14" s="15" t="s">
        <v>2466</v>
      </c>
    </row>
    <row r="15" spans="1:9" x14ac:dyDescent="0.25">
      <c r="A15" s="15">
        <v>14</v>
      </c>
      <c r="B15" t="s">
        <v>498</v>
      </c>
      <c r="C15" t="s">
        <v>29</v>
      </c>
      <c r="D15" t="s">
        <v>258</v>
      </c>
      <c r="E15" t="s">
        <v>22</v>
      </c>
      <c r="F15" s="18">
        <v>300</v>
      </c>
      <c r="G15" s="18">
        <v>100.5</v>
      </c>
      <c r="H15" s="17" t="s">
        <v>2983</v>
      </c>
      <c r="I15" s="15" t="s">
        <v>2805</v>
      </c>
    </row>
    <row r="16" spans="1:9" ht="15" customHeight="1" x14ac:dyDescent="0.25">
      <c r="A16" s="15">
        <v>15</v>
      </c>
      <c r="B16" t="s">
        <v>498</v>
      </c>
      <c r="C16" t="s">
        <v>29</v>
      </c>
      <c r="D16" t="s">
        <v>298</v>
      </c>
      <c r="E16" t="s">
        <v>2402</v>
      </c>
      <c r="F16" s="16">
        <v>350</v>
      </c>
      <c r="G16" s="16">
        <v>120.5</v>
      </c>
      <c r="H16" s="17" t="s">
        <v>2983</v>
      </c>
      <c r="I16" s="15" t="s">
        <v>2806</v>
      </c>
    </row>
    <row r="17" spans="1:9" x14ac:dyDescent="0.25">
      <c r="A17" s="15">
        <v>16</v>
      </c>
      <c r="B17" t="s">
        <v>498</v>
      </c>
      <c r="C17" t="s">
        <v>29</v>
      </c>
      <c r="D17" t="s">
        <v>358</v>
      </c>
      <c r="E17" t="s">
        <v>26</v>
      </c>
      <c r="F17" s="18">
        <v>350</v>
      </c>
      <c r="G17" s="17">
        <v>120.5</v>
      </c>
      <c r="H17" s="17" t="s">
        <v>2983</v>
      </c>
      <c r="I17" s="15" t="s">
        <v>2807</v>
      </c>
    </row>
    <row r="18" spans="1:9" ht="15" customHeight="1" x14ac:dyDescent="0.25">
      <c r="A18" s="15">
        <v>17</v>
      </c>
      <c r="B18" t="s">
        <v>498</v>
      </c>
      <c r="C18" t="s">
        <v>29</v>
      </c>
      <c r="D18" t="s">
        <v>428</v>
      </c>
      <c r="E18" t="s">
        <v>26</v>
      </c>
      <c r="F18" s="16">
        <v>400</v>
      </c>
      <c r="G18" s="17">
        <v>120.5</v>
      </c>
      <c r="H18" s="18" t="s">
        <v>2983</v>
      </c>
      <c r="I18" s="15" t="s">
        <v>2808</v>
      </c>
    </row>
    <row r="19" spans="1:9" x14ac:dyDescent="0.25">
      <c r="A19" s="15">
        <v>18</v>
      </c>
      <c r="B19" t="s">
        <v>498</v>
      </c>
      <c r="C19" t="s">
        <v>29</v>
      </c>
      <c r="D19" t="s">
        <v>428</v>
      </c>
      <c r="E19" t="s">
        <v>26</v>
      </c>
      <c r="F19" s="18">
        <v>400</v>
      </c>
      <c r="G19" s="18">
        <v>120.5</v>
      </c>
      <c r="H19" s="19" t="s">
        <v>2399</v>
      </c>
      <c r="I19" s="15" t="s">
        <v>2809</v>
      </c>
    </row>
    <row r="20" spans="1:9" x14ac:dyDescent="0.25">
      <c r="A20" s="15">
        <v>19</v>
      </c>
      <c r="B20" t="s">
        <v>656</v>
      </c>
      <c r="C20" t="s">
        <v>37</v>
      </c>
      <c r="D20" t="s">
        <v>258</v>
      </c>
      <c r="E20" t="s">
        <v>22</v>
      </c>
      <c r="F20" s="15">
        <v>300</v>
      </c>
      <c r="G20" s="16">
        <v>100.5</v>
      </c>
      <c r="H20" s="16" t="s">
        <v>2983</v>
      </c>
      <c r="I20" s="15" t="s">
        <v>2810</v>
      </c>
    </row>
    <row r="21" spans="1:9" ht="15" customHeight="1" x14ac:dyDescent="0.25">
      <c r="A21" s="15">
        <v>20</v>
      </c>
      <c r="B21" t="s">
        <v>656</v>
      </c>
      <c r="C21" t="s">
        <v>37</v>
      </c>
      <c r="D21" t="s">
        <v>298</v>
      </c>
      <c r="E21" t="s">
        <v>2402</v>
      </c>
      <c r="F21" s="16">
        <v>350</v>
      </c>
      <c r="G21" s="18">
        <v>100.5</v>
      </c>
      <c r="H21" s="17" t="s">
        <v>2983</v>
      </c>
      <c r="I21" s="15" t="s">
        <v>2811</v>
      </c>
    </row>
    <row r="22" spans="1:9" x14ac:dyDescent="0.25">
      <c r="A22" s="15">
        <v>21</v>
      </c>
      <c r="B22" t="s">
        <v>656</v>
      </c>
      <c r="C22" t="s">
        <v>37</v>
      </c>
      <c r="D22" t="s">
        <v>358</v>
      </c>
      <c r="E22" t="s">
        <v>26</v>
      </c>
      <c r="F22" s="18">
        <v>350</v>
      </c>
      <c r="G22" s="16">
        <v>120.5</v>
      </c>
      <c r="H22" s="17" t="s">
        <v>2983</v>
      </c>
      <c r="I22" s="15" t="s">
        <v>2697</v>
      </c>
    </row>
    <row r="23" spans="1:9" ht="15" customHeight="1" x14ac:dyDescent="0.25">
      <c r="A23" s="15">
        <v>22</v>
      </c>
      <c r="B23" t="s">
        <v>656</v>
      </c>
      <c r="C23" t="s">
        <v>37</v>
      </c>
      <c r="D23" t="s">
        <v>428</v>
      </c>
      <c r="E23" t="s">
        <v>26</v>
      </c>
      <c r="F23" s="16">
        <v>400</v>
      </c>
      <c r="G23" s="17">
        <v>120.5</v>
      </c>
      <c r="H23" s="17" t="s">
        <v>2983</v>
      </c>
      <c r="I23" s="15" t="s">
        <v>2812</v>
      </c>
    </row>
    <row r="24" spans="1:9" x14ac:dyDescent="0.25">
      <c r="A24" s="15">
        <v>23</v>
      </c>
      <c r="B24" t="s">
        <v>656</v>
      </c>
      <c r="C24" t="s">
        <v>37</v>
      </c>
      <c r="D24" t="s">
        <v>498</v>
      </c>
      <c r="E24" t="s">
        <v>29</v>
      </c>
      <c r="F24" s="18">
        <v>400</v>
      </c>
      <c r="G24" s="18">
        <v>120.5</v>
      </c>
      <c r="H24" s="18" t="s">
        <v>2983</v>
      </c>
      <c r="I24" s="15">
        <v>21</v>
      </c>
    </row>
    <row r="25" spans="1:9" x14ac:dyDescent="0.25">
      <c r="A25" s="15">
        <v>24</v>
      </c>
      <c r="B25" t="s">
        <v>800</v>
      </c>
      <c r="C25" t="s">
        <v>41</v>
      </c>
      <c r="D25" t="s">
        <v>258</v>
      </c>
      <c r="E25" t="s">
        <v>22</v>
      </c>
      <c r="F25" s="15">
        <v>300</v>
      </c>
      <c r="G25" s="16">
        <v>103.5</v>
      </c>
      <c r="H25" s="16" t="s">
        <v>2983</v>
      </c>
      <c r="I25" s="15" t="s">
        <v>2813</v>
      </c>
    </row>
    <row r="26" spans="1:9" ht="15" customHeight="1" x14ac:dyDescent="0.25">
      <c r="A26" s="15">
        <v>25</v>
      </c>
      <c r="B26" t="s">
        <v>800</v>
      </c>
      <c r="C26" t="s">
        <v>41</v>
      </c>
      <c r="D26" t="s">
        <v>298</v>
      </c>
      <c r="E26" t="s">
        <v>2402</v>
      </c>
      <c r="F26" s="16">
        <v>350</v>
      </c>
      <c r="G26" s="18">
        <v>103.5</v>
      </c>
      <c r="H26" s="17" t="s">
        <v>2983</v>
      </c>
      <c r="I26" s="15" t="s">
        <v>2814</v>
      </c>
    </row>
    <row r="27" spans="1:9" x14ac:dyDescent="0.25">
      <c r="A27" s="15">
        <v>26</v>
      </c>
      <c r="B27" t="s">
        <v>800</v>
      </c>
      <c r="C27" t="s">
        <v>41</v>
      </c>
      <c r="D27" t="s">
        <v>358</v>
      </c>
      <c r="E27" t="s">
        <v>26</v>
      </c>
      <c r="F27" s="18">
        <v>350</v>
      </c>
      <c r="G27" s="16">
        <v>123.5</v>
      </c>
      <c r="H27" s="17" t="s">
        <v>2983</v>
      </c>
      <c r="I27" s="15" t="s">
        <v>2639</v>
      </c>
    </row>
    <row r="28" spans="1:9" ht="15" customHeight="1" x14ac:dyDescent="0.25">
      <c r="A28" s="15">
        <v>27</v>
      </c>
      <c r="B28" t="s">
        <v>800</v>
      </c>
      <c r="C28" t="s">
        <v>41</v>
      </c>
      <c r="D28" t="s">
        <v>428</v>
      </c>
      <c r="E28" t="s">
        <v>26</v>
      </c>
      <c r="F28" s="16">
        <v>400</v>
      </c>
      <c r="G28" s="17">
        <v>123.5</v>
      </c>
      <c r="H28" s="17" t="s">
        <v>2983</v>
      </c>
      <c r="I28" s="15" t="s">
        <v>2815</v>
      </c>
    </row>
    <row r="29" spans="1:9" x14ac:dyDescent="0.25">
      <c r="A29" s="15">
        <v>28</v>
      </c>
      <c r="B29" t="s">
        <v>800</v>
      </c>
      <c r="C29" t="s">
        <v>41</v>
      </c>
      <c r="D29" t="s">
        <v>498</v>
      </c>
      <c r="E29" t="s">
        <v>29</v>
      </c>
      <c r="F29" s="17">
        <v>400</v>
      </c>
      <c r="G29" s="18">
        <v>123.5</v>
      </c>
      <c r="H29" s="17" t="s">
        <v>2983</v>
      </c>
      <c r="I29" s="15" t="s">
        <v>2816</v>
      </c>
    </row>
    <row r="30" spans="1:9" x14ac:dyDescent="0.25">
      <c r="A30" s="15">
        <v>29</v>
      </c>
      <c r="B30" t="s">
        <v>800</v>
      </c>
      <c r="C30" t="s">
        <v>41</v>
      </c>
      <c r="D30" t="s">
        <v>656</v>
      </c>
      <c r="E30" t="s">
        <v>37</v>
      </c>
      <c r="F30" s="17">
        <v>400</v>
      </c>
      <c r="G30" s="15">
        <v>143.5</v>
      </c>
      <c r="H30" s="17" t="s">
        <v>2983</v>
      </c>
      <c r="I30" s="15" t="s">
        <v>2433</v>
      </c>
    </row>
    <row r="31" spans="1:9" x14ac:dyDescent="0.25">
      <c r="A31" s="15">
        <v>30</v>
      </c>
      <c r="B31" t="s">
        <v>931</v>
      </c>
      <c r="C31" t="s">
        <v>41</v>
      </c>
      <c r="D31" t="s">
        <v>195</v>
      </c>
      <c r="E31" t="s">
        <v>22</v>
      </c>
      <c r="F31" s="17">
        <v>400</v>
      </c>
      <c r="G31" s="16">
        <v>102.5</v>
      </c>
      <c r="H31" s="17" t="s">
        <v>2983</v>
      </c>
      <c r="I31" s="15" t="s">
        <v>2817</v>
      </c>
    </row>
    <row r="32" spans="1:9" x14ac:dyDescent="0.25">
      <c r="A32" s="15">
        <v>31</v>
      </c>
      <c r="B32" t="s">
        <v>931</v>
      </c>
      <c r="C32" t="s">
        <v>41</v>
      </c>
      <c r="D32" t="s">
        <v>258</v>
      </c>
      <c r="E32" t="s">
        <v>22</v>
      </c>
      <c r="F32" s="17">
        <v>400</v>
      </c>
      <c r="G32" s="17">
        <v>102.5</v>
      </c>
      <c r="H32" s="17" t="s">
        <v>2983</v>
      </c>
      <c r="I32" s="15" t="s">
        <v>2818</v>
      </c>
    </row>
    <row r="33" spans="1:9" x14ac:dyDescent="0.25">
      <c r="A33" s="15">
        <v>32</v>
      </c>
      <c r="B33" t="s">
        <v>931</v>
      </c>
      <c r="C33" t="s">
        <v>41</v>
      </c>
      <c r="D33" t="s">
        <v>298</v>
      </c>
      <c r="E33" t="s">
        <v>2402</v>
      </c>
      <c r="F33" s="17">
        <v>400</v>
      </c>
      <c r="G33" s="18">
        <v>102.5</v>
      </c>
      <c r="H33" s="17" t="s">
        <v>2983</v>
      </c>
      <c r="I33" s="15" t="s">
        <v>2819</v>
      </c>
    </row>
    <row r="34" spans="1:9" x14ac:dyDescent="0.25">
      <c r="A34" s="15">
        <v>33</v>
      </c>
      <c r="B34" t="s">
        <v>931</v>
      </c>
      <c r="C34" t="s">
        <v>41</v>
      </c>
      <c r="D34" t="s">
        <v>358</v>
      </c>
      <c r="E34" t="s">
        <v>26</v>
      </c>
      <c r="F34" s="17">
        <v>400</v>
      </c>
      <c r="G34" s="16">
        <v>122.5</v>
      </c>
      <c r="H34" s="17" t="s">
        <v>2983</v>
      </c>
      <c r="I34" s="15" t="s">
        <v>2820</v>
      </c>
    </row>
    <row r="35" spans="1:9" x14ac:dyDescent="0.25">
      <c r="A35" s="15">
        <v>34</v>
      </c>
      <c r="B35" t="s">
        <v>931</v>
      </c>
      <c r="C35" t="s">
        <v>41</v>
      </c>
      <c r="D35" t="s">
        <v>428</v>
      </c>
      <c r="E35" t="s">
        <v>26</v>
      </c>
      <c r="F35" s="17">
        <v>400</v>
      </c>
      <c r="G35" s="17">
        <v>122.5</v>
      </c>
      <c r="H35" s="17" t="s">
        <v>2983</v>
      </c>
      <c r="I35" s="15">
        <v>41</v>
      </c>
    </row>
    <row r="36" spans="1:9" x14ac:dyDescent="0.25">
      <c r="A36" s="15">
        <v>35</v>
      </c>
      <c r="B36" t="s">
        <v>931</v>
      </c>
      <c r="C36" t="s">
        <v>41</v>
      </c>
      <c r="D36" t="s">
        <v>498</v>
      </c>
      <c r="E36" t="s">
        <v>29</v>
      </c>
      <c r="F36" s="18">
        <v>400</v>
      </c>
      <c r="G36" s="18">
        <v>122.5</v>
      </c>
      <c r="H36" s="17" t="s">
        <v>2983</v>
      </c>
      <c r="I36" s="15" t="s">
        <v>2821</v>
      </c>
    </row>
    <row r="37" spans="1:9" ht="15" customHeight="1" x14ac:dyDescent="0.25">
      <c r="A37" s="15">
        <v>36</v>
      </c>
      <c r="B37" t="s">
        <v>931</v>
      </c>
      <c r="C37" t="s">
        <v>41</v>
      </c>
      <c r="D37" t="s">
        <v>656</v>
      </c>
      <c r="E37" t="s">
        <v>37</v>
      </c>
      <c r="F37" s="16">
        <v>500</v>
      </c>
      <c r="G37" s="16">
        <v>142.5</v>
      </c>
      <c r="H37" s="18" t="s">
        <v>2983</v>
      </c>
      <c r="I37" s="15" t="s">
        <v>2822</v>
      </c>
    </row>
    <row r="38" spans="1:9" x14ac:dyDescent="0.25">
      <c r="A38" s="15">
        <v>37</v>
      </c>
      <c r="B38" t="s">
        <v>931</v>
      </c>
      <c r="C38" t="s">
        <v>41</v>
      </c>
      <c r="D38" t="s">
        <v>656</v>
      </c>
      <c r="E38" t="s">
        <v>37</v>
      </c>
      <c r="F38" s="17">
        <v>500</v>
      </c>
      <c r="G38" s="17">
        <v>142.5</v>
      </c>
      <c r="H38" s="16" t="s">
        <v>2399</v>
      </c>
      <c r="I38" s="15" t="s">
        <v>2823</v>
      </c>
    </row>
    <row r="39" spans="1:9" x14ac:dyDescent="0.25">
      <c r="A39" s="15">
        <v>38</v>
      </c>
      <c r="B39" t="s">
        <v>931</v>
      </c>
      <c r="C39" t="s">
        <v>41</v>
      </c>
      <c r="D39" t="s">
        <v>800</v>
      </c>
      <c r="E39" t="s">
        <v>41</v>
      </c>
      <c r="F39" s="17">
        <v>500</v>
      </c>
      <c r="G39" s="17">
        <v>142.5</v>
      </c>
      <c r="H39" s="18" t="s">
        <v>2399</v>
      </c>
      <c r="I39" s="15" t="s">
        <v>2824</v>
      </c>
    </row>
    <row r="40" spans="1:9" x14ac:dyDescent="0.25">
      <c r="A40" s="15">
        <v>39</v>
      </c>
      <c r="B40" t="s">
        <v>931</v>
      </c>
      <c r="C40" t="s">
        <v>41</v>
      </c>
      <c r="D40" t="s">
        <v>800</v>
      </c>
      <c r="E40" t="s">
        <v>41</v>
      </c>
      <c r="F40" s="18">
        <v>500</v>
      </c>
      <c r="G40" s="18">
        <v>142.5</v>
      </c>
      <c r="H40" s="16" t="s">
        <v>2983</v>
      </c>
      <c r="I40" s="15" t="s">
        <v>2825</v>
      </c>
    </row>
    <row r="41" spans="1:9" ht="15" customHeight="1" x14ac:dyDescent="0.25">
      <c r="A41" s="15">
        <v>40</v>
      </c>
      <c r="B41" t="s">
        <v>1077</v>
      </c>
      <c r="C41" t="s">
        <v>45</v>
      </c>
      <c r="D41" t="s">
        <v>195</v>
      </c>
      <c r="E41" t="s">
        <v>22</v>
      </c>
      <c r="F41" s="16">
        <v>400</v>
      </c>
      <c r="G41" s="16">
        <v>101.5</v>
      </c>
      <c r="H41" s="17" t="s">
        <v>2983</v>
      </c>
      <c r="I41" s="15" t="s">
        <v>2826</v>
      </c>
    </row>
    <row r="42" spans="1:9" x14ac:dyDescent="0.25">
      <c r="A42" s="15">
        <v>41</v>
      </c>
      <c r="B42" t="s">
        <v>1077</v>
      </c>
      <c r="C42" t="s">
        <v>45</v>
      </c>
      <c r="D42" t="s">
        <v>258</v>
      </c>
      <c r="E42" t="s">
        <v>22</v>
      </c>
      <c r="F42" s="17">
        <v>400</v>
      </c>
      <c r="G42" s="17">
        <v>101.5</v>
      </c>
      <c r="H42" s="17" t="s">
        <v>2983</v>
      </c>
      <c r="I42" s="15" t="s">
        <v>2827</v>
      </c>
    </row>
    <row r="43" spans="1:9" x14ac:dyDescent="0.25">
      <c r="A43" s="15">
        <v>42</v>
      </c>
      <c r="B43" t="s">
        <v>1077</v>
      </c>
      <c r="C43" t="s">
        <v>45</v>
      </c>
      <c r="D43" t="s">
        <v>298</v>
      </c>
      <c r="E43" t="s">
        <v>2402</v>
      </c>
      <c r="F43" s="17">
        <v>400</v>
      </c>
      <c r="G43" s="18">
        <v>101.5</v>
      </c>
      <c r="H43" s="17" t="s">
        <v>2983</v>
      </c>
      <c r="I43" s="15">
        <v>54</v>
      </c>
    </row>
    <row r="44" spans="1:9" x14ac:dyDescent="0.25">
      <c r="A44" s="15">
        <v>43</v>
      </c>
      <c r="B44" t="s">
        <v>1077</v>
      </c>
      <c r="C44" t="s">
        <v>45</v>
      </c>
      <c r="D44" t="s">
        <v>358</v>
      </c>
      <c r="E44" t="s">
        <v>26</v>
      </c>
      <c r="F44" s="17">
        <v>400</v>
      </c>
      <c r="G44" s="16">
        <v>121.5</v>
      </c>
      <c r="H44" s="17" t="s">
        <v>2983</v>
      </c>
      <c r="I44" s="15" t="s">
        <v>2828</v>
      </c>
    </row>
    <row r="45" spans="1:9" x14ac:dyDescent="0.25">
      <c r="A45" s="15">
        <v>44</v>
      </c>
      <c r="B45" t="s">
        <v>1077</v>
      </c>
      <c r="C45" t="s">
        <v>45</v>
      </c>
      <c r="D45" t="s">
        <v>428</v>
      </c>
      <c r="E45" t="s">
        <v>26</v>
      </c>
      <c r="F45" s="17">
        <v>400</v>
      </c>
      <c r="G45" s="17">
        <v>121.5</v>
      </c>
      <c r="H45" s="17" t="s">
        <v>2983</v>
      </c>
      <c r="I45" s="15">
        <v>54</v>
      </c>
    </row>
    <row r="46" spans="1:9" x14ac:dyDescent="0.25">
      <c r="A46" s="15">
        <v>45</v>
      </c>
      <c r="B46" t="s">
        <v>1077</v>
      </c>
      <c r="C46" t="s">
        <v>45</v>
      </c>
      <c r="D46" t="s">
        <v>498</v>
      </c>
      <c r="E46" t="s">
        <v>29</v>
      </c>
      <c r="F46" s="18">
        <v>400</v>
      </c>
      <c r="G46" s="18">
        <v>121.5</v>
      </c>
      <c r="H46" s="17" t="s">
        <v>2983</v>
      </c>
      <c r="I46" s="15">
        <v>55</v>
      </c>
    </row>
    <row r="47" spans="1:9" ht="15" customHeight="1" x14ac:dyDescent="0.25">
      <c r="A47" s="15">
        <v>46</v>
      </c>
      <c r="B47" t="s">
        <v>1077</v>
      </c>
      <c r="C47" t="s">
        <v>45</v>
      </c>
      <c r="D47" t="s">
        <v>656</v>
      </c>
      <c r="E47" t="s">
        <v>37</v>
      </c>
      <c r="F47" s="16">
        <v>600</v>
      </c>
      <c r="G47" s="15">
        <v>141.5</v>
      </c>
      <c r="H47" s="17" t="s">
        <v>2983</v>
      </c>
      <c r="I47" s="15" t="s">
        <v>2829</v>
      </c>
    </row>
    <row r="48" spans="1:9" x14ac:dyDescent="0.25">
      <c r="A48" s="15">
        <v>47</v>
      </c>
      <c r="B48" t="s">
        <v>1077</v>
      </c>
      <c r="C48" t="s">
        <v>45</v>
      </c>
      <c r="D48" t="s">
        <v>800</v>
      </c>
      <c r="E48" t="s">
        <v>41</v>
      </c>
      <c r="F48" s="17">
        <v>600</v>
      </c>
      <c r="G48" s="16">
        <v>141.5</v>
      </c>
      <c r="H48" s="18" t="s">
        <v>2983</v>
      </c>
      <c r="I48" s="15" t="s">
        <v>2830</v>
      </c>
    </row>
    <row r="49" spans="1:9" x14ac:dyDescent="0.25">
      <c r="A49" s="15">
        <v>48</v>
      </c>
      <c r="B49" t="s">
        <v>1077</v>
      </c>
      <c r="C49" t="s">
        <v>45</v>
      </c>
      <c r="D49" t="s">
        <v>800</v>
      </c>
      <c r="E49" t="s">
        <v>41</v>
      </c>
      <c r="F49" s="17">
        <v>600</v>
      </c>
      <c r="G49" s="18">
        <v>141.5</v>
      </c>
      <c r="H49" s="15" t="s">
        <v>2399</v>
      </c>
      <c r="I49" s="15">
        <v>63</v>
      </c>
    </row>
    <row r="50" spans="1:9" x14ac:dyDescent="0.25">
      <c r="A50" s="15">
        <v>49</v>
      </c>
      <c r="B50" t="s">
        <v>1077</v>
      </c>
      <c r="C50" t="s">
        <v>45</v>
      </c>
      <c r="D50" t="s">
        <v>931</v>
      </c>
      <c r="E50" t="s">
        <v>41</v>
      </c>
      <c r="F50" s="17">
        <v>600</v>
      </c>
      <c r="G50" s="16">
        <v>161.5</v>
      </c>
      <c r="H50" s="19" t="s">
        <v>2983</v>
      </c>
      <c r="I50" s="15" t="s">
        <v>2831</v>
      </c>
    </row>
    <row r="51" spans="1:9" x14ac:dyDescent="0.25">
      <c r="A51" s="15">
        <v>50</v>
      </c>
      <c r="B51" t="s">
        <v>1077</v>
      </c>
      <c r="C51" t="s">
        <v>45</v>
      </c>
      <c r="D51" t="s">
        <v>931</v>
      </c>
      <c r="E51" t="s">
        <v>41</v>
      </c>
      <c r="F51" s="18">
        <v>600</v>
      </c>
      <c r="G51" s="18">
        <v>161.5</v>
      </c>
      <c r="H51" s="19" t="s">
        <v>2399</v>
      </c>
      <c r="I51" s="15" t="s">
        <v>2832</v>
      </c>
    </row>
    <row r="52" spans="1:9" ht="15" customHeight="1" x14ac:dyDescent="0.25">
      <c r="A52" s="15">
        <v>51</v>
      </c>
      <c r="B52" t="s">
        <v>1221</v>
      </c>
      <c r="C52" t="s">
        <v>17</v>
      </c>
      <c r="D52" t="s">
        <v>131</v>
      </c>
      <c r="E52" t="s">
        <v>18</v>
      </c>
      <c r="F52" s="16">
        <v>400</v>
      </c>
      <c r="G52" s="16">
        <v>102</v>
      </c>
      <c r="H52" s="16" t="s">
        <v>2983</v>
      </c>
      <c r="I52" s="16" t="s">
        <v>2833</v>
      </c>
    </row>
    <row r="53" spans="1:9" x14ac:dyDescent="0.25">
      <c r="A53" s="15">
        <v>52</v>
      </c>
      <c r="B53" t="s">
        <v>1221</v>
      </c>
      <c r="C53" t="s">
        <v>17</v>
      </c>
      <c r="D53" t="s">
        <v>152</v>
      </c>
      <c r="E53" t="s">
        <v>2399</v>
      </c>
      <c r="F53" s="17">
        <v>400</v>
      </c>
      <c r="G53" s="17">
        <v>102</v>
      </c>
      <c r="H53" s="17" t="s">
        <v>2983</v>
      </c>
      <c r="I53" s="18" t="s">
        <v>2833</v>
      </c>
    </row>
    <row r="54" spans="1:9" x14ac:dyDescent="0.25">
      <c r="A54" s="15">
        <v>53</v>
      </c>
      <c r="B54" t="s">
        <v>1221</v>
      </c>
      <c r="C54" t="s">
        <v>17</v>
      </c>
      <c r="D54" t="s">
        <v>195</v>
      </c>
      <c r="E54" t="s">
        <v>22</v>
      </c>
      <c r="F54" s="17">
        <v>400</v>
      </c>
      <c r="G54" s="17">
        <v>102</v>
      </c>
      <c r="H54" s="17" t="s">
        <v>2983</v>
      </c>
      <c r="I54" s="15">
        <v>49</v>
      </c>
    </row>
    <row r="55" spans="1:9" x14ac:dyDescent="0.25">
      <c r="A55" s="15">
        <v>54</v>
      </c>
      <c r="B55" t="s">
        <v>1221</v>
      </c>
      <c r="C55" t="s">
        <v>17</v>
      </c>
      <c r="D55" t="s">
        <v>258</v>
      </c>
      <c r="E55" t="s">
        <v>22</v>
      </c>
      <c r="F55" s="17">
        <v>400</v>
      </c>
      <c r="G55" s="17">
        <v>102</v>
      </c>
      <c r="H55" s="17" t="s">
        <v>2983</v>
      </c>
      <c r="I55" s="15" t="s">
        <v>2834</v>
      </c>
    </row>
    <row r="56" spans="1:9" x14ac:dyDescent="0.25">
      <c r="A56" s="15">
        <v>55</v>
      </c>
      <c r="B56" t="s">
        <v>1221</v>
      </c>
      <c r="C56" t="s">
        <v>17</v>
      </c>
      <c r="D56" t="s">
        <v>298</v>
      </c>
      <c r="E56" t="s">
        <v>2402</v>
      </c>
      <c r="F56" s="17">
        <v>400</v>
      </c>
      <c r="G56" s="18">
        <v>102</v>
      </c>
      <c r="H56" s="17" t="s">
        <v>2983</v>
      </c>
      <c r="I56" s="15">
        <v>64</v>
      </c>
    </row>
    <row r="57" spans="1:9" x14ac:dyDescent="0.25">
      <c r="A57" s="15">
        <v>56</v>
      </c>
      <c r="B57" t="s">
        <v>1221</v>
      </c>
      <c r="C57" t="s">
        <v>17</v>
      </c>
      <c r="D57" t="s">
        <v>358</v>
      </c>
      <c r="E57" t="s">
        <v>26</v>
      </c>
      <c r="F57" s="18">
        <v>400</v>
      </c>
      <c r="G57" s="16">
        <v>122</v>
      </c>
      <c r="H57" s="17" t="s">
        <v>2983</v>
      </c>
      <c r="I57" s="15" t="s">
        <v>2835</v>
      </c>
    </row>
    <row r="58" spans="1:9" ht="15" customHeight="1" x14ac:dyDescent="0.25">
      <c r="A58" s="15">
        <v>57</v>
      </c>
      <c r="B58" t="s">
        <v>1221</v>
      </c>
      <c r="C58" t="s">
        <v>17</v>
      </c>
      <c r="D58" t="s">
        <v>428</v>
      </c>
      <c r="E58" t="s">
        <v>26</v>
      </c>
      <c r="F58" s="16">
        <v>500</v>
      </c>
      <c r="G58" s="18">
        <v>122</v>
      </c>
      <c r="H58" s="17" t="s">
        <v>2983</v>
      </c>
      <c r="I58" s="15" t="s">
        <v>2836</v>
      </c>
    </row>
    <row r="59" spans="1:9" x14ac:dyDescent="0.25">
      <c r="A59" s="15">
        <v>58</v>
      </c>
      <c r="B59" t="s">
        <v>1221</v>
      </c>
      <c r="C59" t="s">
        <v>17</v>
      </c>
      <c r="D59" t="s">
        <v>498</v>
      </c>
      <c r="E59" t="s">
        <v>29</v>
      </c>
      <c r="F59" s="18">
        <v>500</v>
      </c>
      <c r="G59" s="15">
        <v>122</v>
      </c>
      <c r="H59" s="17" t="s">
        <v>2983</v>
      </c>
      <c r="I59" s="15" t="s">
        <v>2837</v>
      </c>
    </row>
    <row r="60" spans="1:9" ht="15" customHeight="1" x14ac:dyDescent="0.25">
      <c r="A60" s="15">
        <v>59</v>
      </c>
      <c r="B60" t="s">
        <v>1221</v>
      </c>
      <c r="C60" t="s">
        <v>17</v>
      </c>
      <c r="D60" t="s">
        <v>656</v>
      </c>
      <c r="E60" t="s">
        <v>37</v>
      </c>
      <c r="F60" s="16">
        <v>600</v>
      </c>
      <c r="G60" s="16">
        <v>142</v>
      </c>
      <c r="H60" s="17" t="s">
        <v>2983</v>
      </c>
      <c r="I60" s="15" t="s">
        <v>2838</v>
      </c>
    </row>
    <row r="61" spans="1:9" x14ac:dyDescent="0.25">
      <c r="A61" s="15">
        <v>60</v>
      </c>
      <c r="B61" t="s">
        <v>1221</v>
      </c>
      <c r="C61" t="s">
        <v>17</v>
      </c>
      <c r="D61" t="s">
        <v>800</v>
      </c>
      <c r="E61" t="s">
        <v>41</v>
      </c>
      <c r="F61" s="17">
        <v>600</v>
      </c>
      <c r="G61" s="17">
        <v>142</v>
      </c>
      <c r="H61" s="18" t="s">
        <v>2983</v>
      </c>
      <c r="I61" s="15" t="s">
        <v>2839</v>
      </c>
    </row>
    <row r="62" spans="1:9" x14ac:dyDescent="0.25">
      <c r="A62" s="15">
        <v>61</v>
      </c>
      <c r="B62" t="s">
        <v>1221</v>
      </c>
      <c r="C62" t="s">
        <v>17</v>
      </c>
      <c r="D62" t="s">
        <v>800</v>
      </c>
      <c r="E62" t="s">
        <v>41</v>
      </c>
      <c r="F62" s="17">
        <v>600</v>
      </c>
      <c r="G62" s="17">
        <v>142</v>
      </c>
      <c r="H62" s="15" t="s">
        <v>2399</v>
      </c>
      <c r="I62" s="15" t="s">
        <v>2840</v>
      </c>
    </row>
    <row r="63" spans="1:9" x14ac:dyDescent="0.25">
      <c r="A63" s="15">
        <v>62</v>
      </c>
      <c r="B63" t="s">
        <v>1221</v>
      </c>
      <c r="C63" t="s">
        <v>45</v>
      </c>
      <c r="D63" t="s">
        <v>800</v>
      </c>
      <c r="E63" t="s">
        <v>34</v>
      </c>
      <c r="F63" s="18">
        <v>600</v>
      </c>
      <c r="G63" s="18">
        <v>142</v>
      </c>
      <c r="H63" s="15" t="s">
        <v>2405</v>
      </c>
      <c r="I63" s="15" t="s">
        <v>2841</v>
      </c>
    </row>
    <row r="64" spans="1:9" ht="15" customHeight="1" x14ac:dyDescent="0.25">
      <c r="A64" s="15">
        <v>63</v>
      </c>
      <c r="B64" t="s">
        <v>1221</v>
      </c>
      <c r="C64" t="s">
        <v>17</v>
      </c>
      <c r="D64" t="s">
        <v>931</v>
      </c>
      <c r="E64" t="s">
        <v>41</v>
      </c>
      <c r="F64" s="16">
        <v>700</v>
      </c>
      <c r="G64" s="16">
        <v>162</v>
      </c>
      <c r="H64" s="15" t="s">
        <v>2983</v>
      </c>
      <c r="I64" s="15" t="s">
        <v>2842</v>
      </c>
    </row>
    <row r="65" spans="1:9" x14ac:dyDescent="0.25">
      <c r="A65" s="15">
        <v>64</v>
      </c>
      <c r="B65" t="s">
        <v>1221</v>
      </c>
      <c r="C65" t="s">
        <v>17</v>
      </c>
      <c r="D65" t="s">
        <v>931</v>
      </c>
      <c r="E65" t="s">
        <v>41</v>
      </c>
      <c r="F65" s="17">
        <v>700</v>
      </c>
      <c r="G65" s="17">
        <v>162</v>
      </c>
      <c r="H65" s="15" t="s">
        <v>2399</v>
      </c>
      <c r="I65" s="15" t="s">
        <v>2843</v>
      </c>
    </row>
    <row r="66" spans="1:9" x14ac:dyDescent="0.25">
      <c r="A66" s="15">
        <v>65</v>
      </c>
      <c r="B66" t="s">
        <v>1221</v>
      </c>
      <c r="C66" t="s">
        <v>45</v>
      </c>
      <c r="D66" t="s">
        <v>931</v>
      </c>
      <c r="E66" t="s">
        <v>34</v>
      </c>
      <c r="F66" s="17">
        <v>700</v>
      </c>
      <c r="G66" s="17">
        <v>162</v>
      </c>
      <c r="H66" s="15" t="s">
        <v>2405</v>
      </c>
      <c r="I66" s="15" t="s">
        <v>2844</v>
      </c>
    </row>
    <row r="67" spans="1:9" x14ac:dyDescent="0.25">
      <c r="A67" s="15">
        <v>66</v>
      </c>
      <c r="B67" t="s">
        <v>1221</v>
      </c>
      <c r="C67" t="s">
        <v>17</v>
      </c>
      <c r="D67" t="s">
        <v>1077</v>
      </c>
      <c r="E67" t="s">
        <v>45</v>
      </c>
      <c r="F67" s="17">
        <v>700</v>
      </c>
      <c r="G67" s="17">
        <v>162</v>
      </c>
      <c r="H67" s="15" t="s">
        <v>2983</v>
      </c>
      <c r="I67" s="15" t="s">
        <v>2845</v>
      </c>
    </row>
    <row r="68" spans="1:9" x14ac:dyDescent="0.25">
      <c r="A68" s="15">
        <v>67</v>
      </c>
      <c r="B68" t="s">
        <v>1221</v>
      </c>
      <c r="C68" t="s">
        <v>17</v>
      </c>
      <c r="D68" t="s">
        <v>1077</v>
      </c>
      <c r="E68" t="s">
        <v>45</v>
      </c>
      <c r="F68" s="17">
        <v>700</v>
      </c>
      <c r="G68" s="17">
        <v>162</v>
      </c>
      <c r="H68" s="19" t="s">
        <v>2399</v>
      </c>
      <c r="I68" s="15" t="s">
        <v>2846</v>
      </c>
    </row>
    <row r="69" spans="1:9" x14ac:dyDescent="0.25">
      <c r="A69" s="15">
        <v>68</v>
      </c>
      <c r="B69" t="s">
        <v>1221</v>
      </c>
      <c r="C69" t="s">
        <v>17</v>
      </c>
      <c r="D69" t="s">
        <v>1077</v>
      </c>
      <c r="E69" t="s">
        <v>45</v>
      </c>
      <c r="F69" s="18">
        <v>700</v>
      </c>
      <c r="G69" s="18">
        <v>162</v>
      </c>
      <c r="H69" s="19" t="s">
        <v>2405</v>
      </c>
      <c r="I69" s="15" t="s">
        <v>2742</v>
      </c>
    </row>
    <row r="70" spans="1:9" ht="15" customHeight="1" x14ac:dyDescent="0.25">
      <c r="A70" s="15">
        <v>69</v>
      </c>
      <c r="B70" t="s">
        <v>1512</v>
      </c>
      <c r="C70" t="s">
        <v>41</v>
      </c>
      <c r="D70" t="s">
        <v>428</v>
      </c>
      <c r="E70" t="s">
        <v>26</v>
      </c>
      <c r="F70" s="16">
        <v>500</v>
      </c>
      <c r="G70" s="16">
        <v>120</v>
      </c>
      <c r="H70" s="16" t="s">
        <v>2399</v>
      </c>
      <c r="I70" s="15" t="s">
        <v>2847</v>
      </c>
    </row>
    <row r="71" spans="1:9" x14ac:dyDescent="0.25">
      <c r="A71" s="15">
        <v>70</v>
      </c>
      <c r="B71" t="s">
        <v>1512</v>
      </c>
      <c r="C71" t="s">
        <v>41</v>
      </c>
      <c r="D71" t="s">
        <v>498</v>
      </c>
      <c r="E71" t="s">
        <v>29</v>
      </c>
      <c r="F71" s="18">
        <v>500</v>
      </c>
      <c r="G71" s="18">
        <v>120</v>
      </c>
      <c r="H71" s="17" t="s">
        <v>2399</v>
      </c>
      <c r="I71" s="15" t="s">
        <v>2848</v>
      </c>
    </row>
    <row r="72" spans="1:9" ht="15" customHeight="1" x14ac:dyDescent="0.25">
      <c r="A72" s="15">
        <v>71</v>
      </c>
      <c r="B72" t="s">
        <v>1512</v>
      </c>
      <c r="C72" t="s">
        <v>41</v>
      </c>
      <c r="D72" t="s">
        <v>656</v>
      </c>
      <c r="E72" t="s">
        <v>37</v>
      </c>
      <c r="F72" s="16">
        <v>600</v>
      </c>
      <c r="G72" s="16">
        <v>140</v>
      </c>
      <c r="H72" s="17" t="s">
        <v>2399</v>
      </c>
      <c r="I72" s="15" t="s">
        <v>2849</v>
      </c>
    </row>
    <row r="73" spans="1:9" x14ac:dyDescent="0.25">
      <c r="A73" s="15">
        <v>72</v>
      </c>
      <c r="B73" t="s">
        <v>1512</v>
      </c>
      <c r="C73" t="s">
        <v>41</v>
      </c>
      <c r="D73" t="s">
        <v>800</v>
      </c>
      <c r="E73" t="s">
        <v>41</v>
      </c>
      <c r="F73" s="18">
        <v>600</v>
      </c>
      <c r="G73" s="18">
        <v>140</v>
      </c>
      <c r="H73" s="17" t="s">
        <v>2399</v>
      </c>
      <c r="I73" s="15" t="s">
        <v>2850</v>
      </c>
    </row>
    <row r="74" spans="1:9" ht="15" customHeight="1" x14ac:dyDescent="0.25">
      <c r="A74" s="15">
        <v>73</v>
      </c>
      <c r="B74" t="s">
        <v>1512</v>
      </c>
      <c r="C74" t="s">
        <v>41</v>
      </c>
      <c r="D74" t="s">
        <v>931</v>
      </c>
      <c r="E74" t="s">
        <v>41</v>
      </c>
      <c r="F74" s="16">
        <v>700</v>
      </c>
      <c r="G74" s="16">
        <v>160</v>
      </c>
      <c r="H74" s="18" t="s">
        <v>2399</v>
      </c>
      <c r="I74" s="15" t="s">
        <v>2851</v>
      </c>
    </row>
    <row r="75" spans="1:9" x14ac:dyDescent="0.25">
      <c r="A75" s="15">
        <v>74</v>
      </c>
      <c r="B75" t="s">
        <v>1512</v>
      </c>
      <c r="C75" t="s">
        <v>41</v>
      </c>
      <c r="D75" t="s">
        <v>931</v>
      </c>
      <c r="E75" t="s">
        <v>34</v>
      </c>
      <c r="F75" s="17">
        <v>700</v>
      </c>
      <c r="G75" s="17">
        <v>160</v>
      </c>
      <c r="H75" s="15" t="s">
        <v>2405</v>
      </c>
      <c r="I75" s="15" t="s">
        <v>2852</v>
      </c>
    </row>
    <row r="76" spans="1:9" x14ac:dyDescent="0.25">
      <c r="A76" s="15">
        <v>75</v>
      </c>
      <c r="B76" t="s">
        <v>1512</v>
      </c>
      <c r="C76" t="s">
        <v>41</v>
      </c>
      <c r="D76" t="s">
        <v>1077</v>
      </c>
      <c r="E76" t="s">
        <v>45</v>
      </c>
      <c r="F76" s="17">
        <v>700</v>
      </c>
      <c r="G76" s="17">
        <v>160</v>
      </c>
      <c r="H76" s="15" t="s">
        <v>2399</v>
      </c>
      <c r="I76" s="16" t="s">
        <v>2853</v>
      </c>
    </row>
    <row r="77" spans="1:9" x14ac:dyDescent="0.25">
      <c r="A77" s="15">
        <v>76</v>
      </c>
      <c r="B77" t="s">
        <v>1512</v>
      </c>
      <c r="C77" t="s">
        <v>41</v>
      </c>
      <c r="D77" t="s">
        <v>1077</v>
      </c>
      <c r="E77" t="s">
        <v>45</v>
      </c>
      <c r="F77" s="17">
        <v>700</v>
      </c>
      <c r="G77" s="18">
        <v>160</v>
      </c>
      <c r="H77" s="19" t="s">
        <v>2405</v>
      </c>
      <c r="I77" s="15" t="s">
        <v>2854</v>
      </c>
    </row>
    <row r="78" spans="1:9" x14ac:dyDescent="0.25">
      <c r="A78" s="15">
        <v>77</v>
      </c>
      <c r="B78" t="s">
        <v>1512</v>
      </c>
      <c r="C78" t="s">
        <v>41</v>
      </c>
      <c r="D78" t="s">
        <v>1221</v>
      </c>
      <c r="E78" t="s">
        <v>17</v>
      </c>
      <c r="F78" s="17">
        <v>700</v>
      </c>
      <c r="G78" s="16">
        <v>180</v>
      </c>
      <c r="H78" s="19" t="s">
        <v>2399</v>
      </c>
      <c r="I78" s="16" t="s">
        <v>2712</v>
      </c>
    </row>
    <row r="79" spans="1:9" x14ac:dyDescent="0.25">
      <c r="A79" s="15">
        <v>78</v>
      </c>
      <c r="B79" t="s">
        <v>1512</v>
      </c>
      <c r="C79" t="s">
        <v>41</v>
      </c>
      <c r="D79" t="s">
        <v>1221</v>
      </c>
      <c r="E79" t="s">
        <v>45</v>
      </c>
      <c r="F79" s="18">
        <v>700</v>
      </c>
      <c r="G79" s="18">
        <v>180</v>
      </c>
      <c r="H79" s="16" t="s">
        <v>2405</v>
      </c>
      <c r="I79" s="15" t="s">
        <v>2855</v>
      </c>
    </row>
    <row r="80" spans="1:9" x14ac:dyDescent="0.25">
      <c r="A80" s="15">
        <v>79</v>
      </c>
      <c r="B80" t="s">
        <v>1809</v>
      </c>
      <c r="C80" t="s">
        <v>41</v>
      </c>
      <c r="D80" t="s">
        <v>656</v>
      </c>
      <c r="E80" t="s">
        <v>34</v>
      </c>
      <c r="F80" s="16">
        <v>600</v>
      </c>
      <c r="G80" s="16">
        <v>140</v>
      </c>
      <c r="H80" s="17" t="s">
        <v>2405</v>
      </c>
      <c r="I80" s="15" t="s">
        <v>2856</v>
      </c>
    </row>
    <row r="81" spans="1:9" x14ac:dyDescent="0.25">
      <c r="A81" s="15">
        <v>80</v>
      </c>
      <c r="B81" t="s">
        <v>1809</v>
      </c>
      <c r="C81" t="s">
        <v>41</v>
      </c>
      <c r="D81" t="s">
        <v>800</v>
      </c>
      <c r="E81" t="s">
        <v>34</v>
      </c>
      <c r="F81" s="18">
        <v>600</v>
      </c>
      <c r="G81" s="18">
        <v>140</v>
      </c>
      <c r="H81" s="18" t="s">
        <v>2405</v>
      </c>
      <c r="I81" s="15" t="s">
        <v>2857</v>
      </c>
    </row>
    <row r="82" spans="1:9" x14ac:dyDescent="0.25">
      <c r="A82" s="15">
        <v>81</v>
      </c>
      <c r="B82" t="s">
        <v>1809</v>
      </c>
      <c r="C82" t="s">
        <v>33</v>
      </c>
      <c r="D82" t="s">
        <v>931</v>
      </c>
      <c r="E82" t="s">
        <v>41</v>
      </c>
      <c r="F82" s="16">
        <v>700</v>
      </c>
      <c r="G82" s="16">
        <v>160</v>
      </c>
      <c r="H82" s="15" t="s">
        <v>2399</v>
      </c>
      <c r="I82" s="15" t="s">
        <v>2858</v>
      </c>
    </row>
    <row r="83" spans="1:9" x14ac:dyDescent="0.25">
      <c r="A83" s="15">
        <v>82</v>
      </c>
      <c r="B83" t="s">
        <v>1809</v>
      </c>
      <c r="C83" t="s">
        <v>41</v>
      </c>
      <c r="D83" t="s">
        <v>931</v>
      </c>
      <c r="E83" t="s">
        <v>34</v>
      </c>
      <c r="F83" s="17">
        <v>700</v>
      </c>
      <c r="G83" s="17">
        <v>160</v>
      </c>
      <c r="H83" s="15" t="s">
        <v>2405</v>
      </c>
      <c r="I83" s="15">
        <v>113</v>
      </c>
    </row>
    <row r="84" spans="1:9" ht="15" customHeight="1" x14ac:dyDescent="0.25">
      <c r="A84" s="15">
        <v>83</v>
      </c>
      <c r="B84" t="s">
        <v>1809</v>
      </c>
      <c r="C84" t="s">
        <v>33</v>
      </c>
      <c r="D84" t="s">
        <v>1077</v>
      </c>
      <c r="E84" t="s">
        <v>45</v>
      </c>
      <c r="F84" s="17">
        <v>700</v>
      </c>
      <c r="G84" s="17">
        <v>160</v>
      </c>
      <c r="H84" s="15" t="s">
        <v>2399</v>
      </c>
      <c r="I84" s="15" t="s">
        <v>2859</v>
      </c>
    </row>
    <row r="85" spans="1:9" x14ac:dyDescent="0.25">
      <c r="A85" s="15">
        <v>84</v>
      </c>
      <c r="B85" t="s">
        <v>1809</v>
      </c>
      <c r="C85" t="s">
        <v>41</v>
      </c>
      <c r="D85" t="s">
        <v>1077</v>
      </c>
      <c r="E85" t="s">
        <v>45</v>
      </c>
      <c r="F85" s="18">
        <v>700</v>
      </c>
      <c r="G85" s="18">
        <v>160</v>
      </c>
      <c r="H85" s="15" t="s">
        <v>2405</v>
      </c>
      <c r="I85" s="15" t="s">
        <v>2860</v>
      </c>
    </row>
    <row r="86" spans="1:9" ht="15" customHeight="1" x14ac:dyDescent="0.25">
      <c r="A86" s="15">
        <v>85</v>
      </c>
      <c r="B86" t="s">
        <v>1809</v>
      </c>
      <c r="C86" t="s">
        <v>33</v>
      </c>
      <c r="D86" t="s">
        <v>1221</v>
      </c>
      <c r="E86" t="s">
        <v>17</v>
      </c>
      <c r="F86" s="16">
        <v>800</v>
      </c>
      <c r="G86" s="16">
        <v>180</v>
      </c>
      <c r="H86" s="15" t="s">
        <v>2399</v>
      </c>
      <c r="I86" s="15" t="s">
        <v>2861</v>
      </c>
    </row>
    <row r="87" spans="1:9" x14ac:dyDescent="0.25">
      <c r="A87" s="15">
        <v>86</v>
      </c>
      <c r="B87" t="s">
        <v>1809</v>
      </c>
      <c r="C87" t="s">
        <v>41</v>
      </c>
      <c r="D87" t="s">
        <v>1221</v>
      </c>
      <c r="E87" t="s">
        <v>45</v>
      </c>
      <c r="F87" s="17">
        <v>800</v>
      </c>
      <c r="G87" s="17">
        <v>180</v>
      </c>
      <c r="H87" s="15" t="s">
        <v>2405</v>
      </c>
      <c r="I87" s="15" t="s">
        <v>2862</v>
      </c>
    </row>
    <row r="88" spans="1:9" x14ac:dyDescent="0.25">
      <c r="A88" s="15">
        <v>87</v>
      </c>
      <c r="B88" t="s">
        <v>1809</v>
      </c>
      <c r="C88" t="s">
        <v>33</v>
      </c>
      <c r="D88" t="s">
        <v>1512</v>
      </c>
      <c r="E88" t="s">
        <v>41</v>
      </c>
      <c r="F88" s="17">
        <v>800</v>
      </c>
      <c r="G88" s="17">
        <v>180</v>
      </c>
      <c r="H88" s="15" t="s">
        <v>2399</v>
      </c>
      <c r="I88" s="15" t="s">
        <v>2863</v>
      </c>
    </row>
    <row r="89" spans="1:9" x14ac:dyDescent="0.25">
      <c r="A89" s="15">
        <v>88</v>
      </c>
      <c r="B89" t="s">
        <v>1809</v>
      </c>
      <c r="C89" t="s">
        <v>41</v>
      </c>
      <c r="D89" t="s">
        <v>1512</v>
      </c>
      <c r="E89" t="s">
        <v>41</v>
      </c>
      <c r="F89" s="17">
        <v>800</v>
      </c>
      <c r="G89" s="17">
        <v>180</v>
      </c>
      <c r="H89" s="19" t="s">
        <v>2405</v>
      </c>
      <c r="I89" s="15" t="s">
        <v>2864</v>
      </c>
    </row>
    <row r="90" spans="1:9" ht="15" customHeight="1" x14ac:dyDescent="0.25">
      <c r="A90" s="15">
        <v>89</v>
      </c>
      <c r="B90" t="s">
        <v>1809</v>
      </c>
      <c r="C90" t="s">
        <v>41</v>
      </c>
      <c r="D90" t="s">
        <v>1512</v>
      </c>
      <c r="E90" t="s">
        <v>41</v>
      </c>
      <c r="F90" s="18">
        <v>800</v>
      </c>
      <c r="G90" s="18">
        <v>180</v>
      </c>
      <c r="H90" s="19" t="s">
        <v>2984</v>
      </c>
      <c r="I90" s="15" t="s">
        <v>2865</v>
      </c>
    </row>
    <row r="91" spans="1:9" x14ac:dyDescent="0.25">
      <c r="A91" s="15">
        <v>90</v>
      </c>
      <c r="B91" t="s">
        <v>1969</v>
      </c>
      <c r="C91" t="s">
        <v>45</v>
      </c>
      <c r="D91" t="s">
        <v>358</v>
      </c>
      <c r="E91" t="s">
        <v>26</v>
      </c>
      <c r="F91" s="16">
        <v>600</v>
      </c>
      <c r="G91" s="16">
        <v>120</v>
      </c>
      <c r="H91" s="16" t="s">
        <v>2399</v>
      </c>
      <c r="I91" s="15" t="s">
        <v>2866</v>
      </c>
    </row>
    <row r="92" spans="1:9" x14ac:dyDescent="0.25">
      <c r="A92" s="15">
        <v>91</v>
      </c>
      <c r="B92" t="s">
        <v>1969</v>
      </c>
      <c r="C92" t="s">
        <v>45</v>
      </c>
      <c r="D92" t="s">
        <v>428</v>
      </c>
      <c r="E92" t="s">
        <v>26</v>
      </c>
      <c r="F92" s="17">
        <v>600</v>
      </c>
      <c r="G92" s="17">
        <v>120</v>
      </c>
      <c r="H92" s="17" t="s">
        <v>2399</v>
      </c>
      <c r="I92" s="15" t="s">
        <v>2867</v>
      </c>
    </row>
    <row r="93" spans="1:9" x14ac:dyDescent="0.25">
      <c r="A93" s="15">
        <v>92</v>
      </c>
      <c r="B93" t="s">
        <v>1969</v>
      </c>
      <c r="C93" t="s">
        <v>45</v>
      </c>
      <c r="D93" t="s">
        <v>498</v>
      </c>
      <c r="E93" t="s">
        <v>29</v>
      </c>
      <c r="F93" s="17">
        <v>600</v>
      </c>
      <c r="G93" s="18">
        <v>120</v>
      </c>
      <c r="H93" s="17" t="s">
        <v>2399</v>
      </c>
      <c r="I93" s="15">
        <v>116</v>
      </c>
    </row>
    <row r="94" spans="1:9" x14ac:dyDescent="0.25">
      <c r="A94" s="15">
        <v>93</v>
      </c>
      <c r="B94" t="s">
        <v>1969</v>
      </c>
      <c r="C94" t="s">
        <v>45</v>
      </c>
      <c r="D94" t="s">
        <v>656</v>
      </c>
      <c r="E94" t="s">
        <v>37</v>
      </c>
      <c r="F94" s="18">
        <v>600</v>
      </c>
      <c r="G94" s="16">
        <v>140</v>
      </c>
      <c r="H94" s="17" t="s">
        <v>2399</v>
      </c>
      <c r="I94" s="15" t="s">
        <v>2868</v>
      </c>
    </row>
    <row r="95" spans="1:9" ht="15" customHeight="1" x14ac:dyDescent="0.25">
      <c r="A95" s="15">
        <v>94</v>
      </c>
      <c r="B95" t="s">
        <v>1969</v>
      </c>
      <c r="C95" t="s">
        <v>45</v>
      </c>
      <c r="D95" t="s">
        <v>800</v>
      </c>
      <c r="E95" t="s">
        <v>41</v>
      </c>
      <c r="F95" s="16">
        <v>750</v>
      </c>
      <c r="G95" s="17">
        <v>140</v>
      </c>
      <c r="H95" s="18" t="s">
        <v>2399</v>
      </c>
      <c r="I95" s="16" t="s">
        <v>2869</v>
      </c>
    </row>
    <row r="96" spans="1:9" x14ac:dyDescent="0.25">
      <c r="A96" s="15">
        <v>95</v>
      </c>
      <c r="B96" t="s">
        <v>1969</v>
      </c>
      <c r="C96" t="s">
        <v>45</v>
      </c>
      <c r="D96" t="s">
        <v>800</v>
      </c>
      <c r="E96" t="s">
        <v>34</v>
      </c>
      <c r="F96" s="17">
        <v>750</v>
      </c>
      <c r="G96" s="15">
        <v>160</v>
      </c>
      <c r="H96" s="16" t="s">
        <v>2405</v>
      </c>
      <c r="I96" s="15" t="s">
        <v>2870</v>
      </c>
    </row>
    <row r="97" spans="1:9" x14ac:dyDescent="0.25">
      <c r="A97" s="15">
        <v>96</v>
      </c>
      <c r="B97" t="s">
        <v>1969</v>
      </c>
      <c r="C97" t="s">
        <v>45</v>
      </c>
      <c r="D97" t="s">
        <v>931</v>
      </c>
      <c r="E97" t="s">
        <v>34</v>
      </c>
      <c r="F97" s="17">
        <v>750</v>
      </c>
      <c r="G97" s="15">
        <v>140</v>
      </c>
      <c r="H97" s="18" t="s">
        <v>2405</v>
      </c>
      <c r="I97" s="15" t="s">
        <v>2871</v>
      </c>
    </row>
    <row r="98" spans="1:9" x14ac:dyDescent="0.25">
      <c r="A98" s="15">
        <v>97</v>
      </c>
      <c r="B98" t="s">
        <v>1969</v>
      </c>
      <c r="C98" t="s">
        <v>45</v>
      </c>
      <c r="D98" t="s">
        <v>931</v>
      </c>
      <c r="E98" t="s">
        <v>41</v>
      </c>
      <c r="F98" s="17">
        <v>750</v>
      </c>
      <c r="G98" s="16">
        <v>160</v>
      </c>
      <c r="H98" s="16" t="s">
        <v>2399</v>
      </c>
      <c r="I98" s="16" t="s">
        <v>2872</v>
      </c>
    </row>
    <row r="99" spans="1:9" ht="15" customHeight="1" x14ac:dyDescent="0.25">
      <c r="A99" s="15">
        <v>98</v>
      </c>
      <c r="B99" t="s">
        <v>1969</v>
      </c>
      <c r="C99" t="s">
        <v>45</v>
      </c>
      <c r="D99" t="s">
        <v>1077</v>
      </c>
      <c r="E99" t="s">
        <v>45</v>
      </c>
      <c r="F99" s="17">
        <v>750</v>
      </c>
      <c r="G99" s="17">
        <v>160</v>
      </c>
      <c r="H99" s="18" t="s">
        <v>2399</v>
      </c>
      <c r="I99" s="15" t="s">
        <v>2873</v>
      </c>
    </row>
    <row r="100" spans="1:9" x14ac:dyDescent="0.25">
      <c r="A100" s="15">
        <v>99</v>
      </c>
      <c r="B100" t="s">
        <v>1969</v>
      </c>
      <c r="C100" t="s">
        <v>45</v>
      </c>
      <c r="D100" t="s">
        <v>1077</v>
      </c>
      <c r="E100" t="s">
        <v>45</v>
      </c>
      <c r="F100" s="18">
        <v>750</v>
      </c>
      <c r="G100" s="18">
        <v>160</v>
      </c>
      <c r="H100" s="15" t="s">
        <v>2405</v>
      </c>
      <c r="I100" s="15" t="s">
        <v>2874</v>
      </c>
    </row>
    <row r="101" spans="1:9" x14ac:dyDescent="0.25">
      <c r="A101" s="15">
        <v>100</v>
      </c>
      <c r="B101" t="s">
        <v>1969</v>
      </c>
      <c r="C101" t="s">
        <v>45</v>
      </c>
      <c r="D101" t="s">
        <v>1221</v>
      </c>
      <c r="E101" t="s">
        <v>17</v>
      </c>
      <c r="F101" s="16">
        <v>900</v>
      </c>
      <c r="G101" s="16">
        <v>180</v>
      </c>
      <c r="H101" s="15" t="s">
        <v>2399</v>
      </c>
      <c r="I101" s="16" t="s">
        <v>2875</v>
      </c>
    </row>
    <row r="102" spans="1:9" x14ac:dyDescent="0.25">
      <c r="A102" s="15">
        <v>101</v>
      </c>
      <c r="B102" t="s">
        <v>1969</v>
      </c>
      <c r="C102" t="s">
        <v>45</v>
      </c>
      <c r="D102" t="s">
        <v>1221</v>
      </c>
      <c r="E102" t="s">
        <v>45</v>
      </c>
      <c r="F102" s="17">
        <v>900</v>
      </c>
      <c r="G102" s="17">
        <v>180</v>
      </c>
      <c r="H102" s="15" t="s">
        <v>2405</v>
      </c>
      <c r="I102" s="15" t="s">
        <v>2876</v>
      </c>
    </row>
    <row r="103" spans="1:9" x14ac:dyDescent="0.25">
      <c r="A103" s="15">
        <v>102</v>
      </c>
      <c r="B103" t="s">
        <v>1969</v>
      </c>
      <c r="C103" t="s">
        <v>45</v>
      </c>
      <c r="D103" t="s">
        <v>1512</v>
      </c>
      <c r="E103" t="s">
        <v>41</v>
      </c>
      <c r="F103" s="17">
        <v>900</v>
      </c>
      <c r="G103" s="17">
        <v>180</v>
      </c>
      <c r="H103" s="15" t="s">
        <v>2399</v>
      </c>
      <c r="I103" s="15" t="s">
        <v>2877</v>
      </c>
    </row>
    <row r="104" spans="1:9" x14ac:dyDescent="0.25">
      <c r="A104" s="15">
        <v>103</v>
      </c>
      <c r="B104" t="s">
        <v>1969</v>
      </c>
      <c r="C104" t="s">
        <v>45</v>
      </c>
      <c r="D104" t="s">
        <v>1512</v>
      </c>
      <c r="E104" t="s">
        <v>41</v>
      </c>
      <c r="F104" s="17">
        <v>900</v>
      </c>
      <c r="G104" s="18">
        <v>180</v>
      </c>
      <c r="H104" s="15" t="s">
        <v>2405</v>
      </c>
      <c r="I104" s="15" t="s">
        <v>2878</v>
      </c>
    </row>
    <row r="105" spans="1:9" x14ac:dyDescent="0.25">
      <c r="A105" s="15">
        <v>104</v>
      </c>
      <c r="B105" t="s">
        <v>1969</v>
      </c>
      <c r="C105" t="s">
        <v>45</v>
      </c>
      <c r="D105" t="s">
        <v>1809</v>
      </c>
      <c r="E105" t="s">
        <v>33</v>
      </c>
      <c r="F105" s="17">
        <v>900</v>
      </c>
      <c r="G105" s="16">
        <v>220</v>
      </c>
      <c r="H105" s="15" t="s">
        <v>2399</v>
      </c>
      <c r="I105" s="15" t="s">
        <v>2879</v>
      </c>
    </row>
    <row r="106" spans="1:9" x14ac:dyDescent="0.25">
      <c r="A106" s="15">
        <v>105</v>
      </c>
      <c r="B106" t="s">
        <v>1969</v>
      </c>
      <c r="C106" t="s">
        <v>45</v>
      </c>
      <c r="D106" t="s">
        <v>1809</v>
      </c>
      <c r="E106" t="s">
        <v>41</v>
      </c>
      <c r="F106" s="17">
        <v>900</v>
      </c>
      <c r="G106" s="17">
        <v>220</v>
      </c>
      <c r="H106" s="19" t="s">
        <v>2405</v>
      </c>
      <c r="I106" s="15" t="s">
        <v>2880</v>
      </c>
    </row>
    <row r="107" spans="1:9" x14ac:dyDescent="0.25">
      <c r="A107" s="15">
        <v>106</v>
      </c>
      <c r="B107" t="s">
        <v>1969</v>
      </c>
      <c r="C107" t="s">
        <v>45</v>
      </c>
      <c r="D107" t="s">
        <v>1809</v>
      </c>
      <c r="E107" t="s">
        <v>41</v>
      </c>
      <c r="F107" s="18">
        <v>900</v>
      </c>
      <c r="G107" s="18">
        <v>220</v>
      </c>
      <c r="H107" s="19" t="s">
        <v>2984</v>
      </c>
      <c r="I107" s="15" t="s">
        <v>2881</v>
      </c>
    </row>
    <row r="108" spans="1:9" ht="15" customHeight="1" x14ac:dyDescent="0.25">
      <c r="A108" s="15">
        <v>107</v>
      </c>
      <c r="B108" t="s">
        <v>2042</v>
      </c>
      <c r="C108" t="s">
        <v>51</v>
      </c>
      <c r="D108" t="s">
        <v>656</v>
      </c>
      <c r="E108" t="s">
        <v>37</v>
      </c>
      <c r="F108" s="16">
        <v>600</v>
      </c>
      <c r="G108" s="16">
        <v>140</v>
      </c>
      <c r="H108" s="16" t="s">
        <v>2399</v>
      </c>
      <c r="I108" s="16">
        <v>168</v>
      </c>
    </row>
    <row r="109" spans="1:9" x14ac:dyDescent="0.25">
      <c r="A109" s="15">
        <v>108</v>
      </c>
      <c r="B109" t="s">
        <v>2042</v>
      </c>
      <c r="C109" t="s">
        <v>51</v>
      </c>
      <c r="D109" t="s">
        <v>800</v>
      </c>
      <c r="E109" t="s">
        <v>41</v>
      </c>
      <c r="F109" s="16">
        <v>750</v>
      </c>
      <c r="G109" s="17">
        <v>140</v>
      </c>
      <c r="H109" s="18" t="s">
        <v>2399</v>
      </c>
      <c r="I109" s="15" t="s">
        <v>2882</v>
      </c>
    </row>
    <row r="110" spans="1:9" x14ac:dyDescent="0.25">
      <c r="A110" s="15">
        <v>109</v>
      </c>
      <c r="B110" t="s">
        <v>2042</v>
      </c>
      <c r="C110" t="s">
        <v>45</v>
      </c>
      <c r="D110" t="s">
        <v>800</v>
      </c>
      <c r="E110" t="s">
        <v>34</v>
      </c>
      <c r="F110" s="17">
        <v>750</v>
      </c>
      <c r="G110" s="18">
        <v>140</v>
      </c>
      <c r="H110" s="15" t="s">
        <v>2405</v>
      </c>
      <c r="I110" s="15" t="s">
        <v>2883</v>
      </c>
    </row>
    <row r="111" spans="1:9" x14ac:dyDescent="0.25">
      <c r="A111" s="15">
        <v>110</v>
      </c>
      <c r="B111" t="s">
        <v>2042</v>
      </c>
      <c r="C111" t="s">
        <v>51</v>
      </c>
      <c r="D111" t="s">
        <v>931</v>
      </c>
      <c r="E111" t="s">
        <v>41</v>
      </c>
      <c r="F111" s="17">
        <v>750</v>
      </c>
      <c r="G111" s="16">
        <v>160</v>
      </c>
      <c r="H111" s="15" t="s">
        <v>2399</v>
      </c>
      <c r="I111" s="16" t="s">
        <v>2884</v>
      </c>
    </row>
    <row r="112" spans="1:9" x14ac:dyDescent="0.25">
      <c r="A112" s="15">
        <v>111</v>
      </c>
      <c r="B112" t="s">
        <v>2042</v>
      </c>
      <c r="C112" t="s">
        <v>29</v>
      </c>
      <c r="D112" t="s">
        <v>931</v>
      </c>
      <c r="E112" t="s">
        <v>34</v>
      </c>
      <c r="F112" s="17">
        <v>750</v>
      </c>
      <c r="G112" s="17">
        <v>160</v>
      </c>
      <c r="H112" s="15" t="s">
        <v>2405</v>
      </c>
      <c r="I112" s="15" t="s">
        <v>2885</v>
      </c>
    </row>
    <row r="113" spans="1:9" x14ac:dyDescent="0.25">
      <c r="A113" s="15">
        <v>112</v>
      </c>
      <c r="B113" t="s">
        <v>2042</v>
      </c>
      <c r="C113" t="s">
        <v>51</v>
      </c>
      <c r="D113" t="s">
        <v>1077</v>
      </c>
      <c r="E113" t="s">
        <v>45</v>
      </c>
      <c r="F113" s="17">
        <v>750</v>
      </c>
      <c r="G113" s="17">
        <v>160</v>
      </c>
      <c r="H113" s="15" t="s">
        <v>2399</v>
      </c>
      <c r="I113" s="16" t="s">
        <v>2886</v>
      </c>
    </row>
    <row r="114" spans="1:9" x14ac:dyDescent="0.25">
      <c r="A114" s="15">
        <v>113</v>
      </c>
      <c r="B114" t="s">
        <v>2042</v>
      </c>
      <c r="C114" t="s">
        <v>45</v>
      </c>
      <c r="D114" t="s">
        <v>1077</v>
      </c>
      <c r="E114" t="s">
        <v>45</v>
      </c>
      <c r="F114" s="18">
        <v>750</v>
      </c>
      <c r="G114" s="18">
        <v>160</v>
      </c>
      <c r="H114" s="15" t="s">
        <v>2405</v>
      </c>
      <c r="I114" s="15" t="s">
        <v>2887</v>
      </c>
    </row>
    <row r="115" spans="1:9" x14ac:dyDescent="0.25">
      <c r="A115" s="15">
        <v>114</v>
      </c>
      <c r="B115" t="s">
        <v>2042</v>
      </c>
      <c r="C115" t="s">
        <v>51</v>
      </c>
      <c r="D115" t="s">
        <v>1221</v>
      </c>
      <c r="E115" t="s">
        <v>17</v>
      </c>
      <c r="F115" s="16">
        <v>1000</v>
      </c>
      <c r="G115" s="16">
        <v>180</v>
      </c>
      <c r="H115" s="15" t="s">
        <v>2399</v>
      </c>
      <c r="I115" s="16" t="s">
        <v>2888</v>
      </c>
    </row>
    <row r="116" spans="1:9" x14ac:dyDescent="0.25">
      <c r="A116" s="15">
        <v>115</v>
      </c>
      <c r="B116" t="s">
        <v>2042</v>
      </c>
      <c r="C116" t="s">
        <v>45</v>
      </c>
      <c r="D116" t="s">
        <v>1221</v>
      </c>
      <c r="E116" t="s">
        <v>45</v>
      </c>
      <c r="F116" s="17">
        <v>1000</v>
      </c>
      <c r="G116" s="18">
        <v>180</v>
      </c>
      <c r="H116" s="15" t="s">
        <v>2405</v>
      </c>
      <c r="I116" s="15">
        <v>245</v>
      </c>
    </row>
    <row r="117" spans="1:9" ht="15" customHeight="1" x14ac:dyDescent="0.25">
      <c r="A117" s="15">
        <v>116</v>
      </c>
      <c r="B117" t="s">
        <v>2042</v>
      </c>
      <c r="C117" t="s">
        <v>51</v>
      </c>
      <c r="D117" t="s">
        <v>1512</v>
      </c>
      <c r="E117" t="s">
        <v>41</v>
      </c>
      <c r="F117" s="17">
        <v>1000</v>
      </c>
      <c r="G117" s="16">
        <v>180</v>
      </c>
      <c r="H117" s="15" t="s">
        <v>2399</v>
      </c>
      <c r="I117" s="16" t="s">
        <v>2889</v>
      </c>
    </row>
    <row r="118" spans="1:9" x14ac:dyDescent="0.25">
      <c r="A118" s="15">
        <v>117</v>
      </c>
      <c r="B118" t="s">
        <v>2042</v>
      </c>
      <c r="C118" t="s">
        <v>45</v>
      </c>
      <c r="D118" t="s">
        <v>1512</v>
      </c>
      <c r="E118" t="s">
        <v>41</v>
      </c>
      <c r="F118" s="17">
        <v>1000</v>
      </c>
      <c r="G118" s="16">
        <v>220</v>
      </c>
      <c r="H118" s="15" t="s">
        <v>2405</v>
      </c>
      <c r="I118" s="15" t="s">
        <v>2890</v>
      </c>
    </row>
    <row r="119" spans="1:9" ht="15" customHeight="1" x14ac:dyDescent="0.25">
      <c r="A119" s="15">
        <v>118</v>
      </c>
      <c r="B119" t="s">
        <v>2042</v>
      </c>
      <c r="C119" t="s">
        <v>51</v>
      </c>
      <c r="D119" t="s">
        <v>1809</v>
      </c>
      <c r="E119" t="s">
        <v>33</v>
      </c>
      <c r="F119" s="17">
        <v>1000</v>
      </c>
      <c r="G119" s="17">
        <v>220</v>
      </c>
      <c r="H119" s="15" t="s">
        <v>2399</v>
      </c>
      <c r="I119" s="16">
        <v>428</v>
      </c>
    </row>
    <row r="120" spans="1:9" x14ac:dyDescent="0.25">
      <c r="A120" s="15">
        <v>119</v>
      </c>
      <c r="B120" t="s">
        <v>2042</v>
      </c>
      <c r="C120" t="s">
        <v>45</v>
      </c>
      <c r="D120" t="s">
        <v>1809</v>
      </c>
      <c r="E120" t="s">
        <v>41</v>
      </c>
      <c r="F120" s="17">
        <v>1000</v>
      </c>
      <c r="G120" s="17">
        <v>220</v>
      </c>
      <c r="H120" s="15" t="s">
        <v>2405</v>
      </c>
      <c r="I120" s="16" t="s">
        <v>2891</v>
      </c>
    </row>
    <row r="121" spans="1:9" x14ac:dyDescent="0.25">
      <c r="A121" s="15">
        <v>120</v>
      </c>
      <c r="B121" t="s">
        <v>2042</v>
      </c>
      <c r="C121" t="s">
        <v>45</v>
      </c>
      <c r="D121" t="s">
        <v>1809</v>
      </c>
      <c r="E121" t="s">
        <v>41</v>
      </c>
      <c r="F121" s="18">
        <v>1000</v>
      </c>
      <c r="G121" s="17">
        <v>220</v>
      </c>
      <c r="H121" s="15" t="s">
        <v>2984</v>
      </c>
      <c r="I121" s="15" t="s">
        <v>2892</v>
      </c>
    </row>
    <row r="122" spans="1:9" x14ac:dyDescent="0.25">
      <c r="A122" s="15">
        <v>121</v>
      </c>
      <c r="B122" t="s">
        <v>2042</v>
      </c>
      <c r="C122" t="s">
        <v>51</v>
      </c>
      <c r="D122" t="s">
        <v>1969</v>
      </c>
      <c r="E122" t="s">
        <v>45</v>
      </c>
      <c r="F122" s="16">
        <v>1100</v>
      </c>
      <c r="G122" s="17">
        <v>220</v>
      </c>
      <c r="H122" s="15" t="s">
        <v>2399</v>
      </c>
      <c r="I122" s="16" t="s">
        <v>2893</v>
      </c>
    </row>
    <row r="123" spans="1:9" x14ac:dyDescent="0.25">
      <c r="A123" s="15">
        <v>122</v>
      </c>
      <c r="B123" t="s">
        <v>2042</v>
      </c>
      <c r="C123" t="s">
        <v>45</v>
      </c>
      <c r="D123" t="s">
        <v>1969</v>
      </c>
      <c r="E123" t="s">
        <v>45</v>
      </c>
      <c r="F123" s="17">
        <v>1100</v>
      </c>
      <c r="G123" s="17">
        <v>220</v>
      </c>
      <c r="H123" s="15" t="s">
        <v>2405</v>
      </c>
      <c r="I123" s="16" t="s">
        <v>2894</v>
      </c>
    </row>
    <row r="124" spans="1:9" x14ac:dyDescent="0.25">
      <c r="A124" s="15">
        <v>123</v>
      </c>
      <c r="B124" t="s">
        <v>2042</v>
      </c>
      <c r="C124" t="s">
        <v>45</v>
      </c>
      <c r="D124" t="s">
        <v>1969</v>
      </c>
      <c r="E124" t="s">
        <v>45</v>
      </c>
      <c r="F124" s="18">
        <v>1100</v>
      </c>
      <c r="G124" s="18">
        <v>220</v>
      </c>
      <c r="H124" s="15" t="s">
        <v>2984</v>
      </c>
      <c r="I124" s="15" t="s">
        <v>2895</v>
      </c>
    </row>
    <row r="125" spans="1:9" x14ac:dyDescent="0.25">
      <c r="A125" s="15">
        <v>124</v>
      </c>
      <c r="B125" t="s">
        <v>2155</v>
      </c>
      <c r="C125" t="s">
        <v>58</v>
      </c>
      <c r="D125" t="s">
        <v>656</v>
      </c>
      <c r="E125" t="s">
        <v>37</v>
      </c>
      <c r="F125" s="16">
        <v>750</v>
      </c>
      <c r="G125" s="16">
        <v>140</v>
      </c>
      <c r="H125" s="15" t="s">
        <v>2399</v>
      </c>
      <c r="I125" s="16" t="s">
        <v>2896</v>
      </c>
    </row>
    <row r="126" spans="1:9" x14ac:dyDescent="0.25">
      <c r="A126" s="15">
        <v>125</v>
      </c>
      <c r="B126" t="s">
        <v>2155</v>
      </c>
      <c r="C126" t="s">
        <v>17</v>
      </c>
      <c r="D126" t="s">
        <v>656</v>
      </c>
      <c r="E126" t="s">
        <v>34</v>
      </c>
      <c r="F126" s="17">
        <v>750</v>
      </c>
      <c r="G126" s="17">
        <v>140</v>
      </c>
      <c r="H126" s="15" t="s">
        <v>2405</v>
      </c>
      <c r="I126" s="15" t="s">
        <v>2897</v>
      </c>
    </row>
    <row r="127" spans="1:9" x14ac:dyDescent="0.25">
      <c r="A127" s="15">
        <v>126</v>
      </c>
      <c r="B127" t="s">
        <v>2155</v>
      </c>
      <c r="C127" t="s">
        <v>58</v>
      </c>
      <c r="D127" t="s">
        <v>800</v>
      </c>
      <c r="E127" t="s">
        <v>41</v>
      </c>
      <c r="F127" s="17">
        <v>750</v>
      </c>
      <c r="G127" s="17">
        <v>140</v>
      </c>
      <c r="H127" s="15" t="s">
        <v>2399</v>
      </c>
      <c r="I127" s="16" t="s">
        <v>2898</v>
      </c>
    </row>
    <row r="128" spans="1:9" x14ac:dyDescent="0.25">
      <c r="A128" s="15">
        <v>127</v>
      </c>
      <c r="B128" t="s">
        <v>2155</v>
      </c>
      <c r="C128" t="s">
        <v>17</v>
      </c>
      <c r="D128" t="s">
        <v>800</v>
      </c>
      <c r="E128" t="s">
        <v>34</v>
      </c>
      <c r="F128" s="17">
        <v>750</v>
      </c>
      <c r="G128" s="18">
        <v>140</v>
      </c>
      <c r="H128" s="15" t="s">
        <v>2405</v>
      </c>
      <c r="I128" s="15" t="s">
        <v>2899</v>
      </c>
    </row>
    <row r="129" spans="1:9" ht="15" customHeight="1" x14ac:dyDescent="0.25">
      <c r="A129" s="15">
        <v>128</v>
      </c>
      <c r="B129" t="s">
        <v>2155</v>
      </c>
      <c r="C129" t="s">
        <v>58</v>
      </c>
      <c r="D129" t="s">
        <v>931</v>
      </c>
      <c r="E129" t="s">
        <v>41</v>
      </c>
      <c r="F129" s="17">
        <v>750</v>
      </c>
      <c r="G129" s="16">
        <v>160</v>
      </c>
      <c r="H129" s="15" t="s">
        <v>2399</v>
      </c>
      <c r="I129" s="16" t="s">
        <v>2900</v>
      </c>
    </row>
    <row r="130" spans="1:9" x14ac:dyDescent="0.25">
      <c r="A130" s="15">
        <v>129</v>
      </c>
      <c r="B130" t="s">
        <v>2155</v>
      </c>
      <c r="C130" t="s">
        <v>17</v>
      </c>
      <c r="D130" t="s">
        <v>931</v>
      </c>
      <c r="E130" t="s">
        <v>34</v>
      </c>
      <c r="F130" s="17">
        <v>750</v>
      </c>
      <c r="G130" s="17">
        <v>160</v>
      </c>
      <c r="H130" s="15" t="s">
        <v>2405</v>
      </c>
      <c r="I130" s="15">
        <v>263</v>
      </c>
    </row>
    <row r="131" spans="1:9" x14ac:dyDescent="0.25">
      <c r="A131" s="15">
        <v>130</v>
      </c>
      <c r="B131" t="s">
        <v>2155</v>
      </c>
      <c r="C131" t="s">
        <v>58</v>
      </c>
      <c r="D131" t="s">
        <v>1077</v>
      </c>
      <c r="E131" t="s">
        <v>45</v>
      </c>
      <c r="F131" s="17">
        <v>750</v>
      </c>
      <c r="G131" s="17">
        <v>160</v>
      </c>
      <c r="H131" s="15" t="s">
        <v>2399</v>
      </c>
      <c r="I131" s="16" t="s">
        <v>2901</v>
      </c>
    </row>
    <row r="132" spans="1:9" x14ac:dyDescent="0.25">
      <c r="A132" s="15">
        <v>131</v>
      </c>
      <c r="B132" t="s">
        <v>2155</v>
      </c>
      <c r="C132" t="s">
        <v>17</v>
      </c>
      <c r="D132" t="s">
        <v>1077</v>
      </c>
      <c r="E132" t="s">
        <v>45</v>
      </c>
      <c r="F132" s="18">
        <v>750</v>
      </c>
      <c r="G132" s="18">
        <v>160</v>
      </c>
      <c r="H132" s="15" t="s">
        <v>2405</v>
      </c>
      <c r="I132" s="15" t="s">
        <v>2902</v>
      </c>
    </row>
    <row r="133" spans="1:9" x14ac:dyDescent="0.25">
      <c r="A133" s="15">
        <v>132</v>
      </c>
      <c r="B133" t="s">
        <v>2155</v>
      </c>
      <c r="C133" t="s">
        <v>58</v>
      </c>
      <c r="D133" t="s">
        <v>1221</v>
      </c>
      <c r="E133" t="s">
        <v>17</v>
      </c>
      <c r="F133" s="16">
        <v>1000</v>
      </c>
      <c r="G133" s="16">
        <v>180</v>
      </c>
      <c r="H133" s="15" t="s">
        <v>2399</v>
      </c>
      <c r="I133" s="16" t="s">
        <v>2903</v>
      </c>
    </row>
    <row r="134" spans="1:9" x14ac:dyDescent="0.25">
      <c r="A134" s="15">
        <v>133</v>
      </c>
      <c r="B134" t="s">
        <v>2155</v>
      </c>
      <c r="C134" t="s">
        <v>17</v>
      </c>
      <c r="D134" t="s">
        <v>1221</v>
      </c>
      <c r="E134" t="s">
        <v>45</v>
      </c>
      <c r="F134" s="17">
        <v>1000</v>
      </c>
      <c r="G134" s="17">
        <v>180</v>
      </c>
      <c r="H134" s="15" t="s">
        <v>2405</v>
      </c>
      <c r="I134" s="15" t="s">
        <v>2904</v>
      </c>
    </row>
    <row r="135" spans="1:9" x14ac:dyDescent="0.25">
      <c r="A135" s="15">
        <v>134</v>
      </c>
      <c r="B135" t="s">
        <v>2155</v>
      </c>
      <c r="C135" t="s">
        <v>58</v>
      </c>
      <c r="D135" t="s">
        <v>1512</v>
      </c>
      <c r="E135" t="s">
        <v>41</v>
      </c>
      <c r="F135" s="17">
        <v>1000</v>
      </c>
      <c r="G135" s="17">
        <v>180</v>
      </c>
      <c r="H135" s="15" t="s">
        <v>2399</v>
      </c>
      <c r="I135" s="16" t="s">
        <v>2905</v>
      </c>
    </row>
    <row r="136" spans="1:9" x14ac:dyDescent="0.25">
      <c r="A136" s="15">
        <v>135</v>
      </c>
      <c r="B136" t="s">
        <v>2155</v>
      </c>
      <c r="C136" t="s">
        <v>17</v>
      </c>
      <c r="D136" t="s">
        <v>1512</v>
      </c>
      <c r="E136" t="s">
        <v>41</v>
      </c>
      <c r="F136" s="17">
        <v>1000</v>
      </c>
      <c r="G136" s="17">
        <v>180</v>
      </c>
      <c r="H136" s="15" t="s">
        <v>2405</v>
      </c>
      <c r="I136" s="15" t="s">
        <v>2906</v>
      </c>
    </row>
    <row r="137" spans="1:9" x14ac:dyDescent="0.25">
      <c r="A137" s="15">
        <v>136</v>
      </c>
      <c r="B137" t="s">
        <v>2155</v>
      </c>
      <c r="C137" t="s">
        <v>17</v>
      </c>
      <c r="D137" t="s">
        <v>1512</v>
      </c>
      <c r="E137" t="s">
        <v>41</v>
      </c>
      <c r="F137" s="17">
        <v>1000</v>
      </c>
      <c r="G137" s="18">
        <v>180</v>
      </c>
      <c r="H137" s="15" t="s">
        <v>2984</v>
      </c>
      <c r="I137" s="15" t="s">
        <v>2907</v>
      </c>
    </row>
    <row r="138" spans="1:9" x14ac:dyDescent="0.25">
      <c r="A138" s="15">
        <v>137</v>
      </c>
      <c r="B138" t="s">
        <v>2155</v>
      </c>
      <c r="C138" t="s">
        <v>58</v>
      </c>
      <c r="D138" t="s">
        <v>1809</v>
      </c>
      <c r="E138" t="s">
        <v>33</v>
      </c>
      <c r="F138" s="17">
        <v>1000</v>
      </c>
      <c r="G138" s="16">
        <v>220</v>
      </c>
      <c r="H138" s="15" t="s">
        <v>2399</v>
      </c>
      <c r="I138" s="16" t="s">
        <v>2908</v>
      </c>
    </row>
    <row r="139" spans="1:9" x14ac:dyDescent="0.25">
      <c r="A139" s="15">
        <v>138</v>
      </c>
      <c r="B139" t="s">
        <v>2155</v>
      </c>
      <c r="C139" t="s">
        <v>58</v>
      </c>
      <c r="D139" t="s">
        <v>1809</v>
      </c>
      <c r="E139" t="s">
        <v>33</v>
      </c>
      <c r="F139" s="18">
        <v>1000</v>
      </c>
      <c r="G139" s="17">
        <v>220</v>
      </c>
      <c r="H139" s="15" t="s">
        <v>2405</v>
      </c>
      <c r="I139" s="15" t="s">
        <v>2909</v>
      </c>
    </row>
    <row r="140" spans="1:9" x14ac:dyDescent="0.25">
      <c r="A140" s="15">
        <v>139</v>
      </c>
      <c r="B140" t="s">
        <v>2155</v>
      </c>
      <c r="C140" t="s">
        <v>17</v>
      </c>
      <c r="D140" t="s">
        <v>1809</v>
      </c>
      <c r="E140" t="s">
        <v>41</v>
      </c>
      <c r="F140" s="15">
        <v>1000</v>
      </c>
      <c r="G140" s="17">
        <v>220</v>
      </c>
      <c r="H140" s="15" t="s">
        <v>2984</v>
      </c>
      <c r="I140" s="15">
        <v>353</v>
      </c>
    </row>
    <row r="141" spans="1:9" x14ac:dyDescent="0.25">
      <c r="A141" s="15">
        <v>140</v>
      </c>
      <c r="B141" t="s">
        <v>2155</v>
      </c>
      <c r="C141" t="s">
        <v>58</v>
      </c>
      <c r="D141" t="s">
        <v>1969</v>
      </c>
      <c r="E141" t="s">
        <v>45</v>
      </c>
      <c r="F141" s="16">
        <v>1200</v>
      </c>
      <c r="G141" s="17">
        <v>220</v>
      </c>
      <c r="H141" s="15" t="s">
        <v>2399</v>
      </c>
      <c r="I141" s="16" t="s">
        <v>2910</v>
      </c>
    </row>
    <row r="142" spans="1:9" x14ac:dyDescent="0.25">
      <c r="A142" s="15">
        <v>141</v>
      </c>
      <c r="B142" t="s">
        <v>2155</v>
      </c>
      <c r="C142" t="s">
        <v>17</v>
      </c>
      <c r="D142" t="s">
        <v>1969</v>
      </c>
      <c r="E142" t="s">
        <v>45</v>
      </c>
      <c r="F142" s="17">
        <v>1200</v>
      </c>
      <c r="G142" s="17">
        <v>220</v>
      </c>
      <c r="H142" s="15" t="s">
        <v>2405</v>
      </c>
      <c r="I142" s="16" t="s">
        <v>2911</v>
      </c>
    </row>
    <row r="143" spans="1:9" ht="15" customHeight="1" x14ac:dyDescent="0.25">
      <c r="A143" s="15">
        <v>142</v>
      </c>
      <c r="B143" t="s">
        <v>2155</v>
      </c>
      <c r="C143" t="s">
        <v>17</v>
      </c>
      <c r="D143" t="s">
        <v>1969</v>
      </c>
      <c r="E143" t="s">
        <v>45</v>
      </c>
      <c r="F143" s="17">
        <v>1200</v>
      </c>
      <c r="G143" s="17">
        <v>220</v>
      </c>
      <c r="H143" s="15" t="s">
        <v>2984</v>
      </c>
      <c r="I143" s="15" t="s">
        <v>2912</v>
      </c>
    </row>
    <row r="144" spans="1:9" x14ac:dyDescent="0.25">
      <c r="A144" s="15">
        <v>143</v>
      </c>
      <c r="B144" t="s">
        <v>2155</v>
      </c>
      <c r="C144" t="s">
        <v>58</v>
      </c>
      <c r="D144" t="s">
        <v>2042</v>
      </c>
      <c r="E144" t="s">
        <v>51</v>
      </c>
      <c r="F144" s="17">
        <v>1200</v>
      </c>
      <c r="G144" s="17">
        <v>220</v>
      </c>
      <c r="H144" s="15" t="s">
        <v>2399</v>
      </c>
      <c r="I144" s="16" t="s">
        <v>2913</v>
      </c>
    </row>
    <row r="145" spans="1:9" x14ac:dyDescent="0.25">
      <c r="A145" s="15">
        <v>144</v>
      </c>
      <c r="B145" t="s">
        <v>2155</v>
      </c>
      <c r="C145" t="s">
        <v>58</v>
      </c>
      <c r="D145" t="s">
        <v>2042</v>
      </c>
      <c r="E145" t="s">
        <v>45</v>
      </c>
      <c r="F145" s="17">
        <v>1200</v>
      </c>
      <c r="G145" s="17">
        <v>220</v>
      </c>
      <c r="H145" s="19" t="s">
        <v>2405</v>
      </c>
      <c r="I145" s="16" t="s">
        <v>2914</v>
      </c>
    </row>
    <row r="146" spans="1:9" x14ac:dyDescent="0.25">
      <c r="A146" s="15">
        <v>145</v>
      </c>
      <c r="B146" t="s">
        <v>2155</v>
      </c>
      <c r="C146" t="s">
        <v>58</v>
      </c>
      <c r="D146" t="s">
        <v>2042</v>
      </c>
      <c r="E146" t="s">
        <v>45</v>
      </c>
      <c r="F146" s="18">
        <v>1200</v>
      </c>
      <c r="G146" s="17">
        <v>220</v>
      </c>
      <c r="H146" s="19" t="s">
        <v>2984</v>
      </c>
      <c r="I146" s="15" t="s">
        <v>2915</v>
      </c>
    </row>
    <row r="147" spans="1:9" x14ac:dyDescent="0.25">
      <c r="A147" s="15">
        <v>146</v>
      </c>
      <c r="B147" t="s">
        <v>2269</v>
      </c>
      <c r="C147" t="s">
        <v>58</v>
      </c>
      <c r="D147" t="s">
        <v>498</v>
      </c>
      <c r="E147" t="s">
        <v>29</v>
      </c>
      <c r="F147" s="16">
        <v>850</v>
      </c>
      <c r="G147" s="17">
        <v>120</v>
      </c>
      <c r="H147" s="16" t="s">
        <v>2399</v>
      </c>
      <c r="I147" s="16" t="s">
        <v>2916</v>
      </c>
    </row>
    <row r="148" spans="1:9" x14ac:dyDescent="0.25">
      <c r="A148" s="15">
        <v>147</v>
      </c>
      <c r="B148" t="s">
        <v>2269</v>
      </c>
      <c r="C148" t="s">
        <v>58</v>
      </c>
      <c r="D148" t="s">
        <v>656</v>
      </c>
      <c r="E148" t="s">
        <v>37</v>
      </c>
      <c r="F148" s="17">
        <v>850</v>
      </c>
      <c r="G148" s="15">
        <v>140</v>
      </c>
      <c r="H148" s="18" t="s">
        <v>2399</v>
      </c>
      <c r="I148" s="15">
        <v>454</v>
      </c>
    </row>
    <row r="149" spans="1:9" x14ac:dyDescent="0.25">
      <c r="A149" s="15">
        <v>148</v>
      </c>
      <c r="B149" t="s">
        <v>2269</v>
      </c>
      <c r="C149" t="s">
        <v>51</v>
      </c>
      <c r="D149" t="s">
        <v>656</v>
      </c>
      <c r="E149" t="s">
        <v>34</v>
      </c>
      <c r="F149" s="17">
        <v>850</v>
      </c>
      <c r="G149" s="15">
        <v>160</v>
      </c>
      <c r="H149" s="15" t="s">
        <v>2405</v>
      </c>
      <c r="I149" s="15" t="s">
        <v>2917</v>
      </c>
    </row>
    <row r="150" spans="1:9" ht="15" customHeight="1" x14ac:dyDescent="0.25">
      <c r="A150" s="15">
        <v>149</v>
      </c>
      <c r="B150" t="s">
        <v>2269</v>
      </c>
      <c r="C150" t="s">
        <v>58</v>
      </c>
      <c r="D150" t="s">
        <v>800</v>
      </c>
      <c r="E150" t="s">
        <v>41</v>
      </c>
      <c r="F150" s="17">
        <v>850</v>
      </c>
      <c r="G150" s="16">
        <v>140</v>
      </c>
      <c r="H150" s="15" t="s">
        <v>2399</v>
      </c>
      <c r="I150" s="16" t="s">
        <v>2918</v>
      </c>
    </row>
    <row r="151" spans="1:9" x14ac:dyDescent="0.25">
      <c r="A151" s="15">
        <v>150</v>
      </c>
      <c r="B151" t="s">
        <v>2269</v>
      </c>
      <c r="C151" t="s">
        <v>51</v>
      </c>
      <c r="D151" t="s">
        <v>800</v>
      </c>
      <c r="E151" t="s">
        <v>34</v>
      </c>
      <c r="F151" s="17">
        <v>850</v>
      </c>
      <c r="G151" s="16">
        <v>160</v>
      </c>
      <c r="H151" s="15" t="s">
        <v>2405</v>
      </c>
      <c r="I151" s="15" t="s">
        <v>2919</v>
      </c>
    </row>
    <row r="152" spans="1:9" x14ac:dyDescent="0.25">
      <c r="A152" s="15">
        <v>151</v>
      </c>
      <c r="B152" t="s">
        <v>2269</v>
      </c>
      <c r="C152" t="s">
        <v>58</v>
      </c>
      <c r="D152" t="s">
        <v>931</v>
      </c>
      <c r="E152" t="s">
        <v>41</v>
      </c>
      <c r="F152" s="17">
        <v>850</v>
      </c>
      <c r="G152" s="17">
        <v>160</v>
      </c>
      <c r="H152" s="15" t="s">
        <v>2399</v>
      </c>
      <c r="I152" s="16" t="s">
        <v>2920</v>
      </c>
    </row>
    <row r="153" spans="1:9" x14ac:dyDescent="0.25">
      <c r="A153" s="15">
        <v>152</v>
      </c>
      <c r="B153" t="s">
        <v>2269</v>
      </c>
      <c r="C153" t="s">
        <v>51</v>
      </c>
      <c r="D153" t="s">
        <v>931</v>
      </c>
      <c r="E153" t="s">
        <v>34</v>
      </c>
      <c r="F153" s="17">
        <v>850</v>
      </c>
      <c r="G153" s="17">
        <v>160</v>
      </c>
      <c r="H153" s="15" t="s">
        <v>2405</v>
      </c>
      <c r="I153" s="15" t="s">
        <v>2921</v>
      </c>
    </row>
    <row r="154" spans="1:9" x14ac:dyDescent="0.25">
      <c r="A154" s="15">
        <v>153</v>
      </c>
      <c r="B154" t="s">
        <v>2269</v>
      </c>
      <c r="C154" t="s">
        <v>58</v>
      </c>
      <c r="D154" t="s">
        <v>1077</v>
      </c>
      <c r="E154" t="s">
        <v>45</v>
      </c>
      <c r="F154" s="17">
        <v>850</v>
      </c>
      <c r="G154" s="17">
        <v>160</v>
      </c>
      <c r="H154" s="15" t="s">
        <v>2399</v>
      </c>
      <c r="I154" s="16" t="s">
        <v>2922</v>
      </c>
    </row>
    <row r="155" spans="1:9" x14ac:dyDescent="0.25">
      <c r="A155" s="15">
        <v>154</v>
      </c>
      <c r="B155" t="s">
        <v>2269</v>
      </c>
      <c r="C155" t="s">
        <v>51</v>
      </c>
      <c r="D155" t="s">
        <v>1077</v>
      </c>
      <c r="E155" t="s">
        <v>45</v>
      </c>
      <c r="F155" s="18">
        <v>850</v>
      </c>
      <c r="G155" s="18">
        <v>160</v>
      </c>
      <c r="H155" s="15" t="s">
        <v>2405</v>
      </c>
      <c r="I155" s="15" t="s">
        <v>2923</v>
      </c>
    </row>
    <row r="156" spans="1:9" x14ac:dyDescent="0.25">
      <c r="A156" s="15">
        <v>155</v>
      </c>
      <c r="B156" t="s">
        <v>2269</v>
      </c>
      <c r="C156" t="s">
        <v>58</v>
      </c>
      <c r="D156" t="s">
        <v>1221</v>
      </c>
      <c r="E156" t="s">
        <v>17</v>
      </c>
      <c r="F156" s="16">
        <v>1000</v>
      </c>
      <c r="G156" s="16">
        <v>180</v>
      </c>
      <c r="H156" s="15" t="s">
        <v>2399</v>
      </c>
      <c r="I156" s="16" t="s">
        <v>2924</v>
      </c>
    </row>
    <row r="157" spans="1:9" x14ac:dyDescent="0.25">
      <c r="A157" s="15">
        <v>156</v>
      </c>
      <c r="B157" t="s">
        <v>2269</v>
      </c>
      <c r="C157" t="s">
        <v>51</v>
      </c>
      <c r="D157" t="s">
        <v>1221</v>
      </c>
      <c r="E157" t="s">
        <v>45</v>
      </c>
      <c r="F157" s="17">
        <v>1000</v>
      </c>
      <c r="G157" s="17">
        <v>180</v>
      </c>
      <c r="H157" s="15" t="s">
        <v>2405</v>
      </c>
      <c r="I157" s="15" t="s">
        <v>2925</v>
      </c>
    </row>
    <row r="158" spans="1:9" x14ac:dyDescent="0.25">
      <c r="A158" s="15">
        <v>157</v>
      </c>
      <c r="B158" t="s">
        <v>2269</v>
      </c>
      <c r="C158" t="s">
        <v>58</v>
      </c>
      <c r="D158" t="s">
        <v>1512</v>
      </c>
      <c r="E158" t="s">
        <v>41</v>
      </c>
      <c r="F158" s="17">
        <v>1000</v>
      </c>
      <c r="G158" s="17">
        <v>180</v>
      </c>
      <c r="H158" s="15" t="s">
        <v>2399</v>
      </c>
      <c r="I158" s="16" t="s">
        <v>2926</v>
      </c>
    </row>
    <row r="159" spans="1:9" x14ac:dyDescent="0.25">
      <c r="A159" s="15">
        <v>158</v>
      </c>
      <c r="B159" t="s">
        <v>2269</v>
      </c>
      <c r="C159" t="s">
        <v>51</v>
      </c>
      <c r="D159" t="s">
        <v>1512</v>
      </c>
      <c r="E159" t="s">
        <v>41</v>
      </c>
      <c r="F159" s="17">
        <v>1000</v>
      </c>
      <c r="G159" s="17">
        <v>180</v>
      </c>
      <c r="H159" s="15" t="s">
        <v>2405</v>
      </c>
      <c r="I159" s="16" t="s">
        <v>2927</v>
      </c>
    </row>
    <row r="160" spans="1:9" x14ac:dyDescent="0.25">
      <c r="A160" s="15">
        <v>159</v>
      </c>
      <c r="B160" t="s">
        <v>2269</v>
      </c>
      <c r="C160" t="s">
        <v>51</v>
      </c>
      <c r="D160" t="s">
        <v>1512</v>
      </c>
      <c r="E160" t="s">
        <v>41</v>
      </c>
      <c r="F160" s="17">
        <v>1000</v>
      </c>
      <c r="G160" s="18">
        <v>180</v>
      </c>
      <c r="H160" s="15" t="s">
        <v>2984</v>
      </c>
      <c r="I160" s="15" t="s">
        <v>2928</v>
      </c>
    </row>
    <row r="161" spans="1:9" x14ac:dyDescent="0.25">
      <c r="A161" s="15">
        <v>160</v>
      </c>
      <c r="B161" t="s">
        <v>2269</v>
      </c>
      <c r="C161" t="s">
        <v>58</v>
      </c>
      <c r="D161" t="s">
        <v>1809</v>
      </c>
      <c r="E161" t="s">
        <v>33</v>
      </c>
      <c r="F161" s="17">
        <v>1000</v>
      </c>
      <c r="G161" s="16">
        <v>220</v>
      </c>
      <c r="H161" s="15" t="s">
        <v>2399</v>
      </c>
      <c r="I161" s="16">
        <v>670</v>
      </c>
    </row>
    <row r="162" spans="1:9" x14ac:dyDescent="0.25">
      <c r="A162" s="15">
        <v>161</v>
      </c>
      <c r="B162" t="s">
        <v>2269</v>
      </c>
      <c r="C162" t="s">
        <v>51</v>
      </c>
      <c r="D162" t="s">
        <v>1809</v>
      </c>
      <c r="E162" t="s">
        <v>41</v>
      </c>
      <c r="F162" s="17">
        <v>1000</v>
      </c>
      <c r="G162" s="17">
        <v>220</v>
      </c>
      <c r="H162" s="15" t="s">
        <v>2405</v>
      </c>
      <c r="I162" s="16" t="s">
        <v>2929</v>
      </c>
    </row>
    <row r="163" spans="1:9" x14ac:dyDescent="0.25">
      <c r="A163" s="15">
        <v>162</v>
      </c>
      <c r="B163" t="s">
        <v>2269</v>
      </c>
      <c r="C163" t="s">
        <v>51</v>
      </c>
      <c r="D163" t="s">
        <v>1809</v>
      </c>
      <c r="E163" t="s">
        <v>41</v>
      </c>
      <c r="F163" s="18">
        <v>1000</v>
      </c>
      <c r="G163" s="17">
        <v>220</v>
      </c>
      <c r="H163" s="15" t="s">
        <v>2984</v>
      </c>
      <c r="I163" s="15" t="s">
        <v>2930</v>
      </c>
    </row>
    <row r="164" spans="1:9" x14ac:dyDescent="0.25">
      <c r="A164" s="15">
        <v>163</v>
      </c>
      <c r="B164" t="s">
        <v>2269</v>
      </c>
      <c r="C164" t="s">
        <v>58</v>
      </c>
      <c r="D164" t="s">
        <v>1969</v>
      </c>
      <c r="E164" t="s">
        <v>45</v>
      </c>
      <c r="F164" s="16">
        <v>1200</v>
      </c>
      <c r="G164" s="17">
        <v>220</v>
      </c>
      <c r="H164" s="15" t="s">
        <v>2399</v>
      </c>
      <c r="I164" s="16" t="s">
        <v>2931</v>
      </c>
    </row>
    <row r="165" spans="1:9" x14ac:dyDescent="0.25">
      <c r="A165" s="15">
        <v>164</v>
      </c>
      <c r="B165" t="s">
        <v>2269</v>
      </c>
      <c r="C165" t="s">
        <v>51</v>
      </c>
      <c r="D165" t="s">
        <v>1969</v>
      </c>
      <c r="E165" t="s">
        <v>45</v>
      </c>
      <c r="F165" s="17">
        <v>1200</v>
      </c>
      <c r="G165" s="17">
        <v>220</v>
      </c>
      <c r="H165" s="15" t="s">
        <v>2405</v>
      </c>
      <c r="I165" s="16" t="s">
        <v>2932</v>
      </c>
    </row>
    <row r="166" spans="1:9" ht="15" customHeight="1" x14ac:dyDescent="0.25">
      <c r="A166" s="15">
        <v>165</v>
      </c>
      <c r="B166" t="s">
        <v>2269</v>
      </c>
      <c r="C166" t="s">
        <v>51</v>
      </c>
      <c r="D166" t="s">
        <v>1969</v>
      </c>
      <c r="E166" t="s">
        <v>45</v>
      </c>
      <c r="F166" s="17">
        <v>1200</v>
      </c>
      <c r="G166" s="17">
        <v>220</v>
      </c>
      <c r="H166" s="15" t="s">
        <v>2984</v>
      </c>
      <c r="I166" s="15">
        <v>510</v>
      </c>
    </row>
    <row r="167" spans="1:9" x14ac:dyDescent="0.25">
      <c r="A167" s="15">
        <v>166</v>
      </c>
      <c r="B167" t="s">
        <v>2269</v>
      </c>
      <c r="C167" t="s">
        <v>58</v>
      </c>
      <c r="D167" t="s">
        <v>2042</v>
      </c>
      <c r="E167" t="s">
        <v>51</v>
      </c>
      <c r="F167" s="17">
        <v>1200</v>
      </c>
      <c r="G167" s="17">
        <v>220</v>
      </c>
      <c r="H167" s="15" t="s">
        <v>2399</v>
      </c>
      <c r="I167" s="16" t="s">
        <v>2933</v>
      </c>
    </row>
    <row r="168" spans="1:9" x14ac:dyDescent="0.25">
      <c r="A168" s="15">
        <v>167</v>
      </c>
      <c r="B168" t="s">
        <v>2269</v>
      </c>
      <c r="C168" t="s">
        <v>51</v>
      </c>
      <c r="D168" t="s">
        <v>2042</v>
      </c>
      <c r="E168" t="s">
        <v>45</v>
      </c>
      <c r="F168" s="17">
        <v>1200</v>
      </c>
      <c r="G168" s="17">
        <v>220</v>
      </c>
      <c r="H168" s="15" t="s">
        <v>2405</v>
      </c>
      <c r="I168" s="15" t="s">
        <v>2934</v>
      </c>
    </row>
    <row r="169" spans="1:9" x14ac:dyDescent="0.25">
      <c r="A169" s="15">
        <v>168</v>
      </c>
      <c r="B169" t="s">
        <v>2269</v>
      </c>
      <c r="C169" t="s">
        <v>51</v>
      </c>
      <c r="D169" t="s">
        <v>2042</v>
      </c>
      <c r="E169" t="s">
        <v>45</v>
      </c>
      <c r="F169" s="18">
        <v>1200</v>
      </c>
      <c r="G169" s="18">
        <v>220</v>
      </c>
      <c r="H169" s="15" t="s">
        <v>2984</v>
      </c>
      <c r="I169" s="15" t="s">
        <v>2935</v>
      </c>
    </row>
    <row r="170" spans="1:9" ht="15" customHeight="1" x14ac:dyDescent="0.25">
      <c r="A170" s="15">
        <v>169</v>
      </c>
      <c r="B170" t="s">
        <v>2269</v>
      </c>
      <c r="C170" t="s">
        <v>51</v>
      </c>
      <c r="D170" t="s">
        <v>2155</v>
      </c>
      <c r="E170" t="s">
        <v>17</v>
      </c>
      <c r="F170" s="16">
        <v>1400</v>
      </c>
      <c r="G170" s="16">
        <v>280</v>
      </c>
      <c r="H170" s="19" t="s">
        <v>2405</v>
      </c>
      <c r="I170" s="16" t="s">
        <v>2936</v>
      </c>
    </row>
    <row r="171" spans="1:9" x14ac:dyDescent="0.25">
      <c r="A171" s="15">
        <v>170</v>
      </c>
      <c r="B171" t="s">
        <v>2269</v>
      </c>
      <c r="C171" t="s">
        <v>51</v>
      </c>
      <c r="D171" t="s">
        <v>2155</v>
      </c>
      <c r="E171" t="s">
        <v>17</v>
      </c>
      <c r="F171" s="17">
        <v>1400</v>
      </c>
      <c r="G171" s="17">
        <v>280</v>
      </c>
      <c r="H171" s="19" t="s">
        <v>2984</v>
      </c>
      <c r="I171" s="16" t="s">
        <v>2937</v>
      </c>
    </row>
    <row r="172" spans="1:9" x14ac:dyDescent="0.25">
      <c r="A172" s="15">
        <v>171</v>
      </c>
      <c r="B172" t="s">
        <v>2306</v>
      </c>
      <c r="C172" t="s">
        <v>58</v>
      </c>
      <c r="D172" t="s">
        <v>656</v>
      </c>
      <c r="E172" t="s">
        <v>34</v>
      </c>
      <c r="F172" s="16">
        <v>850</v>
      </c>
      <c r="G172" s="16">
        <v>140</v>
      </c>
      <c r="H172" s="16" t="s">
        <v>2405</v>
      </c>
      <c r="I172" s="15" t="s">
        <v>2938</v>
      </c>
    </row>
    <row r="173" spans="1:9" x14ac:dyDescent="0.25">
      <c r="A173" s="15">
        <v>172</v>
      </c>
      <c r="B173" t="s">
        <v>2306</v>
      </c>
      <c r="C173" t="s">
        <v>58</v>
      </c>
      <c r="D173" t="s">
        <v>800</v>
      </c>
      <c r="E173" t="s">
        <v>34</v>
      </c>
      <c r="F173" s="17">
        <v>850</v>
      </c>
      <c r="G173" s="18">
        <v>140</v>
      </c>
      <c r="H173" s="17" t="s">
        <v>2405</v>
      </c>
      <c r="I173" s="15">
        <v>417</v>
      </c>
    </row>
    <row r="174" spans="1:9" x14ac:dyDescent="0.25">
      <c r="A174" s="15">
        <v>173</v>
      </c>
      <c r="B174" t="s">
        <v>2306</v>
      </c>
      <c r="C174" t="s">
        <v>58</v>
      </c>
      <c r="D174" t="s">
        <v>931</v>
      </c>
      <c r="E174" t="s">
        <v>34</v>
      </c>
      <c r="F174" s="17">
        <v>850</v>
      </c>
      <c r="G174" s="16">
        <v>160</v>
      </c>
      <c r="H174" s="18" t="s">
        <v>2405</v>
      </c>
      <c r="I174" s="15" t="s">
        <v>2939</v>
      </c>
    </row>
    <row r="175" spans="1:9" x14ac:dyDescent="0.25">
      <c r="A175" s="15">
        <v>174</v>
      </c>
      <c r="B175" t="s">
        <v>2306</v>
      </c>
      <c r="C175" t="s">
        <v>58</v>
      </c>
      <c r="D175" t="s">
        <v>931</v>
      </c>
      <c r="E175" t="s">
        <v>34</v>
      </c>
      <c r="F175" s="17">
        <v>850</v>
      </c>
      <c r="G175" s="17">
        <v>160</v>
      </c>
      <c r="H175" s="15" t="s">
        <v>2984</v>
      </c>
      <c r="I175" s="15">
        <v>414</v>
      </c>
    </row>
    <row r="176" spans="1:9" x14ac:dyDescent="0.25">
      <c r="A176" s="15">
        <v>175</v>
      </c>
      <c r="B176" t="s">
        <v>2306</v>
      </c>
      <c r="C176" t="s">
        <v>58</v>
      </c>
      <c r="D176" t="s">
        <v>1077</v>
      </c>
      <c r="E176" t="s">
        <v>45</v>
      </c>
      <c r="F176" s="17">
        <v>850</v>
      </c>
      <c r="G176" s="17">
        <v>160</v>
      </c>
      <c r="H176" s="15" t="s">
        <v>2405</v>
      </c>
      <c r="I176" s="15" t="s">
        <v>2940</v>
      </c>
    </row>
    <row r="177" spans="1:9" x14ac:dyDescent="0.25">
      <c r="A177" s="15">
        <v>176</v>
      </c>
      <c r="B177" t="s">
        <v>2306</v>
      </c>
      <c r="C177" t="s">
        <v>58</v>
      </c>
      <c r="D177" t="s">
        <v>1077</v>
      </c>
      <c r="E177" t="s">
        <v>45</v>
      </c>
      <c r="F177" s="18">
        <v>850</v>
      </c>
      <c r="G177" s="18">
        <v>160</v>
      </c>
      <c r="H177" s="15" t="s">
        <v>2984</v>
      </c>
      <c r="I177" s="15" t="s">
        <v>2941</v>
      </c>
    </row>
    <row r="178" spans="1:9" x14ac:dyDescent="0.25">
      <c r="A178" s="15">
        <v>177</v>
      </c>
      <c r="B178" t="s">
        <v>2306</v>
      </c>
      <c r="C178" t="s">
        <v>58</v>
      </c>
      <c r="D178" t="s">
        <v>1221</v>
      </c>
      <c r="E178" t="s">
        <v>45</v>
      </c>
      <c r="F178" s="16">
        <v>1000</v>
      </c>
      <c r="G178" s="16">
        <v>180</v>
      </c>
      <c r="H178" s="15" t="s">
        <v>2405</v>
      </c>
      <c r="I178" s="15" t="s">
        <v>2942</v>
      </c>
    </row>
    <row r="179" spans="1:9" x14ac:dyDescent="0.25">
      <c r="A179" s="15">
        <v>178</v>
      </c>
      <c r="B179" t="s">
        <v>2306</v>
      </c>
      <c r="C179" t="s">
        <v>58</v>
      </c>
      <c r="D179" t="s">
        <v>1221</v>
      </c>
      <c r="E179" t="s">
        <v>45</v>
      </c>
      <c r="F179" s="17">
        <v>1000</v>
      </c>
      <c r="G179" s="17">
        <v>180</v>
      </c>
      <c r="H179" s="15" t="s">
        <v>2984</v>
      </c>
      <c r="I179" s="15" t="s">
        <v>2943</v>
      </c>
    </row>
    <row r="180" spans="1:9" ht="15" customHeight="1" x14ac:dyDescent="0.25">
      <c r="A180" s="15">
        <v>179</v>
      </c>
      <c r="B180" t="s">
        <v>2306</v>
      </c>
      <c r="C180" t="s">
        <v>58</v>
      </c>
      <c r="D180" t="s">
        <v>1512</v>
      </c>
      <c r="E180" t="s">
        <v>41</v>
      </c>
      <c r="F180" s="17">
        <v>1000</v>
      </c>
      <c r="G180" s="17">
        <v>180</v>
      </c>
      <c r="H180" s="15" t="s">
        <v>2405</v>
      </c>
      <c r="I180" s="15" t="s">
        <v>2944</v>
      </c>
    </row>
    <row r="181" spans="1:9" x14ac:dyDescent="0.25">
      <c r="A181" s="15">
        <v>180</v>
      </c>
      <c r="B181" t="s">
        <v>2306</v>
      </c>
      <c r="C181" t="s">
        <v>58</v>
      </c>
      <c r="D181" t="s">
        <v>1512</v>
      </c>
      <c r="E181" t="s">
        <v>41</v>
      </c>
      <c r="F181" s="17">
        <v>1000</v>
      </c>
      <c r="G181" s="18">
        <v>180</v>
      </c>
      <c r="H181" s="15" t="s">
        <v>2984</v>
      </c>
      <c r="I181" s="15" t="s">
        <v>2945</v>
      </c>
    </row>
    <row r="182" spans="1:9" x14ac:dyDescent="0.25">
      <c r="A182" s="15">
        <v>181</v>
      </c>
      <c r="B182" t="s">
        <v>2306</v>
      </c>
      <c r="C182" t="s">
        <v>58</v>
      </c>
      <c r="D182" t="s">
        <v>1809</v>
      </c>
      <c r="E182" t="s">
        <v>41</v>
      </c>
      <c r="F182" s="17">
        <v>1000</v>
      </c>
      <c r="G182" s="16">
        <v>220</v>
      </c>
      <c r="H182" s="15" t="s">
        <v>2405</v>
      </c>
      <c r="I182" s="15" t="s">
        <v>2946</v>
      </c>
    </row>
    <row r="183" spans="1:9" x14ac:dyDescent="0.25">
      <c r="A183" s="15">
        <v>182</v>
      </c>
      <c r="B183" t="s">
        <v>2306</v>
      </c>
      <c r="C183" t="s">
        <v>58</v>
      </c>
      <c r="D183" t="s">
        <v>1809</v>
      </c>
      <c r="E183" t="s">
        <v>41</v>
      </c>
      <c r="F183" s="17">
        <v>1000</v>
      </c>
      <c r="G183" s="17">
        <v>220</v>
      </c>
      <c r="H183" s="15" t="s">
        <v>2984</v>
      </c>
      <c r="I183" s="15" t="s">
        <v>2947</v>
      </c>
    </row>
    <row r="184" spans="1:9" x14ac:dyDescent="0.25">
      <c r="A184" s="15">
        <v>183</v>
      </c>
      <c r="B184" t="s">
        <v>2306</v>
      </c>
      <c r="C184" t="s">
        <v>58</v>
      </c>
      <c r="D184" t="s">
        <v>1809</v>
      </c>
      <c r="E184" t="s">
        <v>41</v>
      </c>
      <c r="F184" s="18">
        <v>1000</v>
      </c>
      <c r="G184" s="17">
        <v>220</v>
      </c>
      <c r="H184" s="15" t="s">
        <v>2400</v>
      </c>
      <c r="I184" s="15" t="s">
        <v>2948</v>
      </c>
    </row>
    <row r="185" spans="1:9" x14ac:dyDescent="0.25">
      <c r="A185" s="15">
        <v>184</v>
      </c>
      <c r="B185" t="s">
        <v>2306</v>
      </c>
      <c r="C185" t="s">
        <v>58</v>
      </c>
      <c r="D185" t="s">
        <v>1969</v>
      </c>
      <c r="E185" t="s">
        <v>45</v>
      </c>
      <c r="F185" s="16">
        <v>1200</v>
      </c>
      <c r="G185" s="17">
        <v>220</v>
      </c>
      <c r="H185" s="15" t="s">
        <v>2405</v>
      </c>
      <c r="I185" s="16">
        <v>880</v>
      </c>
    </row>
    <row r="186" spans="1:9" x14ac:dyDescent="0.25">
      <c r="A186" s="15">
        <v>185</v>
      </c>
      <c r="B186" t="s">
        <v>2306</v>
      </c>
      <c r="C186" t="s">
        <v>58</v>
      </c>
      <c r="D186" t="s">
        <v>1969</v>
      </c>
      <c r="E186" t="s">
        <v>45</v>
      </c>
      <c r="F186" s="17">
        <v>1200</v>
      </c>
      <c r="G186" s="17">
        <v>220</v>
      </c>
      <c r="H186" s="15" t="s">
        <v>2984</v>
      </c>
      <c r="I186" s="16" t="s">
        <v>2949</v>
      </c>
    </row>
    <row r="187" spans="1:9" x14ac:dyDescent="0.25">
      <c r="A187" s="15">
        <v>186</v>
      </c>
      <c r="B187" t="s">
        <v>2306</v>
      </c>
      <c r="C187" t="s">
        <v>58</v>
      </c>
      <c r="D187" t="s">
        <v>1969</v>
      </c>
      <c r="E187" t="s">
        <v>45</v>
      </c>
      <c r="F187" s="17">
        <v>1200</v>
      </c>
      <c r="G187" s="17">
        <v>220</v>
      </c>
      <c r="H187" s="15" t="s">
        <v>2400</v>
      </c>
      <c r="I187" s="15" t="s">
        <v>2950</v>
      </c>
    </row>
    <row r="188" spans="1:9" x14ac:dyDescent="0.25">
      <c r="A188" s="15">
        <v>187</v>
      </c>
      <c r="B188" t="s">
        <v>2306</v>
      </c>
      <c r="C188" t="s">
        <v>58</v>
      </c>
      <c r="D188" t="s">
        <v>2042</v>
      </c>
      <c r="E188" t="s">
        <v>45</v>
      </c>
      <c r="F188" s="17">
        <v>1200</v>
      </c>
      <c r="G188" s="17">
        <v>220</v>
      </c>
      <c r="H188" s="15" t="s">
        <v>2405</v>
      </c>
      <c r="I188" s="16" t="s">
        <v>2951</v>
      </c>
    </row>
    <row r="189" spans="1:9" x14ac:dyDescent="0.25">
      <c r="A189" s="15">
        <v>188</v>
      </c>
      <c r="B189" t="s">
        <v>2306</v>
      </c>
      <c r="C189" t="s">
        <v>58</v>
      </c>
      <c r="D189" t="s">
        <v>2042</v>
      </c>
      <c r="E189" t="s">
        <v>45</v>
      </c>
      <c r="F189" s="17">
        <v>1200</v>
      </c>
      <c r="G189" s="17">
        <v>220</v>
      </c>
      <c r="H189" s="15" t="s">
        <v>2984</v>
      </c>
      <c r="I189" s="16">
        <v>758</v>
      </c>
    </row>
    <row r="190" spans="1:9" x14ac:dyDescent="0.25">
      <c r="A190" s="15">
        <v>189</v>
      </c>
      <c r="B190" t="s">
        <v>2306</v>
      </c>
      <c r="C190" t="s">
        <v>58</v>
      </c>
      <c r="D190" t="s">
        <v>2042</v>
      </c>
      <c r="E190" t="s">
        <v>45</v>
      </c>
      <c r="F190" s="18">
        <v>1200</v>
      </c>
      <c r="G190" s="18">
        <v>220</v>
      </c>
      <c r="H190" s="15" t="s">
        <v>2400</v>
      </c>
      <c r="I190" s="15" t="s">
        <v>2952</v>
      </c>
    </row>
    <row r="191" spans="1:9" ht="15" customHeight="1" x14ac:dyDescent="0.25">
      <c r="A191" s="15">
        <v>190</v>
      </c>
      <c r="B191" t="s">
        <v>2306</v>
      </c>
      <c r="C191" t="s">
        <v>58</v>
      </c>
      <c r="D191" t="s">
        <v>2155</v>
      </c>
      <c r="E191" t="s">
        <v>17</v>
      </c>
      <c r="F191" s="16">
        <v>1500</v>
      </c>
      <c r="G191" s="16">
        <v>280</v>
      </c>
      <c r="H191" s="15" t="s">
        <v>2405</v>
      </c>
      <c r="I191" s="16" t="s">
        <v>2953</v>
      </c>
    </row>
    <row r="192" spans="1:9" x14ac:dyDescent="0.25">
      <c r="A192" s="15">
        <v>191</v>
      </c>
      <c r="B192" t="s">
        <v>2306</v>
      </c>
      <c r="C192" t="s">
        <v>58</v>
      </c>
      <c r="D192" t="s">
        <v>2155</v>
      </c>
      <c r="E192" t="s">
        <v>17</v>
      </c>
      <c r="F192" s="17">
        <v>1500</v>
      </c>
      <c r="G192" s="17">
        <v>280</v>
      </c>
      <c r="H192" s="15" t="s">
        <v>2984</v>
      </c>
      <c r="I192" s="16" t="s">
        <v>2954</v>
      </c>
    </row>
    <row r="193" spans="1:9" x14ac:dyDescent="0.25">
      <c r="A193" s="15">
        <v>192</v>
      </c>
      <c r="B193" t="s">
        <v>2306</v>
      </c>
      <c r="C193" t="s">
        <v>58</v>
      </c>
      <c r="D193" t="s">
        <v>2155</v>
      </c>
      <c r="E193" t="s">
        <v>17</v>
      </c>
      <c r="F193" s="18">
        <v>1500</v>
      </c>
      <c r="G193" s="17">
        <v>280</v>
      </c>
      <c r="H193" s="15" t="s">
        <v>2400</v>
      </c>
      <c r="I193" s="15" t="s">
        <v>2955</v>
      </c>
    </row>
    <row r="194" spans="1:9" ht="15" customHeight="1" x14ac:dyDescent="0.25">
      <c r="A194" s="15">
        <v>193</v>
      </c>
      <c r="B194" t="s">
        <v>2306</v>
      </c>
      <c r="C194" t="s">
        <v>58</v>
      </c>
      <c r="D194" t="s">
        <v>2269</v>
      </c>
      <c r="E194" t="s">
        <v>51</v>
      </c>
      <c r="F194" s="16">
        <v>1800</v>
      </c>
      <c r="G194" s="17">
        <v>280</v>
      </c>
      <c r="H194" s="15" t="s">
        <v>2405</v>
      </c>
      <c r="I194" s="16" t="s">
        <v>2956</v>
      </c>
    </row>
    <row r="195" spans="1:9" x14ac:dyDescent="0.25">
      <c r="A195" s="15">
        <v>194</v>
      </c>
      <c r="B195" t="s">
        <v>2306</v>
      </c>
      <c r="C195" t="s">
        <v>58</v>
      </c>
      <c r="D195" t="s">
        <v>2269</v>
      </c>
      <c r="E195" t="s">
        <v>51</v>
      </c>
      <c r="F195" s="17">
        <v>1800</v>
      </c>
      <c r="G195" s="17">
        <v>280</v>
      </c>
      <c r="H195" s="19" t="s">
        <v>2984</v>
      </c>
      <c r="I195" s="15" t="s">
        <v>2957</v>
      </c>
    </row>
    <row r="196" spans="1:9" x14ac:dyDescent="0.25">
      <c r="A196" s="15">
        <v>195</v>
      </c>
      <c r="B196" t="s">
        <v>2306</v>
      </c>
      <c r="C196" t="s">
        <v>58</v>
      </c>
      <c r="D196" t="s">
        <v>2269</v>
      </c>
      <c r="E196" t="s">
        <v>51</v>
      </c>
      <c r="F196" s="18">
        <v>1800</v>
      </c>
      <c r="G196" s="17">
        <v>280</v>
      </c>
      <c r="H196" s="19" t="s">
        <v>2400</v>
      </c>
      <c r="I196" s="15" t="s">
        <v>2958</v>
      </c>
    </row>
    <row r="197" spans="1:9" x14ac:dyDescent="0.25">
      <c r="A197" s="15">
        <v>196</v>
      </c>
      <c r="B197" t="s">
        <v>2985</v>
      </c>
      <c r="C197" t="s">
        <v>58</v>
      </c>
      <c r="D197" t="s">
        <v>656</v>
      </c>
      <c r="E197" t="s">
        <v>34</v>
      </c>
      <c r="F197" s="15">
        <v>700</v>
      </c>
      <c r="G197" s="17">
        <v>180</v>
      </c>
      <c r="H197" s="16" t="s">
        <v>2405</v>
      </c>
      <c r="I197" s="15" t="s">
        <v>2959</v>
      </c>
    </row>
    <row r="198" spans="1:9" x14ac:dyDescent="0.25">
      <c r="A198" s="15">
        <v>197</v>
      </c>
      <c r="B198" t="s">
        <v>2985</v>
      </c>
      <c r="C198" t="s">
        <v>58</v>
      </c>
      <c r="D198" t="s">
        <v>800</v>
      </c>
      <c r="E198" t="s">
        <v>34</v>
      </c>
      <c r="F198" s="16">
        <v>800</v>
      </c>
      <c r="G198" s="18">
        <v>180</v>
      </c>
      <c r="H198" s="18" t="s">
        <v>2405</v>
      </c>
      <c r="I198" s="15" t="s">
        <v>2960</v>
      </c>
    </row>
    <row r="199" spans="1:9" x14ac:dyDescent="0.25">
      <c r="A199" s="15">
        <v>198</v>
      </c>
      <c r="B199" t="s">
        <v>2985</v>
      </c>
      <c r="C199" t="s">
        <v>58</v>
      </c>
      <c r="D199" t="s">
        <v>931</v>
      </c>
      <c r="E199" t="s">
        <v>34</v>
      </c>
      <c r="F199" s="18">
        <v>800</v>
      </c>
      <c r="G199" s="16">
        <v>160</v>
      </c>
      <c r="H199" s="16" t="s">
        <v>2405</v>
      </c>
      <c r="I199" s="15" t="s">
        <v>2961</v>
      </c>
    </row>
    <row r="200" spans="1:9" x14ac:dyDescent="0.25">
      <c r="A200" s="15">
        <v>199</v>
      </c>
      <c r="B200" t="s">
        <v>2985</v>
      </c>
      <c r="C200" t="s">
        <v>58</v>
      </c>
      <c r="D200" t="s">
        <v>1077</v>
      </c>
      <c r="E200" t="s">
        <v>45</v>
      </c>
      <c r="F200" s="16">
        <v>900</v>
      </c>
      <c r="G200" s="17">
        <v>160</v>
      </c>
      <c r="H200" s="18" t="s">
        <v>2405</v>
      </c>
      <c r="I200" s="15" t="s">
        <v>2962</v>
      </c>
    </row>
    <row r="201" spans="1:9" x14ac:dyDescent="0.25">
      <c r="A201" s="15">
        <v>200</v>
      </c>
      <c r="B201" t="s">
        <v>2985</v>
      </c>
      <c r="C201" t="s">
        <v>58</v>
      </c>
      <c r="D201" t="s">
        <v>1077</v>
      </c>
      <c r="E201" t="s">
        <v>45</v>
      </c>
      <c r="F201" s="17">
        <v>900</v>
      </c>
      <c r="G201" s="18">
        <v>160</v>
      </c>
      <c r="H201" s="15" t="s">
        <v>2984</v>
      </c>
      <c r="I201" s="15" t="s">
        <v>2963</v>
      </c>
    </row>
    <row r="202" spans="1:9" x14ac:dyDescent="0.25">
      <c r="A202" s="15">
        <v>201</v>
      </c>
      <c r="B202" t="s">
        <v>2985</v>
      </c>
      <c r="C202" t="s">
        <v>58</v>
      </c>
      <c r="D202" t="s">
        <v>1221</v>
      </c>
      <c r="E202" t="s">
        <v>45</v>
      </c>
      <c r="F202" s="17">
        <v>900</v>
      </c>
      <c r="G202" s="16">
        <v>180</v>
      </c>
      <c r="H202" s="15" t="s">
        <v>2405</v>
      </c>
      <c r="I202" s="15" t="s">
        <v>2964</v>
      </c>
    </row>
    <row r="203" spans="1:9" x14ac:dyDescent="0.25">
      <c r="A203" s="15">
        <v>202</v>
      </c>
      <c r="B203" t="s">
        <v>2985</v>
      </c>
      <c r="C203" t="s">
        <v>58</v>
      </c>
      <c r="D203" t="s">
        <v>1221</v>
      </c>
      <c r="E203" t="s">
        <v>45</v>
      </c>
      <c r="F203" s="18">
        <v>900</v>
      </c>
      <c r="G203" s="17">
        <v>180</v>
      </c>
      <c r="H203" s="15" t="s">
        <v>2984</v>
      </c>
      <c r="I203" s="15" t="s">
        <v>2965</v>
      </c>
    </row>
    <row r="204" spans="1:9" x14ac:dyDescent="0.25">
      <c r="A204" s="15">
        <v>203</v>
      </c>
      <c r="B204" t="s">
        <v>2985</v>
      </c>
      <c r="C204" t="s">
        <v>58</v>
      </c>
      <c r="D204" t="s">
        <v>1512</v>
      </c>
      <c r="E204" t="s">
        <v>41</v>
      </c>
      <c r="F204" s="16">
        <v>1000</v>
      </c>
      <c r="G204" s="17">
        <v>180</v>
      </c>
      <c r="H204" s="15" t="s">
        <v>2405</v>
      </c>
      <c r="I204" s="15" t="s">
        <v>2966</v>
      </c>
    </row>
    <row r="205" spans="1:9" x14ac:dyDescent="0.25">
      <c r="A205" s="15">
        <v>204</v>
      </c>
      <c r="B205" t="s">
        <v>2985</v>
      </c>
      <c r="C205" t="s">
        <v>58</v>
      </c>
      <c r="D205" t="s">
        <v>1512</v>
      </c>
      <c r="E205" t="s">
        <v>41</v>
      </c>
      <c r="F205" s="17">
        <v>1000</v>
      </c>
      <c r="G205" s="17">
        <v>180</v>
      </c>
      <c r="H205" s="15" t="s">
        <v>2984</v>
      </c>
      <c r="I205" s="15" t="s">
        <v>2967</v>
      </c>
    </row>
    <row r="206" spans="1:9" x14ac:dyDescent="0.25">
      <c r="A206" s="15">
        <v>205</v>
      </c>
      <c r="B206" t="s">
        <v>2985</v>
      </c>
      <c r="C206" t="s">
        <v>58</v>
      </c>
      <c r="D206" t="s">
        <v>1512</v>
      </c>
      <c r="E206" t="s">
        <v>41</v>
      </c>
      <c r="F206" s="17">
        <v>1000</v>
      </c>
      <c r="G206" s="18">
        <v>180</v>
      </c>
      <c r="H206" s="15" t="s">
        <v>2400</v>
      </c>
      <c r="I206" s="15" t="s">
        <v>2968</v>
      </c>
    </row>
    <row r="207" spans="1:9" x14ac:dyDescent="0.25">
      <c r="A207" s="15">
        <v>206</v>
      </c>
      <c r="B207" t="s">
        <v>2985</v>
      </c>
      <c r="C207" t="s">
        <v>58</v>
      </c>
      <c r="D207" t="s">
        <v>1809</v>
      </c>
      <c r="E207" t="s">
        <v>41</v>
      </c>
      <c r="F207" s="17">
        <v>1000</v>
      </c>
      <c r="G207" s="16">
        <v>220</v>
      </c>
      <c r="H207" s="15" t="s">
        <v>2405</v>
      </c>
      <c r="I207" s="16">
        <v>847</v>
      </c>
    </row>
    <row r="208" spans="1:9" x14ac:dyDescent="0.25">
      <c r="A208" s="15">
        <v>207</v>
      </c>
      <c r="B208" t="s">
        <v>2985</v>
      </c>
      <c r="C208" t="s">
        <v>58</v>
      </c>
      <c r="D208" t="s">
        <v>1809</v>
      </c>
      <c r="E208" t="s">
        <v>41</v>
      </c>
      <c r="F208" s="17">
        <v>1000</v>
      </c>
      <c r="G208" s="17">
        <v>220</v>
      </c>
      <c r="H208" s="15" t="s">
        <v>2984</v>
      </c>
      <c r="I208" s="16">
        <v>558</v>
      </c>
    </row>
    <row r="209" spans="1:9" x14ac:dyDescent="0.25">
      <c r="A209" s="15">
        <v>208</v>
      </c>
      <c r="B209" t="s">
        <v>2985</v>
      </c>
      <c r="C209" t="s">
        <v>58</v>
      </c>
      <c r="D209" t="s">
        <v>1809</v>
      </c>
      <c r="E209" t="s">
        <v>41</v>
      </c>
      <c r="F209" s="16">
        <v>1000</v>
      </c>
      <c r="G209" s="17">
        <v>220</v>
      </c>
      <c r="H209" s="15" t="s">
        <v>2400</v>
      </c>
      <c r="I209" s="16" t="s">
        <v>2969</v>
      </c>
    </row>
    <row r="210" spans="1:9" ht="15" customHeight="1" x14ac:dyDescent="0.25">
      <c r="A210" s="15">
        <v>209</v>
      </c>
      <c r="B210" t="s">
        <v>2985</v>
      </c>
      <c r="C210" t="s">
        <v>58</v>
      </c>
      <c r="D210" t="s">
        <v>1969</v>
      </c>
      <c r="E210" t="s">
        <v>45</v>
      </c>
      <c r="F210" s="16">
        <v>1200</v>
      </c>
      <c r="G210" s="17">
        <v>220</v>
      </c>
      <c r="H210" s="15" t="s">
        <v>2405</v>
      </c>
      <c r="I210" s="16">
        <v>1027</v>
      </c>
    </row>
    <row r="211" spans="1:9" x14ac:dyDescent="0.25">
      <c r="A211" s="15">
        <v>210</v>
      </c>
      <c r="B211" t="s">
        <v>2985</v>
      </c>
      <c r="C211" t="s">
        <v>58</v>
      </c>
      <c r="D211" t="s">
        <v>1969</v>
      </c>
      <c r="E211" t="s">
        <v>45</v>
      </c>
      <c r="F211" s="17">
        <v>1200</v>
      </c>
      <c r="G211" s="17">
        <v>220</v>
      </c>
      <c r="H211" s="15" t="s">
        <v>2984</v>
      </c>
      <c r="I211" s="16" t="s">
        <v>2970</v>
      </c>
    </row>
    <row r="212" spans="1:9" x14ac:dyDescent="0.25">
      <c r="A212" s="15">
        <v>211</v>
      </c>
      <c r="B212" t="s">
        <v>2985</v>
      </c>
      <c r="C212" t="s">
        <v>58</v>
      </c>
      <c r="D212" t="s">
        <v>1969</v>
      </c>
      <c r="E212" t="s">
        <v>45</v>
      </c>
      <c r="F212" s="17">
        <v>1200</v>
      </c>
      <c r="G212" s="17">
        <v>220</v>
      </c>
      <c r="H212" s="15" t="s">
        <v>2400</v>
      </c>
      <c r="I212" s="15">
        <v>657</v>
      </c>
    </row>
    <row r="213" spans="1:9" x14ac:dyDescent="0.25">
      <c r="A213" s="15">
        <v>212</v>
      </c>
      <c r="B213" t="s">
        <v>2985</v>
      </c>
      <c r="C213" t="s">
        <v>58</v>
      </c>
      <c r="D213" t="s">
        <v>2042</v>
      </c>
      <c r="E213" t="s">
        <v>45</v>
      </c>
      <c r="F213" s="17">
        <v>1200</v>
      </c>
      <c r="G213" s="17">
        <v>220</v>
      </c>
      <c r="H213" s="15" t="s">
        <v>2405</v>
      </c>
      <c r="I213" s="16" t="s">
        <v>2971</v>
      </c>
    </row>
    <row r="214" spans="1:9" x14ac:dyDescent="0.25">
      <c r="A214" s="15">
        <v>213</v>
      </c>
      <c r="B214" t="s">
        <v>2985</v>
      </c>
      <c r="C214" t="s">
        <v>58</v>
      </c>
      <c r="D214" t="s">
        <v>2042</v>
      </c>
      <c r="E214" t="s">
        <v>45</v>
      </c>
      <c r="F214" s="17">
        <v>1200</v>
      </c>
      <c r="G214" s="17">
        <v>220</v>
      </c>
      <c r="H214" s="15" t="s">
        <v>2984</v>
      </c>
      <c r="I214" s="16" t="s">
        <v>2972</v>
      </c>
    </row>
    <row r="215" spans="1:9" x14ac:dyDescent="0.25">
      <c r="A215" s="15">
        <v>214</v>
      </c>
      <c r="B215" t="s">
        <v>2985</v>
      </c>
      <c r="C215" t="s">
        <v>58</v>
      </c>
      <c r="D215" t="s">
        <v>2042</v>
      </c>
      <c r="E215" t="s">
        <v>45</v>
      </c>
      <c r="F215" s="18">
        <v>1200</v>
      </c>
      <c r="G215" s="18">
        <v>220</v>
      </c>
      <c r="H215" s="15" t="s">
        <v>2400</v>
      </c>
      <c r="I215" s="15" t="s">
        <v>2973</v>
      </c>
    </row>
    <row r="216" spans="1:9" ht="15" customHeight="1" x14ac:dyDescent="0.25">
      <c r="A216" s="15">
        <v>215</v>
      </c>
      <c r="B216" t="s">
        <v>2985</v>
      </c>
      <c r="C216" t="s">
        <v>58</v>
      </c>
      <c r="D216" t="s">
        <v>2155</v>
      </c>
      <c r="E216" t="s">
        <v>17</v>
      </c>
      <c r="F216" s="16">
        <v>1500</v>
      </c>
      <c r="G216" s="16">
        <v>280</v>
      </c>
      <c r="H216" s="15" t="s">
        <v>2405</v>
      </c>
      <c r="I216" s="16">
        <v>1479</v>
      </c>
    </row>
    <row r="217" spans="1:9" x14ac:dyDescent="0.25">
      <c r="A217" s="15">
        <v>216</v>
      </c>
      <c r="B217" t="s">
        <v>2985</v>
      </c>
      <c r="C217" t="s">
        <v>58</v>
      </c>
      <c r="D217" t="s">
        <v>2155</v>
      </c>
      <c r="E217" t="s">
        <v>17</v>
      </c>
      <c r="F217" s="17">
        <v>1500</v>
      </c>
      <c r="G217" s="17">
        <v>280</v>
      </c>
      <c r="H217" s="15" t="s">
        <v>2984</v>
      </c>
      <c r="I217" s="16" t="s">
        <v>2974</v>
      </c>
    </row>
    <row r="218" spans="1:9" x14ac:dyDescent="0.25">
      <c r="A218" s="15">
        <v>217</v>
      </c>
      <c r="B218" t="s">
        <v>2985</v>
      </c>
      <c r="C218" t="s">
        <v>58</v>
      </c>
      <c r="D218" t="s">
        <v>2155</v>
      </c>
      <c r="E218" t="s">
        <v>17</v>
      </c>
      <c r="F218" s="18">
        <v>1500</v>
      </c>
      <c r="G218" s="17">
        <v>280</v>
      </c>
      <c r="H218" s="15" t="s">
        <v>2400</v>
      </c>
      <c r="I218" s="15" t="s">
        <v>2975</v>
      </c>
    </row>
    <row r="219" spans="1:9" ht="15" customHeight="1" x14ac:dyDescent="0.25">
      <c r="A219" s="15">
        <v>218</v>
      </c>
      <c r="B219" t="s">
        <v>2985</v>
      </c>
      <c r="C219" t="s">
        <v>58</v>
      </c>
      <c r="D219" t="s">
        <v>2269</v>
      </c>
      <c r="E219" t="s">
        <v>51</v>
      </c>
      <c r="F219" s="16">
        <v>1800</v>
      </c>
      <c r="G219" s="17">
        <v>280</v>
      </c>
      <c r="H219" s="15" t="s">
        <v>2405</v>
      </c>
      <c r="I219" s="16" t="s">
        <v>2976</v>
      </c>
    </row>
    <row r="220" spans="1:9" x14ac:dyDescent="0.25">
      <c r="A220" s="15">
        <v>219</v>
      </c>
      <c r="B220" t="s">
        <v>2985</v>
      </c>
      <c r="C220" t="s">
        <v>58</v>
      </c>
      <c r="D220" t="s">
        <v>2269</v>
      </c>
      <c r="E220" t="s">
        <v>51</v>
      </c>
      <c r="F220" s="17">
        <v>1800</v>
      </c>
      <c r="G220" s="17">
        <v>280</v>
      </c>
      <c r="H220" s="15" t="s">
        <v>2984</v>
      </c>
      <c r="I220" s="15" t="s">
        <v>2977</v>
      </c>
    </row>
    <row r="221" spans="1:9" x14ac:dyDescent="0.25">
      <c r="A221" s="15">
        <v>220</v>
      </c>
      <c r="B221" t="s">
        <v>2985</v>
      </c>
      <c r="C221" t="s">
        <v>58</v>
      </c>
      <c r="D221" t="s">
        <v>2269</v>
      </c>
      <c r="E221" t="s">
        <v>51</v>
      </c>
      <c r="F221" s="17">
        <v>1800</v>
      </c>
      <c r="G221" s="17">
        <v>280</v>
      </c>
      <c r="H221" s="15" t="s">
        <v>2400</v>
      </c>
      <c r="I221" s="16" t="s">
        <v>2978</v>
      </c>
    </row>
    <row r="222" spans="1:9" ht="15" customHeight="1" x14ac:dyDescent="0.25">
      <c r="A222" s="15">
        <v>221</v>
      </c>
      <c r="B222" t="s">
        <v>2985</v>
      </c>
      <c r="C222" t="s">
        <v>58</v>
      </c>
      <c r="D222" t="s">
        <v>2306</v>
      </c>
      <c r="E222" t="s">
        <v>58</v>
      </c>
      <c r="F222" s="16">
        <v>2100</v>
      </c>
      <c r="G222" s="16">
        <v>320</v>
      </c>
      <c r="H222" s="15" t="s">
        <v>2405</v>
      </c>
      <c r="I222" s="16" t="s">
        <v>2979</v>
      </c>
    </row>
    <row r="223" spans="1:9" x14ac:dyDescent="0.25">
      <c r="A223" s="15">
        <v>222</v>
      </c>
      <c r="B223" t="s">
        <v>2985</v>
      </c>
      <c r="C223" t="s">
        <v>58</v>
      </c>
      <c r="D223" t="s">
        <v>2306</v>
      </c>
      <c r="E223" t="s">
        <v>58</v>
      </c>
      <c r="F223" s="17">
        <v>2100</v>
      </c>
      <c r="G223" s="17">
        <v>320</v>
      </c>
      <c r="H223" s="15" t="s">
        <v>2984</v>
      </c>
      <c r="I223" s="15" t="s">
        <v>2980</v>
      </c>
    </row>
    <row r="224" spans="1:9" x14ac:dyDescent="0.25">
      <c r="A224" s="15">
        <v>223</v>
      </c>
      <c r="B224" t="s">
        <v>2985</v>
      </c>
      <c r="C224" t="s">
        <v>58</v>
      </c>
      <c r="D224" t="s">
        <v>2306</v>
      </c>
      <c r="E224" t="s">
        <v>58</v>
      </c>
      <c r="F224" s="17">
        <v>2100</v>
      </c>
      <c r="G224" s="17">
        <v>320</v>
      </c>
      <c r="H224" s="15" t="s">
        <v>2400</v>
      </c>
      <c r="I224" s="16" t="s">
        <v>2981</v>
      </c>
    </row>
  </sheetData>
  <conditionalFormatting sqref="A1">
    <cfRule type="containsBlanks" dxfId="7" priority="4">
      <formula>LEN(TRIM(A1))=0</formula>
    </cfRule>
  </conditionalFormatting>
  <conditionalFormatting sqref="I2:I1048576">
    <cfRule type="containsBlanks" dxfId="6" priority="3">
      <formula>LEN(TRIM(I2))=0</formula>
    </cfRule>
  </conditionalFormatting>
  <conditionalFormatting sqref="I1">
    <cfRule type="containsBlanks" dxfId="5" priority="2">
      <formula>LEN(TRIM(I1))=0</formula>
    </cfRule>
  </conditionalFormatting>
  <conditionalFormatting sqref="A1:I1048576">
    <cfRule type="containsBlanks" dxfId="4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77FD-E9C1-4DE9-BBFD-F4CBECA4690D}">
  <sheetPr codeName="Лист21"/>
  <dimension ref="A1:I224"/>
  <sheetViews>
    <sheetView workbookViewId="0">
      <selection activeCell="T6" sqref="T6"/>
    </sheetView>
  </sheetViews>
  <sheetFormatPr defaultRowHeight="15" x14ac:dyDescent="0.25"/>
  <sheetData>
    <row r="1" spans="1:9" ht="50.25" customHeight="1" x14ac:dyDescent="0.2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25">
      <c r="A2">
        <v>1</v>
      </c>
      <c r="B2" t="s">
        <v>258</v>
      </c>
      <c r="C2" t="s">
        <v>3139</v>
      </c>
      <c r="D2" t="s">
        <v>258</v>
      </c>
      <c r="E2" t="s">
        <v>3139</v>
      </c>
      <c r="F2">
        <v>350</v>
      </c>
      <c r="G2">
        <v>102</v>
      </c>
      <c r="H2" t="s">
        <v>2983</v>
      </c>
      <c r="I2">
        <v>3</v>
      </c>
    </row>
    <row r="3" spans="1:9" x14ac:dyDescent="0.25">
      <c r="A3">
        <v>2</v>
      </c>
      <c r="B3" t="s">
        <v>298</v>
      </c>
      <c r="C3" t="s">
        <v>2402</v>
      </c>
      <c r="D3" t="s">
        <v>298</v>
      </c>
      <c r="E3" t="s">
        <v>2402</v>
      </c>
      <c r="F3">
        <v>300</v>
      </c>
      <c r="G3">
        <v>100.5</v>
      </c>
      <c r="H3" t="s">
        <v>2983</v>
      </c>
      <c r="I3">
        <v>4</v>
      </c>
    </row>
    <row r="4" spans="1:9" x14ac:dyDescent="0.25">
      <c r="A4">
        <v>3</v>
      </c>
      <c r="B4" t="s">
        <v>298</v>
      </c>
      <c r="C4" t="s">
        <v>2402</v>
      </c>
      <c r="D4" t="s">
        <v>298</v>
      </c>
      <c r="E4" t="s">
        <v>2402</v>
      </c>
      <c r="F4">
        <v>300</v>
      </c>
      <c r="G4">
        <v>100.5</v>
      </c>
      <c r="H4" t="s">
        <v>2399</v>
      </c>
      <c r="I4" t="s">
        <v>2462</v>
      </c>
    </row>
    <row r="5" spans="1:9" x14ac:dyDescent="0.25">
      <c r="A5">
        <v>4</v>
      </c>
      <c r="B5" t="s">
        <v>358</v>
      </c>
      <c r="C5" t="s">
        <v>26</v>
      </c>
      <c r="D5" t="s">
        <v>358</v>
      </c>
      <c r="E5" t="s">
        <v>26</v>
      </c>
      <c r="F5">
        <v>320</v>
      </c>
      <c r="G5">
        <v>121</v>
      </c>
      <c r="H5" t="s">
        <v>2399</v>
      </c>
      <c r="I5" t="s">
        <v>2417</v>
      </c>
    </row>
    <row r="6" spans="1:9" ht="15" customHeight="1" x14ac:dyDescent="0.25">
      <c r="A6">
        <v>5</v>
      </c>
      <c r="B6" t="s">
        <v>358</v>
      </c>
      <c r="C6" t="s">
        <v>26</v>
      </c>
      <c r="D6" t="s">
        <v>358</v>
      </c>
      <c r="E6" t="s">
        <v>26</v>
      </c>
      <c r="F6">
        <v>320</v>
      </c>
      <c r="G6">
        <v>121</v>
      </c>
      <c r="H6" t="s">
        <v>2983</v>
      </c>
      <c r="I6" t="s">
        <v>2414</v>
      </c>
    </row>
    <row r="7" spans="1:9" x14ac:dyDescent="0.25">
      <c r="A7">
        <v>6</v>
      </c>
      <c r="B7" t="s">
        <v>428</v>
      </c>
      <c r="C7" t="s">
        <v>26</v>
      </c>
      <c r="D7" t="s">
        <v>428</v>
      </c>
      <c r="E7" t="s">
        <v>26</v>
      </c>
      <c r="F7">
        <v>350</v>
      </c>
      <c r="G7">
        <v>123.5</v>
      </c>
      <c r="H7" t="s">
        <v>2983</v>
      </c>
      <c r="I7" t="s">
        <v>2477</v>
      </c>
    </row>
    <row r="8" spans="1:9" ht="15" customHeight="1" x14ac:dyDescent="0.25">
      <c r="A8">
        <v>7</v>
      </c>
      <c r="B8" t="s">
        <v>428</v>
      </c>
      <c r="C8" t="s">
        <v>26</v>
      </c>
      <c r="D8" t="s">
        <v>428</v>
      </c>
      <c r="E8" t="s">
        <v>26</v>
      </c>
      <c r="F8">
        <v>350</v>
      </c>
      <c r="G8">
        <v>123.5</v>
      </c>
      <c r="H8" t="s">
        <v>2399</v>
      </c>
      <c r="I8" t="s">
        <v>2653</v>
      </c>
    </row>
    <row r="9" spans="1:9" x14ac:dyDescent="0.25">
      <c r="A9">
        <v>8</v>
      </c>
      <c r="B9" t="s">
        <v>498</v>
      </c>
      <c r="C9" t="s">
        <v>29</v>
      </c>
      <c r="D9" t="s">
        <v>498</v>
      </c>
      <c r="E9" t="s">
        <v>29</v>
      </c>
      <c r="F9">
        <v>400</v>
      </c>
      <c r="G9">
        <v>120.5</v>
      </c>
      <c r="H9" t="s">
        <v>2399</v>
      </c>
      <c r="I9" t="s">
        <v>2422</v>
      </c>
    </row>
    <row r="10" spans="1:9" ht="15" customHeight="1" x14ac:dyDescent="0.25">
      <c r="A10">
        <v>9</v>
      </c>
      <c r="B10" t="s">
        <v>498</v>
      </c>
      <c r="C10" t="s">
        <v>29</v>
      </c>
      <c r="D10" t="s">
        <v>498</v>
      </c>
      <c r="E10" t="s">
        <v>29</v>
      </c>
      <c r="F10">
        <v>400</v>
      </c>
      <c r="G10">
        <v>120.5</v>
      </c>
      <c r="H10" t="s">
        <v>2983</v>
      </c>
      <c r="I10" t="s">
        <v>3107</v>
      </c>
    </row>
    <row r="11" spans="1:9" x14ac:dyDescent="0.25">
      <c r="A11">
        <v>10</v>
      </c>
      <c r="B11" t="s">
        <v>656</v>
      </c>
      <c r="C11" t="s">
        <v>37</v>
      </c>
      <c r="D11" t="s">
        <v>656</v>
      </c>
      <c r="E11" t="s">
        <v>37</v>
      </c>
      <c r="F11">
        <v>450</v>
      </c>
      <c r="G11">
        <v>140.5</v>
      </c>
      <c r="H11" t="s">
        <v>2983</v>
      </c>
      <c r="I11" t="s">
        <v>3108</v>
      </c>
    </row>
    <row r="12" spans="1:9" x14ac:dyDescent="0.25">
      <c r="A12">
        <v>11</v>
      </c>
      <c r="B12" t="s">
        <v>656</v>
      </c>
      <c r="C12" t="s">
        <v>37</v>
      </c>
      <c r="D12" t="s">
        <v>656</v>
      </c>
      <c r="E12" t="s">
        <v>37</v>
      </c>
      <c r="F12">
        <v>450</v>
      </c>
      <c r="G12">
        <v>140.5</v>
      </c>
      <c r="H12" t="s">
        <v>2399</v>
      </c>
      <c r="I12" t="s">
        <v>3109</v>
      </c>
    </row>
    <row r="13" spans="1:9" x14ac:dyDescent="0.25">
      <c r="A13">
        <v>12</v>
      </c>
      <c r="B13" t="s">
        <v>800</v>
      </c>
      <c r="C13" t="s">
        <v>41</v>
      </c>
      <c r="D13" t="s">
        <v>800</v>
      </c>
      <c r="E13" t="s">
        <v>41</v>
      </c>
      <c r="F13">
        <v>500</v>
      </c>
      <c r="G13">
        <v>143.5</v>
      </c>
      <c r="H13" t="s">
        <v>2399</v>
      </c>
      <c r="I13" t="s">
        <v>2826</v>
      </c>
    </row>
    <row r="14" spans="1:9" ht="15" customHeight="1" x14ac:dyDescent="0.25">
      <c r="A14">
        <v>13</v>
      </c>
      <c r="B14" t="s">
        <v>800</v>
      </c>
      <c r="C14" t="s">
        <v>41</v>
      </c>
      <c r="D14" t="s">
        <v>800</v>
      </c>
      <c r="E14" t="s">
        <v>41</v>
      </c>
      <c r="F14">
        <v>500</v>
      </c>
      <c r="G14">
        <v>143.5</v>
      </c>
      <c r="H14" t="s">
        <v>2983</v>
      </c>
      <c r="I14" t="s">
        <v>3029</v>
      </c>
    </row>
    <row r="15" spans="1:9" x14ac:dyDescent="0.25">
      <c r="A15">
        <v>14</v>
      </c>
      <c r="B15" t="s">
        <v>800</v>
      </c>
      <c r="C15" t="s">
        <v>34</v>
      </c>
      <c r="D15" t="s">
        <v>800</v>
      </c>
      <c r="E15" t="s">
        <v>34</v>
      </c>
      <c r="F15">
        <v>500</v>
      </c>
      <c r="G15">
        <v>143.5</v>
      </c>
      <c r="H15" t="s">
        <v>2405</v>
      </c>
      <c r="I15" t="s">
        <v>3110</v>
      </c>
    </row>
    <row r="16" spans="1:9" ht="15" customHeight="1" x14ac:dyDescent="0.25">
      <c r="A16">
        <v>15</v>
      </c>
      <c r="B16" t="s">
        <v>931</v>
      </c>
      <c r="C16" t="s">
        <v>34</v>
      </c>
      <c r="D16" t="s">
        <v>931</v>
      </c>
      <c r="E16" t="s">
        <v>34</v>
      </c>
      <c r="F16">
        <v>550</v>
      </c>
      <c r="G16">
        <v>162.5</v>
      </c>
      <c r="H16" t="s">
        <v>2405</v>
      </c>
      <c r="I16" t="s">
        <v>2823</v>
      </c>
    </row>
    <row r="17" spans="1:9" x14ac:dyDescent="0.25">
      <c r="A17">
        <v>16</v>
      </c>
      <c r="B17" t="s">
        <v>931</v>
      </c>
      <c r="C17" t="s">
        <v>41</v>
      </c>
      <c r="D17" t="s">
        <v>931</v>
      </c>
      <c r="E17" t="s">
        <v>41</v>
      </c>
      <c r="F17">
        <v>550</v>
      </c>
      <c r="G17">
        <v>162.5</v>
      </c>
      <c r="H17" t="s">
        <v>2399</v>
      </c>
      <c r="I17" t="s">
        <v>3111</v>
      </c>
    </row>
    <row r="18" spans="1:9" ht="15" customHeight="1" x14ac:dyDescent="0.25">
      <c r="A18">
        <v>17</v>
      </c>
      <c r="B18" t="s">
        <v>931</v>
      </c>
      <c r="C18" t="s">
        <v>41</v>
      </c>
      <c r="D18" t="s">
        <v>931</v>
      </c>
      <c r="E18" t="s">
        <v>41</v>
      </c>
      <c r="F18">
        <v>550</v>
      </c>
      <c r="G18">
        <v>162.5</v>
      </c>
      <c r="H18" t="s">
        <v>2983</v>
      </c>
      <c r="I18" t="s">
        <v>3112</v>
      </c>
    </row>
    <row r="19" spans="1:9" x14ac:dyDescent="0.25">
      <c r="A19">
        <v>18</v>
      </c>
      <c r="B19" t="s">
        <v>1077</v>
      </c>
      <c r="C19" t="s">
        <v>45</v>
      </c>
      <c r="D19" t="s">
        <v>1077</v>
      </c>
      <c r="E19" t="s">
        <v>45</v>
      </c>
      <c r="F19">
        <v>650</v>
      </c>
      <c r="G19">
        <v>161.5</v>
      </c>
      <c r="H19" t="s">
        <v>2399</v>
      </c>
      <c r="I19" t="s">
        <v>3113</v>
      </c>
    </row>
    <row r="20" spans="1:9" x14ac:dyDescent="0.25">
      <c r="A20">
        <v>19</v>
      </c>
      <c r="B20" t="s">
        <v>1077</v>
      </c>
      <c r="C20" t="s">
        <v>45</v>
      </c>
      <c r="D20" t="s">
        <v>1077</v>
      </c>
      <c r="E20" t="s">
        <v>45</v>
      </c>
      <c r="F20">
        <v>650</v>
      </c>
      <c r="G20">
        <v>161.5</v>
      </c>
      <c r="H20" t="s">
        <v>2983</v>
      </c>
      <c r="I20" t="s">
        <v>3057</v>
      </c>
    </row>
    <row r="21" spans="1:9" ht="15" customHeight="1" x14ac:dyDescent="0.25">
      <c r="A21">
        <v>20</v>
      </c>
      <c r="B21" t="s">
        <v>1221</v>
      </c>
      <c r="C21" t="s">
        <v>17</v>
      </c>
      <c r="D21" t="s">
        <v>1221</v>
      </c>
      <c r="E21" t="s">
        <v>17</v>
      </c>
      <c r="F21">
        <v>700</v>
      </c>
      <c r="G21">
        <v>182</v>
      </c>
      <c r="H21" t="s">
        <v>2983</v>
      </c>
      <c r="I21" t="s">
        <v>3114</v>
      </c>
    </row>
    <row r="22" spans="1:9" x14ac:dyDescent="0.25">
      <c r="A22">
        <v>21</v>
      </c>
      <c r="B22" t="s">
        <v>1221</v>
      </c>
      <c r="C22" t="s">
        <v>17</v>
      </c>
      <c r="D22" t="s">
        <v>1221</v>
      </c>
      <c r="E22" t="s">
        <v>17</v>
      </c>
      <c r="F22">
        <v>700</v>
      </c>
      <c r="G22">
        <v>182</v>
      </c>
      <c r="H22" t="s">
        <v>2399</v>
      </c>
      <c r="I22" t="s">
        <v>3115</v>
      </c>
    </row>
    <row r="23" spans="1:9" ht="15" customHeight="1" x14ac:dyDescent="0.25">
      <c r="A23">
        <v>22</v>
      </c>
      <c r="B23" t="s">
        <v>1221</v>
      </c>
      <c r="C23" t="s">
        <v>45</v>
      </c>
      <c r="D23" t="s">
        <v>1221</v>
      </c>
      <c r="E23" t="s">
        <v>45</v>
      </c>
      <c r="F23">
        <v>700</v>
      </c>
      <c r="G23">
        <v>182</v>
      </c>
      <c r="H23" t="s">
        <v>2405</v>
      </c>
      <c r="I23">
        <v>83</v>
      </c>
    </row>
    <row r="24" spans="1:9" x14ac:dyDescent="0.25">
      <c r="A24">
        <v>23</v>
      </c>
      <c r="B24" t="s">
        <v>1512</v>
      </c>
      <c r="C24" t="s">
        <v>41</v>
      </c>
      <c r="D24" t="s">
        <v>1512</v>
      </c>
      <c r="E24" t="s">
        <v>41</v>
      </c>
      <c r="F24">
        <v>800</v>
      </c>
      <c r="G24">
        <v>180</v>
      </c>
      <c r="H24" t="s">
        <v>2405</v>
      </c>
      <c r="I24" t="s">
        <v>3116</v>
      </c>
    </row>
    <row r="25" spans="1:9" x14ac:dyDescent="0.25">
      <c r="A25">
        <v>24</v>
      </c>
      <c r="B25" t="s">
        <v>1512</v>
      </c>
      <c r="C25" t="s">
        <v>41</v>
      </c>
      <c r="D25" t="s">
        <v>1512</v>
      </c>
      <c r="E25" t="s">
        <v>41</v>
      </c>
      <c r="F25">
        <v>800</v>
      </c>
      <c r="G25">
        <v>180</v>
      </c>
      <c r="H25" t="s">
        <v>2405</v>
      </c>
      <c r="I25" t="s">
        <v>3117</v>
      </c>
    </row>
    <row r="26" spans="1:9" ht="15" customHeight="1" x14ac:dyDescent="0.25">
      <c r="A26">
        <v>25</v>
      </c>
      <c r="B26" t="s">
        <v>1809</v>
      </c>
      <c r="C26" t="s">
        <v>33</v>
      </c>
      <c r="D26" t="s">
        <v>1809</v>
      </c>
      <c r="E26" t="s">
        <v>33</v>
      </c>
      <c r="F26">
        <v>1000</v>
      </c>
      <c r="G26">
        <v>220</v>
      </c>
      <c r="H26" t="s">
        <v>2399</v>
      </c>
      <c r="I26" t="s">
        <v>3118</v>
      </c>
    </row>
    <row r="27" spans="1:9" x14ac:dyDescent="0.25">
      <c r="A27">
        <v>26</v>
      </c>
      <c r="B27" t="s">
        <v>1809</v>
      </c>
      <c r="C27" t="s">
        <v>41</v>
      </c>
      <c r="D27" t="s">
        <v>1809</v>
      </c>
      <c r="E27" t="s">
        <v>41</v>
      </c>
      <c r="F27">
        <v>1000</v>
      </c>
      <c r="G27">
        <v>220</v>
      </c>
      <c r="H27" t="s">
        <v>2405</v>
      </c>
      <c r="I27" t="s">
        <v>3119</v>
      </c>
    </row>
    <row r="28" spans="1:9" ht="15" customHeight="1" x14ac:dyDescent="0.25">
      <c r="A28">
        <v>27</v>
      </c>
      <c r="B28" t="s">
        <v>1809</v>
      </c>
      <c r="C28" t="s">
        <v>41</v>
      </c>
      <c r="D28" t="s">
        <v>1809</v>
      </c>
      <c r="E28" t="s">
        <v>41</v>
      </c>
      <c r="F28">
        <v>1000</v>
      </c>
      <c r="G28">
        <v>220</v>
      </c>
      <c r="H28" t="s">
        <v>2984</v>
      </c>
      <c r="I28" t="s">
        <v>3120</v>
      </c>
    </row>
    <row r="29" spans="1:9" x14ac:dyDescent="0.25">
      <c r="A29">
        <v>28</v>
      </c>
      <c r="B29" t="s">
        <v>1969</v>
      </c>
      <c r="C29" t="s">
        <v>45</v>
      </c>
      <c r="D29" t="s">
        <v>1969</v>
      </c>
      <c r="E29" t="s">
        <v>45</v>
      </c>
      <c r="F29">
        <v>1100</v>
      </c>
      <c r="G29">
        <v>220</v>
      </c>
      <c r="H29" t="s">
        <v>2984</v>
      </c>
      <c r="I29" t="s">
        <v>3121</v>
      </c>
    </row>
    <row r="30" spans="1:9" x14ac:dyDescent="0.25">
      <c r="A30">
        <v>29</v>
      </c>
      <c r="B30" t="s">
        <v>1969</v>
      </c>
      <c r="C30" t="s">
        <v>45</v>
      </c>
      <c r="D30" t="s">
        <v>1969</v>
      </c>
      <c r="E30" t="s">
        <v>45</v>
      </c>
      <c r="F30">
        <v>1100</v>
      </c>
      <c r="G30">
        <v>220</v>
      </c>
      <c r="H30" t="s">
        <v>2405</v>
      </c>
      <c r="I30" t="s">
        <v>3122</v>
      </c>
    </row>
    <row r="31" spans="1:9" x14ac:dyDescent="0.25">
      <c r="A31">
        <v>30</v>
      </c>
      <c r="B31" t="s">
        <v>1969</v>
      </c>
      <c r="C31" t="s">
        <v>45</v>
      </c>
      <c r="D31" t="s">
        <v>1969</v>
      </c>
      <c r="E31" t="s">
        <v>45</v>
      </c>
      <c r="F31">
        <v>1100</v>
      </c>
      <c r="G31">
        <v>220</v>
      </c>
      <c r="H31" t="s">
        <v>2399</v>
      </c>
      <c r="I31" t="s">
        <v>3123</v>
      </c>
    </row>
    <row r="32" spans="1:9" x14ac:dyDescent="0.25">
      <c r="A32">
        <v>31</v>
      </c>
      <c r="B32" t="s">
        <v>2042</v>
      </c>
      <c r="C32" t="s">
        <v>51</v>
      </c>
      <c r="D32" t="s">
        <v>2042</v>
      </c>
      <c r="E32" t="s">
        <v>51</v>
      </c>
      <c r="F32">
        <v>1200</v>
      </c>
      <c r="G32">
        <v>220</v>
      </c>
      <c r="H32" t="s">
        <v>2399</v>
      </c>
      <c r="I32" t="s">
        <v>3124</v>
      </c>
    </row>
    <row r="33" spans="1:9" x14ac:dyDescent="0.25">
      <c r="A33">
        <v>32</v>
      </c>
      <c r="B33" t="s">
        <v>2042</v>
      </c>
      <c r="C33" t="s">
        <v>45</v>
      </c>
      <c r="D33" t="s">
        <v>2042</v>
      </c>
      <c r="E33" t="s">
        <v>45</v>
      </c>
      <c r="F33">
        <v>1200</v>
      </c>
      <c r="G33">
        <v>220</v>
      </c>
      <c r="H33" t="s">
        <v>2405</v>
      </c>
      <c r="I33" t="s">
        <v>3125</v>
      </c>
    </row>
    <row r="34" spans="1:9" x14ac:dyDescent="0.25">
      <c r="A34">
        <v>33</v>
      </c>
      <c r="B34" t="s">
        <v>2042</v>
      </c>
      <c r="C34" t="s">
        <v>45</v>
      </c>
      <c r="D34" t="s">
        <v>2042</v>
      </c>
      <c r="E34" t="s">
        <v>45</v>
      </c>
      <c r="F34">
        <v>1200</v>
      </c>
      <c r="G34">
        <v>220</v>
      </c>
      <c r="H34" t="s">
        <v>2984</v>
      </c>
      <c r="I34" t="s">
        <v>3126</v>
      </c>
    </row>
    <row r="35" spans="1:9" x14ac:dyDescent="0.25">
      <c r="A35">
        <v>34</v>
      </c>
      <c r="B35" t="s">
        <v>2155</v>
      </c>
      <c r="C35" t="s">
        <v>17</v>
      </c>
      <c r="D35" t="s">
        <v>2155</v>
      </c>
      <c r="E35" t="s">
        <v>17</v>
      </c>
      <c r="F35">
        <v>1600</v>
      </c>
      <c r="G35">
        <v>280</v>
      </c>
      <c r="H35" t="s">
        <v>2405</v>
      </c>
      <c r="I35" t="s">
        <v>3127</v>
      </c>
    </row>
    <row r="36" spans="1:9" x14ac:dyDescent="0.25">
      <c r="A36">
        <v>35</v>
      </c>
      <c r="B36" t="s">
        <v>2155</v>
      </c>
      <c r="C36" t="s">
        <v>17</v>
      </c>
      <c r="D36" t="s">
        <v>2155</v>
      </c>
      <c r="E36" t="s">
        <v>17</v>
      </c>
      <c r="F36">
        <v>1600</v>
      </c>
      <c r="G36">
        <v>280</v>
      </c>
      <c r="H36" t="s">
        <v>2984</v>
      </c>
      <c r="I36" t="s">
        <v>3128</v>
      </c>
    </row>
    <row r="37" spans="1:9" ht="15" customHeight="1" x14ac:dyDescent="0.25">
      <c r="A37">
        <v>36</v>
      </c>
      <c r="B37" t="s">
        <v>2155</v>
      </c>
      <c r="C37" t="s">
        <v>17</v>
      </c>
      <c r="D37" t="s">
        <v>2155</v>
      </c>
      <c r="E37" t="s">
        <v>17</v>
      </c>
      <c r="F37">
        <v>1600</v>
      </c>
      <c r="G37">
        <v>280</v>
      </c>
      <c r="H37" t="s">
        <v>2400</v>
      </c>
      <c r="I37" t="s">
        <v>3129</v>
      </c>
    </row>
    <row r="38" spans="1:9" x14ac:dyDescent="0.25">
      <c r="A38">
        <v>37</v>
      </c>
      <c r="B38" t="s">
        <v>2269</v>
      </c>
      <c r="C38" t="s">
        <v>17</v>
      </c>
      <c r="D38" t="s">
        <v>2269</v>
      </c>
      <c r="E38" t="s">
        <v>17</v>
      </c>
      <c r="F38">
        <v>1800</v>
      </c>
      <c r="G38">
        <v>280</v>
      </c>
      <c r="H38" t="s">
        <v>2400</v>
      </c>
      <c r="I38" t="s">
        <v>3130</v>
      </c>
    </row>
    <row r="39" spans="1:9" x14ac:dyDescent="0.25">
      <c r="A39">
        <v>38</v>
      </c>
      <c r="B39" t="s">
        <v>2269</v>
      </c>
      <c r="C39" t="s">
        <v>17</v>
      </c>
      <c r="D39" t="s">
        <v>2269</v>
      </c>
      <c r="E39" t="s">
        <v>17</v>
      </c>
      <c r="F39">
        <v>1800</v>
      </c>
      <c r="G39">
        <v>280</v>
      </c>
      <c r="H39" t="s">
        <v>2984</v>
      </c>
      <c r="I39" t="s">
        <v>3131</v>
      </c>
    </row>
    <row r="40" spans="1:9" x14ac:dyDescent="0.25">
      <c r="A40">
        <v>39</v>
      </c>
      <c r="B40" t="s">
        <v>2269</v>
      </c>
      <c r="C40" t="s">
        <v>17</v>
      </c>
      <c r="D40" t="s">
        <v>2269</v>
      </c>
      <c r="E40" t="s">
        <v>17</v>
      </c>
      <c r="F40">
        <v>1800</v>
      </c>
      <c r="G40">
        <v>280</v>
      </c>
      <c r="H40" t="s">
        <v>2405</v>
      </c>
      <c r="I40" t="s">
        <v>3132</v>
      </c>
    </row>
    <row r="41" spans="1:9" ht="15" customHeight="1" x14ac:dyDescent="0.25">
      <c r="A41">
        <v>40</v>
      </c>
      <c r="B41" t="s">
        <v>2306</v>
      </c>
      <c r="C41" t="s">
        <v>58</v>
      </c>
      <c r="D41" t="s">
        <v>2306</v>
      </c>
      <c r="E41" t="s">
        <v>58</v>
      </c>
      <c r="F41">
        <v>2100</v>
      </c>
      <c r="G41">
        <v>320</v>
      </c>
      <c r="H41" t="s">
        <v>2405</v>
      </c>
      <c r="I41" t="s">
        <v>3133</v>
      </c>
    </row>
    <row r="42" spans="1:9" x14ac:dyDescent="0.25">
      <c r="A42">
        <v>41</v>
      </c>
      <c r="B42" t="s">
        <v>2306</v>
      </c>
      <c r="C42" t="s">
        <v>58</v>
      </c>
      <c r="D42" t="s">
        <v>2306</v>
      </c>
      <c r="E42" t="s">
        <v>58</v>
      </c>
      <c r="F42">
        <v>2100</v>
      </c>
      <c r="G42">
        <v>320</v>
      </c>
      <c r="H42" t="s">
        <v>2984</v>
      </c>
      <c r="I42" t="s">
        <v>3134</v>
      </c>
    </row>
    <row r="43" spans="1:9" x14ac:dyDescent="0.25">
      <c r="A43">
        <v>42</v>
      </c>
      <c r="B43" t="s">
        <v>2306</v>
      </c>
      <c r="C43" t="s">
        <v>58</v>
      </c>
      <c r="D43" t="s">
        <v>2306</v>
      </c>
      <c r="E43" t="s">
        <v>58</v>
      </c>
      <c r="F43">
        <v>2100</v>
      </c>
      <c r="G43">
        <v>320</v>
      </c>
      <c r="H43" t="s">
        <v>2400</v>
      </c>
      <c r="I43" t="s">
        <v>3135</v>
      </c>
    </row>
    <row r="44" spans="1:9" x14ac:dyDescent="0.25">
      <c r="A44">
        <v>43</v>
      </c>
      <c r="B44" t="s">
        <v>2306</v>
      </c>
      <c r="C44" t="s">
        <v>58</v>
      </c>
      <c r="D44" t="s">
        <v>2306</v>
      </c>
      <c r="E44" t="s">
        <v>58</v>
      </c>
      <c r="F44">
        <v>2100</v>
      </c>
      <c r="G44">
        <v>320</v>
      </c>
      <c r="H44" t="s">
        <v>2398</v>
      </c>
      <c r="I44" t="s">
        <v>3136</v>
      </c>
    </row>
    <row r="45" spans="1:9" x14ac:dyDescent="0.25">
      <c r="A45">
        <v>44</v>
      </c>
      <c r="B45" t="s">
        <v>2985</v>
      </c>
      <c r="C45" t="s">
        <v>58</v>
      </c>
      <c r="D45" t="s">
        <v>2985</v>
      </c>
      <c r="E45" t="s">
        <v>58</v>
      </c>
      <c r="F45">
        <v>2200</v>
      </c>
      <c r="G45">
        <v>320</v>
      </c>
      <c r="H45" t="s">
        <v>2398</v>
      </c>
      <c r="I45">
        <v>1334</v>
      </c>
    </row>
    <row r="46" spans="1:9" x14ac:dyDescent="0.25">
      <c r="A46">
        <v>45</v>
      </c>
      <c r="B46" t="s">
        <v>2985</v>
      </c>
      <c r="C46" t="s">
        <v>58</v>
      </c>
      <c r="D46" t="s">
        <v>2985</v>
      </c>
      <c r="E46" t="s">
        <v>58</v>
      </c>
      <c r="F46">
        <v>2200</v>
      </c>
      <c r="G46">
        <v>320</v>
      </c>
      <c r="H46" t="s">
        <v>2400</v>
      </c>
      <c r="I46" t="s">
        <v>3137</v>
      </c>
    </row>
    <row r="47" spans="1:9" ht="15" customHeight="1" x14ac:dyDescent="0.25">
      <c r="A47">
        <v>46</v>
      </c>
      <c r="B47" t="s">
        <v>2985</v>
      </c>
      <c r="C47" t="s">
        <v>58</v>
      </c>
      <c r="D47" t="s">
        <v>2985</v>
      </c>
      <c r="E47" t="s">
        <v>58</v>
      </c>
      <c r="F47">
        <v>2200</v>
      </c>
      <c r="G47">
        <v>320</v>
      </c>
      <c r="H47" t="s">
        <v>2984</v>
      </c>
      <c r="I47" t="s">
        <v>3138</v>
      </c>
    </row>
    <row r="48" spans="1:9" x14ac:dyDescent="0.25">
      <c r="A48" s="15">
        <v>47</v>
      </c>
      <c r="B48">
        <v>377</v>
      </c>
      <c r="C48">
        <v>9</v>
      </c>
      <c r="D48">
        <v>273</v>
      </c>
      <c r="E48">
        <v>8</v>
      </c>
      <c r="F48" s="17">
        <v>600</v>
      </c>
      <c r="G48" s="16">
        <v>-47</v>
      </c>
      <c r="H48" s="18" t="s">
        <v>2983</v>
      </c>
      <c r="I48" s="15" t="s">
        <v>2830</v>
      </c>
    </row>
    <row r="49" spans="1:9" x14ac:dyDescent="0.25">
      <c r="A49" s="15">
        <v>48</v>
      </c>
      <c r="B49">
        <v>377</v>
      </c>
      <c r="C49">
        <v>9</v>
      </c>
      <c r="D49">
        <v>273</v>
      </c>
      <c r="E49">
        <v>8</v>
      </c>
      <c r="F49" s="17">
        <v>600</v>
      </c>
      <c r="G49" s="18">
        <v>-47</v>
      </c>
      <c r="H49" s="15" t="s">
        <v>2399</v>
      </c>
      <c r="I49" s="15">
        <v>63</v>
      </c>
    </row>
    <row r="50" spans="1:9" x14ac:dyDescent="0.25">
      <c r="A50" s="15"/>
      <c r="F50" s="17"/>
      <c r="G50" s="16"/>
      <c r="H50" s="19"/>
      <c r="I50" s="15"/>
    </row>
    <row r="51" spans="1:9" x14ac:dyDescent="0.25">
      <c r="A51" s="15"/>
      <c r="F51" s="18"/>
      <c r="G51" s="18"/>
      <c r="H51" s="19"/>
      <c r="I51" s="15"/>
    </row>
    <row r="52" spans="1:9" ht="15" customHeight="1" x14ac:dyDescent="0.25">
      <c r="A52" s="15"/>
      <c r="F52" s="16"/>
      <c r="G52" s="16"/>
      <c r="H52" s="16"/>
      <c r="I52" s="16"/>
    </row>
    <row r="53" spans="1:9" x14ac:dyDescent="0.25">
      <c r="A53" s="15"/>
      <c r="F53" s="17"/>
      <c r="G53" s="17"/>
      <c r="H53" s="17"/>
      <c r="I53" s="18"/>
    </row>
    <row r="54" spans="1:9" x14ac:dyDescent="0.25">
      <c r="A54" s="15"/>
      <c r="F54" s="17"/>
      <c r="G54" s="17"/>
      <c r="H54" s="17"/>
      <c r="I54" s="15"/>
    </row>
    <row r="55" spans="1:9" x14ac:dyDescent="0.25">
      <c r="A55" s="15"/>
      <c r="F55" s="17"/>
      <c r="G55" s="17"/>
      <c r="H55" s="17"/>
      <c r="I55" s="15"/>
    </row>
    <row r="56" spans="1:9" x14ac:dyDescent="0.25">
      <c r="A56" s="15"/>
      <c r="F56" s="17"/>
      <c r="G56" s="18"/>
      <c r="H56" s="17"/>
      <c r="I56" s="15"/>
    </row>
    <row r="57" spans="1:9" x14ac:dyDescent="0.25">
      <c r="A57" s="15"/>
      <c r="F57" s="18"/>
      <c r="G57" s="16"/>
      <c r="H57" s="17"/>
      <c r="I57" s="15"/>
    </row>
    <row r="58" spans="1:9" ht="15" customHeight="1" x14ac:dyDescent="0.25">
      <c r="A58" s="15"/>
      <c r="F58" s="16"/>
      <c r="G58" s="18"/>
      <c r="H58" s="17"/>
      <c r="I58" s="15"/>
    </row>
    <row r="59" spans="1:9" x14ac:dyDescent="0.25">
      <c r="A59" s="15"/>
      <c r="F59" s="18"/>
      <c r="G59" s="15"/>
      <c r="H59" s="17"/>
      <c r="I59" s="15"/>
    </row>
    <row r="60" spans="1:9" ht="15" customHeight="1" x14ac:dyDescent="0.25">
      <c r="A60" s="15"/>
      <c r="F60" s="16"/>
      <c r="G60" s="16"/>
      <c r="H60" s="17"/>
      <c r="I60" s="15"/>
    </row>
    <row r="61" spans="1:9" x14ac:dyDescent="0.25">
      <c r="A61" s="15"/>
      <c r="F61" s="17"/>
      <c r="G61" s="17"/>
      <c r="H61" s="18"/>
      <c r="I61" s="15"/>
    </row>
    <row r="62" spans="1:9" x14ac:dyDescent="0.25">
      <c r="A62" s="15"/>
      <c r="F62" s="17"/>
      <c r="G62" s="17"/>
      <c r="H62" s="15"/>
      <c r="I62" s="15"/>
    </row>
    <row r="63" spans="1:9" x14ac:dyDescent="0.25">
      <c r="A63" s="15"/>
      <c r="F63" s="18"/>
      <c r="G63" s="18"/>
      <c r="H63" s="15"/>
      <c r="I63" s="15"/>
    </row>
    <row r="64" spans="1:9" ht="15" customHeight="1" x14ac:dyDescent="0.25">
      <c r="A64" s="15"/>
      <c r="F64" s="16"/>
      <c r="G64" s="16"/>
      <c r="H64" s="15"/>
      <c r="I64" s="15"/>
    </row>
    <row r="65" spans="1:9" x14ac:dyDescent="0.25">
      <c r="A65" s="15"/>
      <c r="F65" s="17"/>
      <c r="G65" s="17"/>
      <c r="H65" s="15"/>
      <c r="I65" s="15"/>
    </row>
    <row r="66" spans="1:9" x14ac:dyDescent="0.25">
      <c r="A66" s="15"/>
      <c r="F66" s="17"/>
      <c r="G66" s="17"/>
      <c r="H66" s="15"/>
      <c r="I66" s="15"/>
    </row>
    <row r="67" spans="1:9" x14ac:dyDescent="0.25">
      <c r="A67" s="15"/>
      <c r="F67" s="17"/>
      <c r="G67" s="17"/>
      <c r="H67" s="15"/>
      <c r="I67" s="15"/>
    </row>
    <row r="68" spans="1:9" x14ac:dyDescent="0.25">
      <c r="A68" s="15"/>
      <c r="F68" s="17"/>
      <c r="G68" s="17"/>
      <c r="H68" s="19"/>
      <c r="I68" s="15"/>
    </row>
    <row r="69" spans="1:9" x14ac:dyDescent="0.25">
      <c r="A69" s="15"/>
      <c r="F69" s="18"/>
      <c r="G69" s="18"/>
      <c r="H69" s="19"/>
      <c r="I69" s="15"/>
    </row>
    <row r="70" spans="1:9" ht="15" customHeight="1" x14ac:dyDescent="0.25">
      <c r="A70" s="15"/>
      <c r="F70" s="16"/>
      <c r="G70" s="16"/>
      <c r="H70" s="16"/>
      <c r="I70" s="15"/>
    </row>
    <row r="71" spans="1:9" x14ac:dyDescent="0.25">
      <c r="A71" s="15"/>
      <c r="F71" s="18"/>
      <c r="G71" s="18"/>
      <c r="H71" s="17"/>
      <c r="I71" s="15"/>
    </row>
    <row r="72" spans="1:9" ht="15" customHeight="1" x14ac:dyDescent="0.25">
      <c r="A72" s="15"/>
      <c r="F72" s="16"/>
      <c r="G72" s="16"/>
      <c r="H72" s="17"/>
      <c r="I72" s="15"/>
    </row>
    <row r="73" spans="1:9" x14ac:dyDescent="0.25">
      <c r="A73" s="15"/>
      <c r="F73" s="18"/>
      <c r="G73" s="18"/>
      <c r="H73" s="17"/>
      <c r="I73" s="15"/>
    </row>
    <row r="74" spans="1:9" ht="15" customHeight="1" x14ac:dyDescent="0.25">
      <c r="A74" s="15"/>
      <c r="F74" s="16"/>
      <c r="G74" s="16"/>
      <c r="H74" s="18"/>
      <c r="I74" s="15"/>
    </row>
    <row r="75" spans="1:9" x14ac:dyDescent="0.25">
      <c r="A75" s="15"/>
      <c r="F75" s="17"/>
      <c r="G75" s="17"/>
      <c r="H75" s="15"/>
      <c r="I75" s="15"/>
    </row>
    <row r="76" spans="1:9" x14ac:dyDescent="0.25">
      <c r="A76" s="15"/>
      <c r="F76" s="17"/>
      <c r="G76" s="17"/>
      <c r="H76" s="15"/>
      <c r="I76" s="16"/>
    </row>
    <row r="77" spans="1:9" x14ac:dyDescent="0.25">
      <c r="A77" s="15"/>
      <c r="F77" s="17"/>
      <c r="G77" s="18"/>
      <c r="H77" s="19"/>
      <c r="I77" s="15"/>
    </row>
    <row r="78" spans="1:9" x14ac:dyDescent="0.25">
      <c r="A78" s="15"/>
      <c r="F78" s="17"/>
      <c r="G78" s="16"/>
      <c r="H78" s="19"/>
      <c r="I78" s="16"/>
    </row>
    <row r="79" spans="1:9" x14ac:dyDescent="0.25">
      <c r="A79" s="15"/>
      <c r="F79" s="18"/>
      <c r="G79" s="18"/>
      <c r="H79" s="16"/>
      <c r="I79" s="15"/>
    </row>
    <row r="80" spans="1:9" x14ac:dyDescent="0.25">
      <c r="A80" s="15"/>
      <c r="F80" s="16"/>
      <c r="G80" s="16"/>
      <c r="H80" s="17"/>
      <c r="I80" s="15"/>
    </row>
    <row r="81" spans="1:9" x14ac:dyDescent="0.25">
      <c r="A81" s="15"/>
      <c r="F81" s="18"/>
      <c r="G81" s="18"/>
      <c r="H81" s="18"/>
      <c r="I81" s="15"/>
    </row>
    <row r="82" spans="1:9" x14ac:dyDescent="0.25">
      <c r="A82" s="15"/>
      <c r="F82" s="16"/>
      <c r="G82" s="16"/>
      <c r="H82" s="15"/>
      <c r="I82" s="15"/>
    </row>
    <row r="83" spans="1:9" x14ac:dyDescent="0.25">
      <c r="A83" s="15"/>
      <c r="F83" s="17"/>
      <c r="G83" s="17"/>
      <c r="H83" s="15"/>
      <c r="I83" s="15"/>
    </row>
    <row r="84" spans="1:9" ht="15" customHeight="1" x14ac:dyDescent="0.25">
      <c r="A84" s="15"/>
      <c r="F84" s="17"/>
      <c r="G84" s="17"/>
      <c r="H84" s="15"/>
      <c r="I84" s="15"/>
    </row>
    <row r="85" spans="1:9" x14ac:dyDescent="0.25">
      <c r="A85" s="15"/>
      <c r="F85" s="18"/>
      <c r="G85" s="18"/>
      <c r="H85" s="15"/>
      <c r="I85" s="15"/>
    </row>
    <row r="86" spans="1:9" ht="15" customHeight="1" x14ac:dyDescent="0.25">
      <c r="A86" s="15"/>
      <c r="F86" s="16"/>
      <c r="G86" s="16"/>
      <c r="H86" s="15"/>
      <c r="I86" s="15"/>
    </row>
    <row r="87" spans="1:9" x14ac:dyDescent="0.25">
      <c r="A87" s="15"/>
      <c r="F87" s="17"/>
      <c r="G87" s="17"/>
      <c r="H87" s="15"/>
      <c r="I87" s="15"/>
    </row>
    <row r="88" spans="1:9" x14ac:dyDescent="0.25">
      <c r="A88" s="15"/>
      <c r="F88" s="17"/>
      <c r="G88" s="17"/>
      <c r="H88" s="15"/>
      <c r="I88" s="15"/>
    </row>
    <row r="89" spans="1:9" x14ac:dyDescent="0.25">
      <c r="A89" s="15"/>
      <c r="F89" s="17"/>
      <c r="G89" s="17"/>
      <c r="H89" s="19"/>
      <c r="I89" s="15"/>
    </row>
    <row r="90" spans="1:9" ht="15" customHeight="1" x14ac:dyDescent="0.25">
      <c r="A90" s="15"/>
      <c r="F90" s="18"/>
      <c r="G90" s="18"/>
      <c r="H90" s="19"/>
      <c r="I90" s="15"/>
    </row>
    <row r="91" spans="1:9" x14ac:dyDescent="0.25">
      <c r="A91" s="15"/>
      <c r="F91" s="16"/>
      <c r="G91" s="16"/>
      <c r="H91" s="16"/>
      <c r="I91" s="15"/>
    </row>
    <row r="92" spans="1:9" x14ac:dyDescent="0.25">
      <c r="A92" s="15"/>
      <c r="F92" s="17"/>
      <c r="G92" s="17"/>
      <c r="H92" s="17"/>
      <c r="I92" s="15"/>
    </row>
    <row r="93" spans="1:9" x14ac:dyDescent="0.25">
      <c r="A93" s="15"/>
      <c r="F93" s="17"/>
      <c r="G93" s="18"/>
      <c r="H93" s="17"/>
      <c r="I93" s="15"/>
    </row>
    <row r="94" spans="1:9" x14ac:dyDescent="0.25">
      <c r="A94" s="15"/>
      <c r="F94" s="18"/>
      <c r="G94" s="16"/>
      <c r="H94" s="17"/>
      <c r="I94" s="15"/>
    </row>
    <row r="95" spans="1:9" ht="15" customHeight="1" x14ac:dyDescent="0.25">
      <c r="A95" s="15"/>
      <c r="F95" s="16"/>
      <c r="G95" s="17"/>
      <c r="H95" s="18"/>
      <c r="I95" s="16"/>
    </row>
    <row r="96" spans="1:9" x14ac:dyDescent="0.25">
      <c r="A96" s="15"/>
      <c r="F96" s="17"/>
      <c r="G96" s="15"/>
      <c r="H96" s="16"/>
      <c r="I96" s="15"/>
    </row>
    <row r="97" spans="1:9" x14ac:dyDescent="0.25">
      <c r="A97" s="15"/>
      <c r="F97" s="17"/>
      <c r="G97" s="15"/>
      <c r="H97" s="18"/>
      <c r="I97" s="15"/>
    </row>
    <row r="98" spans="1:9" x14ac:dyDescent="0.25">
      <c r="A98" s="15"/>
      <c r="F98" s="17"/>
      <c r="G98" s="16"/>
      <c r="H98" s="16"/>
      <c r="I98" s="16"/>
    </row>
    <row r="99" spans="1:9" ht="15" customHeight="1" x14ac:dyDescent="0.25">
      <c r="A99" s="15"/>
      <c r="F99" s="17"/>
      <c r="G99" s="17"/>
      <c r="H99" s="18"/>
      <c r="I99" s="15"/>
    </row>
    <row r="100" spans="1:9" x14ac:dyDescent="0.25">
      <c r="A100" s="15"/>
      <c r="F100" s="18"/>
      <c r="G100" s="18"/>
      <c r="H100" s="15"/>
      <c r="I100" s="15"/>
    </row>
    <row r="101" spans="1:9" x14ac:dyDescent="0.25">
      <c r="A101" s="15"/>
      <c r="F101" s="16"/>
      <c r="G101" s="16"/>
      <c r="H101" s="15"/>
      <c r="I101" s="16"/>
    </row>
    <row r="102" spans="1:9" x14ac:dyDescent="0.25">
      <c r="A102" s="15"/>
      <c r="F102" s="17"/>
      <c r="G102" s="17"/>
      <c r="H102" s="15"/>
      <c r="I102" s="15"/>
    </row>
    <row r="103" spans="1:9" x14ac:dyDescent="0.25">
      <c r="A103" s="15"/>
      <c r="F103" s="17"/>
      <c r="G103" s="17"/>
      <c r="H103" s="15"/>
      <c r="I103" s="15"/>
    </row>
    <row r="104" spans="1:9" x14ac:dyDescent="0.25">
      <c r="A104" s="15"/>
      <c r="F104" s="17"/>
      <c r="G104" s="18"/>
      <c r="H104" s="15"/>
      <c r="I104" s="15"/>
    </row>
    <row r="105" spans="1:9" x14ac:dyDescent="0.25">
      <c r="A105" s="15"/>
      <c r="F105" s="17"/>
      <c r="G105" s="16"/>
      <c r="H105" s="15"/>
      <c r="I105" s="15"/>
    </row>
    <row r="106" spans="1:9" x14ac:dyDescent="0.25">
      <c r="A106" s="15"/>
      <c r="F106" s="17"/>
      <c r="G106" s="17"/>
      <c r="H106" s="19"/>
      <c r="I106" s="15"/>
    </row>
    <row r="107" spans="1:9" x14ac:dyDescent="0.25">
      <c r="A107" s="15"/>
      <c r="F107" s="18"/>
      <c r="G107" s="18"/>
      <c r="H107" s="19"/>
      <c r="I107" s="15"/>
    </row>
    <row r="108" spans="1:9" ht="15" customHeight="1" x14ac:dyDescent="0.25">
      <c r="A108" s="15"/>
      <c r="F108" s="16"/>
      <c r="G108" s="16"/>
      <c r="H108" s="16"/>
      <c r="I108" s="16"/>
    </row>
    <row r="109" spans="1:9" x14ac:dyDescent="0.25">
      <c r="A109" s="15"/>
      <c r="F109" s="16"/>
      <c r="G109" s="17"/>
      <c r="H109" s="18"/>
      <c r="I109" s="15"/>
    </row>
    <row r="110" spans="1:9" x14ac:dyDescent="0.25">
      <c r="A110" s="15"/>
      <c r="F110" s="17"/>
      <c r="G110" s="18"/>
      <c r="H110" s="15"/>
      <c r="I110" s="15"/>
    </row>
    <row r="111" spans="1:9" x14ac:dyDescent="0.25">
      <c r="A111" s="15"/>
      <c r="F111" s="17"/>
      <c r="G111" s="16"/>
      <c r="H111" s="15"/>
      <c r="I111" s="16"/>
    </row>
    <row r="112" spans="1:9" x14ac:dyDescent="0.25">
      <c r="A112" s="15"/>
      <c r="F112" s="17"/>
      <c r="G112" s="17"/>
      <c r="H112" s="15"/>
      <c r="I112" s="15"/>
    </row>
    <row r="113" spans="1:9" x14ac:dyDescent="0.25">
      <c r="A113" s="15"/>
      <c r="F113" s="17"/>
      <c r="G113" s="17"/>
      <c r="H113" s="15"/>
      <c r="I113" s="16"/>
    </row>
    <row r="114" spans="1:9" x14ac:dyDescent="0.25">
      <c r="A114" s="15"/>
      <c r="F114" s="18"/>
      <c r="G114" s="18"/>
      <c r="H114" s="15"/>
      <c r="I114" s="15"/>
    </row>
    <row r="115" spans="1:9" x14ac:dyDescent="0.25">
      <c r="A115" s="15"/>
      <c r="F115" s="16"/>
      <c r="G115" s="16"/>
      <c r="H115" s="15"/>
      <c r="I115" s="16"/>
    </row>
    <row r="116" spans="1:9" x14ac:dyDescent="0.25">
      <c r="A116" s="15"/>
      <c r="F116" s="17"/>
      <c r="G116" s="18"/>
      <c r="H116" s="15"/>
      <c r="I116" s="15"/>
    </row>
    <row r="117" spans="1:9" ht="15" customHeight="1" x14ac:dyDescent="0.25">
      <c r="A117" s="15"/>
      <c r="F117" s="17"/>
      <c r="G117" s="16"/>
      <c r="H117" s="15"/>
      <c r="I117" s="16"/>
    </row>
    <row r="118" spans="1:9" x14ac:dyDescent="0.25">
      <c r="A118" s="15"/>
      <c r="F118" s="17"/>
      <c r="G118" s="16"/>
      <c r="H118" s="15"/>
      <c r="I118" s="15"/>
    </row>
    <row r="119" spans="1:9" ht="15" customHeight="1" x14ac:dyDescent="0.25">
      <c r="A119" s="15"/>
      <c r="F119" s="17"/>
      <c r="G119" s="17"/>
      <c r="H119" s="15"/>
      <c r="I119" s="16"/>
    </row>
    <row r="120" spans="1:9" x14ac:dyDescent="0.25">
      <c r="A120" s="15"/>
      <c r="F120" s="17"/>
      <c r="G120" s="17"/>
      <c r="H120" s="15"/>
      <c r="I120" s="16"/>
    </row>
    <row r="121" spans="1:9" x14ac:dyDescent="0.25">
      <c r="A121" s="15"/>
      <c r="F121" s="18"/>
      <c r="G121" s="17"/>
      <c r="H121" s="15"/>
      <c r="I121" s="15"/>
    </row>
    <row r="122" spans="1:9" x14ac:dyDescent="0.25">
      <c r="A122" s="15"/>
      <c r="F122" s="16"/>
      <c r="G122" s="17"/>
      <c r="H122" s="15"/>
      <c r="I122" s="16"/>
    </row>
    <row r="123" spans="1:9" x14ac:dyDescent="0.25">
      <c r="A123" s="15"/>
      <c r="F123" s="17"/>
      <c r="G123" s="17"/>
      <c r="H123" s="15"/>
      <c r="I123" s="16"/>
    </row>
    <row r="124" spans="1:9" x14ac:dyDescent="0.25">
      <c r="A124" s="15"/>
      <c r="F124" s="18"/>
      <c r="G124" s="18"/>
      <c r="H124" s="15"/>
      <c r="I124" s="15"/>
    </row>
    <row r="125" spans="1:9" x14ac:dyDescent="0.25">
      <c r="A125" s="15"/>
      <c r="F125" s="16"/>
      <c r="G125" s="16"/>
      <c r="H125" s="15"/>
      <c r="I125" s="16"/>
    </row>
    <row r="126" spans="1:9" x14ac:dyDescent="0.25">
      <c r="A126" s="15"/>
      <c r="F126" s="17"/>
      <c r="G126" s="17"/>
      <c r="H126" s="15"/>
      <c r="I126" s="15"/>
    </row>
    <row r="127" spans="1:9" x14ac:dyDescent="0.25">
      <c r="A127" s="15"/>
      <c r="F127" s="17"/>
      <c r="G127" s="17"/>
      <c r="H127" s="15"/>
      <c r="I127" s="16"/>
    </row>
    <row r="128" spans="1:9" x14ac:dyDescent="0.25">
      <c r="A128" s="15"/>
      <c r="F128" s="17"/>
      <c r="G128" s="18"/>
      <c r="H128" s="15"/>
      <c r="I128" s="15"/>
    </row>
    <row r="129" spans="1:9" ht="15" customHeight="1" x14ac:dyDescent="0.25">
      <c r="A129" s="15"/>
      <c r="F129" s="17"/>
      <c r="G129" s="16"/>
      <c r="H129" s="15"/>
      <c r="I129" s="16"/>
    </row>
    <row r="130" spans="1:9" x14ac:dyDescent="0.25">
      <c r="A130" s="15"/>
      <c r="F130" s="17"/>
      <c r="G130" s="17"/>
      <c r="H130" s="15"/>
      <c r="I130" s="15"/>
    </row>
    <row r="131" spans="1:9" x14ac:dyDescent="0.25">
      <c r="A131" s="15"/>
      <c r="F131" s="17"/>
      <c r="G131" s="17"/>
      <c r="H131" s="15"/>
      <c r="I131" s="16"/>
    </row>
    <row r="132" spans="1:9" x14ac:dyDescent="0.25">
      <c r="A132" s="15"/>
      <c r="F132" s="18"/>
      <c r="G132" s="18"/>
      <c r="H132" s="15"/>
      <c r="I132" s="15"/>
    </row>
    <row r="133" spans="1:9" x14ac:dyDescent="0.25">
      <c r="A133" s="15"/>
      <c r="F133" s="16"/>
      <c r="G133" s="16"/>
      <c r="H133" s="15"/>
      <c r="I133" s="16"/>
    </row>
    <row r="134" spans="1:9" x14ac:dyDescent="0.25">
      <c r="A134" s="15"/>
      <c r="F134" s="17"/>
      <c r="G134" s="17"/>
      <c r="H134" s="15"/>
      <c r="I134" s="15"/>
    </row>
    <row r="135" spans="1:9" x14ac:dyDescent="0.25">
      <c r="A135" s="15"/>
      <c r="F135" s="17"/>
      <c r="G135" s="17"/>
      <c r="H135" s="15"/>
      <c r="I135" s="16"/>
    </row>
    <row r="136" spans="1:9" x14ac:dyDescent="0.25">
      <c r="A136" s="15"/>
      <c r="F136" s="17"/>
      <c r="G136" s="17"/>
      <c r="H136" s="15"/>
      <c r="I136" s="15"/>
    </row>
    <row r="137" spans="1:9" x14ac:dyDescent="0.25">
      <c r="A137" s="15"/>
      <c r="F137" s="17"/>
      <c r="G137" s="18"/>
      <c r="H137" s="15"/>
      <c r="I137" s="15"/>
    </row>
    <row r="138" spans="1:9" x14ac:dyDescent="0.25">
      <c r="A138" s="15"/>
      <c r="F138" s="17"/>
      <c r="G138" s="16"/>
      <c r="H138" s="15"/>
      <c r="I138" s="16"/>
    </row>
    <row r="139" spans="1:9" x14ac:dyDescent="0.25">
      <c r="A139" s="15"/>
      <c r="F139" s="18"/>
      <c r="G139" s="17"/>
      <c r="H139" s="15"/>
      <c r="I139" s="15"/>
    </row>
    <row r="140" spans="1:9" x14ac:dyDescent="0.25">
      <c r="A140" s="15"/>
      <c r="F140" s="15"/>
      <c r="G140" s="17"/>
      <c r="H140" s="15"/>
      <c r="I140" s="15"/>
    </row>
    <row r="141" spans="1:9" x14ac:dyDescent="0.25">
      <c r="A141" s="15"/>
      <c r="F141" s="16"/>
      <c r="G141" s="17"/>
      <c r="H141" s="15"/>
      <c r="I141" s="16"/>
    </row>
    <row r="142" spans="1:9" x14ac:dyDescent="0.25">
      <c r="A142" s="15"/>
      <c r="F142" s="17"/>
      <c r="G142" s="17"/>
      <c r="H142" s="15"/>
      <c r="I142" s="16"/>
    </row>
    <row r="143" spans="1:9" ht="15" customHeight="1" x14ac:dyDescent="0.25">
      <c r="A143" s="15"/>
      <c r="F143" s="17"/>
      <c r="G143" s="17"/>
      <c r="H143" s="15"/>
      <c r="I143" s="15"/>
    </row>
    <row r="144" spans="1:9" x14ac:dyDescent="0.25">
      <c r="A144" s="15"/>
      <c r="F144" s="17"/>
      <c r="G144" s="17"/>
      <c r="H144" s="15"/>
      <c r="I144" s="16"/>
    </row>
    <row r="145" spans="1:9" x14ac:dyDescent="0.25">
      <c r="A145" s="15"/>
      <c r="F145" s="17"/>
      <c r="G145" s="17"/>
      <c r="H145" s="19"/>
      <c r="I145" s="16"/>
    </row>
    <row r="146" spans="1:9" x14ac:dyDescent="0.25">
      <c r="A146" s="15"/>
      <c r="F146" s="18"/>
      <c r="G146" s="17"/>
      <c r="H146" s="19"/>
      <c r="I146" s="15"/>
    </row>
    <row r="147" spans="1:9" x14ac:dyDescent="0.25">
      <c r="A147" s="15"/>
      <c r="F147" s="16"/>
      <c r="G147" s="17"/>
      <c r="H147" s="16"/>
      <c r="I147" s="16"/>
    </row>
    <row r="148" spans="1:9" x14ac:dyDescent="0.25">
      <c r="A148" s="15"/>
      <c r="F148" s="17"/>
      <c r="G148" s="15"/>
      <c r="H148" s="18"/>
      <c r="I148" s="15"/>
    </row>
    <row r="149" spans="1:9" x14ac:dyDescent="0.25">
      <c r="A149" s="15"/>
      <c r="F149" s="17"/>
      <c r="G149" s="15"/>
      <c r="H149" s="15"/>
      <c r="I149" s="15"/>
    </row>
    <row r="150" spans="1:9" ht="15" customHeight="1" x14ac:dyDescent="0.25">
      <c r="A150" s="15"/>
      <c r="F150" s="17"/>
      <c r="G150" s="16"/>
      <c r="H150" s="15"/>
      <c r="I150" s="16"/>
    </row>
    <row r="151" spans="1:9" x14ac:dyDescent="0.25">
      <c r="A151" s="15"/>
      <c r="F151" s="17"/>
      <c r="G151" s="16"/>
      <c r="H151" s="15"/>
      <c r="I151" s="15"/>
    </row>
    <row r="152" spans="1:9" x14ac:dyDescent="0.25">
      <c r="A152" s="15"/>
      <c r="F152" s="17"/>
      <c r="G152" s="17"/>
      <c r="H152" s="15"/>
      <c r="I152" s="16"/>
    </row>
    <row r="153" spans="1:9" x14ac:dyDescent="0.25">
      <c r="A153" s="15"/>
      <c r="F153" s="17"/>
      <c r="G153" s="17"/>
      <c r="H153" s="15"/>
      <c r="I153" s="15"/>
    </row>
    <row r="154" spans="1:9" x14ac:dyDescent="0.25">
      <c r="A154" s="15"/>
      <c r="F154" s="17"/>
      <c r="G154" s="17"/>
      <c r="H154" s="15"/>
      <c r="I154" s="16"/>
    </row>
    <row r="155" spans="1:9" x14ac:dyDescent="0.25">
      <c r="A155" s="15"/>
      <c r="F155" s="18"/>
      <c r="G155" s="18"/>
      <c r="H155" s="15"/>
      <c r="I155" s="15"/>
    </row>
    <row r="156" spans="1:9" x14ac:dyDescent="0.25">
      <c r="A156" s="15"/>
      <c r="F156" s="16"/>
      <c r="G156" s="16"/>
      <c r="H156" s="15"/>
      <c r="I156" s="16"/>
    </row>
    <row r="157" spans="1:9" x14ac:dyDescent="0.25">
      <c r="A157" s="15"/>
      <c r="F157" s="17"/>
      <c r="G157" s="17"/>
      <c r="H157" s="15"/>
      <c r="I157" s="15"/>
    </row>
    <row r="158" spans="1:9" x14ac:dyDescent="0.25">
      <c r="A158" s="15"/>
      <c r="F158" s="17"/>
      <c r="G158" s="17"/>
      <c r="H158" s="15"/>
      <c r="I158" s="16"/>
    </row>
    <row r="159" spans="1:9" x14ac:dyDescent="0.25">
      <c r="A159" s="15"/>
      <c r="F159" s="17"/>
      <c r="G159" s="17"/>
      <c r="H159" s="15"/>
      <c r="I159" s="16"/>
    </row>
    <row r="160" spans="1:9" x14ac:dyDescent="0.25">
      <c r="A160" s="15"/>
      <c r="F160" s="17"/>
      <c r="G160" s="18"/>
      <c r="H160" s="15"/>
      <c r="I160" s="15"/>
    </row>
    <row r="161" spans="1:9" x14ac:dyDescent="0.25">
      <c r="A161" s="15"/>
      <c r="F161" s="17"/>
      <c r="G161" s="16"/>
      <c r="H161" s="15"/>
      <c r="I161" s="16"/>
    </row>
    <row r="162" spans="1:9" x14ac:dyDescent="0.25">
      <c r="A162" s="15"/>
      <c r="F162" s="17"/>
      <c r="G162" s="17"/>
      <c r="H162" s="15"/>
      <c r="I162" s="16"/>
    </row>
    <row r="163" spans="1:9" x14ac:dyDescent="0.25">
      <c r="A163" s="15"/>
      <c r="F163" s="18"/>
      <c r="G163" s="17"/>
      <c r="H163" s="15"/>
      <c r="I163" s="15"/>
    </row>
    <row r="164" spans="1:9" x14ac:dyDescent="0.25">
      <c r="A164" s="15"/>
      <c r="F164" s="16"/>
      <c r="G164" s="17"/>
      <c r="H164" s="15"/>
      <c r="I164" s="16"/>
    </row>
    <row r="165" spans="1:9" x14ac:dyDescent="0.25">
      <c r="A165" s="15"/>
      <c r="F165" s="17"/>
      <c r="G165" s="17"/>
      <c r="H165" s="15"/>
      <c r="I165" s="16"/>
    </row>
    <row r="166" spans="1:9" ht="15" customHeight="1" x14ac:dyDescent="0.25">
      <c r="A166" s="15"/>
      <c r="F166" s="17"/>
      <c r="G166" s="17"/>
      <c r="H166" s="15"/>
      <c r="I166" s="15"/>
    </row>
    <row r="167" spans="1:9" x14ac:dyDescent="0.25">
      <c r="A167" s="15"/>
      <c r="F167" s="17"/>
      <c r="G167" s="17"/>
      <c r="H167" s="15"/>
      <c r="I167" s="16"/>
    </row>
    <row r="168" spans="1:9" x14ac:dyDescent="0.25">
      <c r="A168" s="15"/>
      <c r="F168" s="17"/>
      <c r="G168" s="17"/>
      <c r="H168" s="15"/>
      <c r="I168" s="15"/>
    </row>
    <row r="169" spans="1:9" x14ac:dyDescent="0.25">
      <c r="A169" s="15"/>
      <c r="F169" s="18"/>
      <c r="G169" s="18"/>
      <c r="H169" s="15"/>
      <c r="I169" s="15"/>
    </row>
    <row r="170" spans="1:9" ht="15" customHeight="1" x14ac:dyDescent="0.25">
      <c r="A170" s="15"/>
      <c r="F170" s="16"/>
      <c r="G170" s="16"/>
      <c r="H170" s="19"/>
      <c r="I170" s="16"/>
    </row>
    <row r="171" spans="1:9" x14ac:dyDescent="0.25">
      <c r="A171" s="15"/>
      <c r="F171" s="17"/>
      <c r="G171" s="17"/>
      <c r="H171" s="19"/>
      <c r="I171" s="16"/>
    </row>
    <row r="172" spans="1:9" x14ac:dyDescent="0.25">
      <c r="A172" s="15"/>
      <c r="F172" s="16"/>
      <c r="G172" s="16"/>
      <c r="H172" s="16"/>
      <c r="I172" s="15"/>
    </row>
    <row r="173" spans="1:9" x14ac:dyDescent="0.25">
      <c r="A173" s="15"/>
      <c r="F173" s="17"/>
      <c r="G173" s="18"/>
      <c r="H173" s="17"/>
      <c r="I173" s="15"/>
    </row>
    <row r="174" spans="1:9" x14ac:dyDescent="0.25">
      <c r="A174" s="15"/>
      <c r="F174" s="17"/>
      <c r="G174" s="16"/>
      <c r="H174" s="18"/>
      <c r="I174" s="15"/>
    </row>
    <row r="175" spans="1:9" x14ac:dyDescent="0.25">
      <c r="A175" s="15"/>
      <c r="F175" s="17"/>
      <c r="G175" s="17"/>
      <c r="H175" s="15"/>
      <c r="I175" s="15"/>
    </row>
    <row r="176" spans="1:9" x14ac:dyDescent="0.25">
      <c r="A176" s="15"/>
      <c r="F176" s="17"/>
      <c r="G176" s="17"/>
      <c r="H176" s="15"/>
      <c r="I176" s="15"/>
    </row>
    <row r="177" spans="1:9" x14ac:dyDescent="0.25">
      <c r="A177" s="15"/>
      <c r="F177" s="18"/>
      <c r="G177" s="18"/>
      <c r="H177" s="15"/>
      <c r="I177" s="15"/>
    </row>
    <row r="178" spans="1:9" x14ac:dyDescent="0.25">
      <c r="A178" s="15"/>
      <c r="F178" s="16"/>
      <c r="G178" s="16"/>
      <c r="H178" s="15"/>
      <c r="I178" s="15"/>
    </row>
    <row r="179" spans="1:9" x14ac:dyDescent="0.25">
      <c r="A179" s="15"/>
      <c r="F179" s="17"/>
      <c r="G179" s="17"/>
      <c r="H179" s="15"/>
      <c r="I179" s="15"/>
    </row>
    <row r="180" spans="1:9" ht="15" customHeight="1" x14ac:dyDescent="0.25">
      <c r="A180" s="15"/>
      <c r="F180" s="17"/>
      <c r="G180" s="17"/>
      <c r="H180" s="15"/>
      <c r="I180" s="15"/>
    </row>
    <row r="181" spans="1:9" x14ac:dyDescent="0.25">
      <c r="A181" s="15"/>
      <c r="F181" s="17"/>
      <c r="G181" s="18"/>
      <c r="H181" s="15"/>
      <c r="I181" s="15"/>
    </row>
    <row r="182" spans="1:9" x14ac:dyDescent="0.25">
      <c r="A182" s="15"/>
      <c r="F182" s="17"/>
      <c r="G182" s="16"/>
      <c r="H182" s="15"/>
      <c r="I182" s="15"/>
    </row>
    <row r="183" spans="1:9" x14ac:dyDescent="0.25">
      <c r="A183" s="15"/>
      <c r="F183" s="17"/>
      <c r="G183" s="17"/>
      <c r="H183" s="15"/>
      <c r="I183" s="15"/>
    </row>
    <row r="184" spans="1:9" x14ac:dyDescent="0.25">
      <c r="A184" s="15"/>
      <c r="F184" s="18"/>
      <c r="G184" s="17"/>
      <c r="H184" s="15"/>
      <c r="I184" s="15"/>
    </row>
    <row r="185" spans="1:9" x14ac:dyDescent="0.25">
      <c r="A185" s="15"/>
      <c r="F185" s="16"/>
      <c r="G185" s="17"/>
      <c r="H185" s="15"/>
      <c r="I185" s="16"/>
    </row>
    <row r="186" spans="1:9" x14ac:dyDescent="0.25">
      <c r="A186" s="15"/>
      <c r="F186" s="17"/>
      <c r="G186" s="17"/>
      <c r="H186" s="15"/>
      <c r="I186" s="16"/>
    </row>
    <row r="187" spans="1:9" x14ac:dyDescent="0.25">
      <c r="A187" s="15"/>
      <c r="F187" s="17"/>
      <c r="G187" s="17"/>
      <c r="H187" s="15"/>
      <c r="I187" s="15"/>
    </row>
    <row r="188" spans="1:9" x14ac:dyDescent="0.25">
      <c r="A188" s="15"/>
      <c r="F188" s="17"/>
      <c r="G188" s="17"/>
      <c r="H188" s="15"/>
      <c r="I188" s="16"/>
    </row>
    <row r="189" spans="1:9" x14ac:dyDescent="0.25">
      <c r="A189" s="15"/>
      <c r="F189" s="17"/>
      <c r="G189" s="17"/>
      <c r="H189" s="15"/>
      <c r="I189" s="16"/>
    </row>
    <row r="190" spans="1:9" x14ac:dyDescent="0.25">
      <c r="A190" s="15"/>
      <c r="F190" s="18"/>
      <c r="G190" s="18"/>
      <c r="H190" s="15"/>
      <c r="I190" s="15"/>
    </row>
    <row r="191" spans="1:9" ht="15" customHeight="1" x14ac:dyDescent="0.25">
      <c r="A191" s="15"/>
      <c r="F191" s="16"/>
      <c r="G191" s="16"/>
      <c r="H191" s="15"/>
      <c r="I191" s="16"/>
    </row>
    <row r="192" spans="1:9" x14ac:dyDescent="0.25">
      <c r="A192" s="15"/>
      <c r="F192" s="17"/>
      <c r="G192" s="17"/>
      <c r="H192" s="15"/>
      <c r="I192" s="16"/>
    </row>
    <row r="193" spans="1:9" x14ac:dyDescent="0.25">
      <c r="A193" s="15"/>
      <c r="F193" s="18"/>
      <c r="G193" s="17"/>
      <c r="H193" s="15"/>
      <c r="I193" s="15"/>
    </row>
    <row r="194" spans="1:9" ht="15" customHeight="1" x14ac:dyDescent="0.25">
      <c r="A194" s="15"/>
      <c r="F194" s="16"/>
      <c r="G194" s="17"/>
      <c r="H194" s="15"/>
      <c r="I194" s="16"/>
    </row>
    <row r="195" spans="1:9" x14ac:dyDescent="0.25">
      <c r="A195" s="15"/>
      <c r="F195" s="17"/>
      <c r="G195" s="17"/>
      <c r="H195" s="19"/>
      <c r="I195" s="15"/>
    </row>
    <row r="196" spans="1:9" x14ac:dyDescent="0.25">
      <c r="A196" s="15"/>
      <c r="F196" s="18"/>
      <c r="G196" s="17"/>
      <c r="H196" s="19"/>
      <c r="I196" s="15"/>
    </row>
    <row r="197" spans="1:9" x14ac:dyDescent="0.25">
      <c r="A197" s="15"/>
      <c r="F197" s="15"/>
      <c r="G197" s="17"/>
      <c r="H197" s="16"/>
      <c r="I197" s="15"/>
    </row>
    <row r="198" spans="1:9" x14ac:dyDescent="0.25">
      <c r="A198" s="15"/>
      <c r="F198" s="16"/>
      <c r="G198" s="18"/>
      <c r="H198" s="18"/>
      <c r="I198" s="15"/>
    </row>
    <row r="199" spans="1:9" x14ac:dyDescent="0.25">
      <c r="A199" s="15"/>
      <c r="F199" s="18"/>
      <c r="G199" s="16"/>
      <c r="H199" s="16"/>
      <c r="I199" s="15"/>
    </row>
    <row r="200" spans="1:9" x14ac:dyDescent="0.25">
      <c r="A200" s="15"/>
      <c r="F200" s="16"/>
      <c r="G200" s="17"/>
      <c r="H200" s="18"/>
      <c r="I200" s="15"/>
    </row>
    <row r="201" spans="1:9" x14ac:dyDescent="0.25">
      <c r="A201" s="15"/>
      <c r="F201" s="17"/>
      <c r="G201" s="18"/>
      <c r="H201" s="15"/>
      <c r="I201" s="15"/>
    </row>
    <row r="202" spans="1:9" x14ac:dyDescent="0.25">
      <c r="A202" s="15"/>
      <c r="F202" s="17"/>
      <c r="G202" s="16"/>
      <c r="H202" s="15"/>
      <c r="I202" s="15"/>
    </row>
    <row r="203" spans="1:9" x14ac:dyDescent="0.25">
      <c r="A203" s="15"/>
      <c r="F203" s="18"/>
      <c r="G203" s="17"/>
      <c r="H203" s="15"/>
      <c r="I203" s="15"/>
    </row>
    <row r="204" spans="1:9" x14ac:dyDescent="0.25">
      <c r="A204" s="15"/>
      <c r="F204" s="16"/>
      <c r="G204" s="17"/>
      <c r="H204" s="15"/>
      <c r="I204" s="15"/>
    </row>
    <row r="205" spans="1:9" x14ac:dyDescent="0.25">
      <c r="A205" s="15"/>
      <c r="F205" s="17"/>
      <c r="G205" s="17"/>
      <c r="H205" s="15"/>
      <c r="I205" s="15"/>
    </row>
    <row r="206" spans="1:9" x14ac:dyDescent="0.25">
      <c r="A206" s="15"/>
      <c r="F206" s="17"/>
      <c r="G206" s="18"/>
      <c r="H206" s="15"/>
      <c r="I206" s="15"/>
    </row>
    <row r="207" spans="1:9" x14ac:dyDescent="0.25">
      <c r="A207" s="15"/>
      <c r="F207" s="17"/>
      <c r="G207" s="16"/>
      <c r="H207" s="15"/>
      <c r="I207" s="16"/>
    </row>
    <row r="208" spans="1:9" x14ac:dyDescent="0.25">
      <c r="A208" s="15"/>
      <c r="F208" s="17"/>
      <c r="G208" s="17"/>
      <c r="H208" s="15"/>
      <c r="I208" s="16"/>
    </row>
    <row r="209" spans="1:9" x14ac:dyDescent="0.25">
      <c r="A209" s="15"/>
      <c r="F209" s="16"/>
      <c r="G209" s="17"/>
      <c r="H209" s="15"/>
      <c r="I209" s="16"/>
    </row>
    <row r="210" spans="1:9" ht="15" customHeight="1" x14ac:dyDescent="0.25">
      <c r="A210" s="15"/>
      <c r="F210" s="16"/>
      <c r="G210" s="17"/>
      <c r="H210" s="15"/>
      <c r="I210" s="16"/>
    </row>
    <row r="211" spans="1:9" x14ac:dyDescent="0.25">
      <c r="A211" s="15"/>
      <c r="F211" s="17"/>
      <c r="G211" s="17"/>
      <c r="H211" s="15"/>
      <c r="I211" s="16"/>
    </row>
    <row r="212" spans="1:9" x14ac:dyDescent="0.25">
      <c r="A212" s="15"/>
      <c r="F212" s="17"/>
      <c r="G212" s="17"/>
      <c r="H212" s="15"/>
      <c r="I212" s="15"/>
    </row>
    <row r="213" spans="1:9" x14ac:dyDescent="0.25">
      <c r="A213" s="15"/>
      <c r="F213" s="17"/>
      <c r="G213" s="17"/>
      <c r="H213" s="15"/>
      <c r="I213" s="16"/>
    </row>
    <row r="214" spans="1:9" x14ac:dyDescent="0.25">
      <c r="A214" s="15"/>
      <c r="F214" s="17"/>
      <c r="G214" s="17"/>
      <c r="H214" s="15"/>
      <c r="I214" s="16"/>
    </row>
    <row r="215" spans="1:9" x14ac:dyDescent="0.25">
      <c r="A215" s="15"/>
      <c r="F215" s="18"/>
      <c r="G215" s="18"/>
      <c r="H215" s="15"/>
      <c r="I215" s="15"/>
    </row>
    <row r="216" spans="1:9" ht="15" customHeight="1" x14ac:dyDescent="0.25">
      <c r="A216" s="15"/>
      <c r="F216" s="16"/>
      <c r="G216" s="16"/>
      <c r="H216" s="15"/>
      <c r="I216" s="16"/>
    </row>
    <row r="217" spans="1:9" x14ac:dyDescent="0.25">
      <c r="A217" s="15"/>
      <c r="F217" s="17"/>
      <c r="G217" s="17"/>
      <c r="H217" s="15"/>
      <c r="I217" s="16"/>
    </row>
    <row r="218" spans="1:9" x14ac:dyDescent="0.25">
      <c r="A218" s="15"/>
      <c r="F218" s="18"/>
      <c r="G218" s="17"/>
      <c r="H218" s="15"/>
      <c r="I218" s="15"/>
    </row>
    <row r="219" spans="1:9" ht="15" customHeight="1" x14ac:dyDescent="0.25">
      <c r="A219" s="15"/>
      <c r="F219" s="16"/>
      <c r="G219" s="17"/>
      <c r="H219" s="15"/>
      <c r="I219" s="16"/>
    </row>
    <row r="220" spans="1:9" x14ac:dyDescent="0.25">
      <c r="A220" s="15"/>
      <c r="F220" s="17"/>
      <c r="G220" s="17"/>
      <c r="H220" s="15"/>
      <c r="I220" s="15"/>
    </row>
    <row r="221" spans="1:9" x14ac:dyDescent="0.25">
      <c r="A221" s="15"/>
      <c r="F221" s="17"/>
      <c r="G221" s="17"/>
      <c r="H221" s="15"/>
      <c r="I221" s="16"/>
    </row>
    <row r="222" spans="1:9" ht="15" customHeight="1" x14ac:dyDescent="0.25">
      <c r="A222" s="15"/>
      <c r="F222" s="16"/>
      <c r="G222" s="16"/>
      <c r="H222" s="15"/>
      <c r="I222" s="16"/>
    </row>
    <row r="223" spans="1:9" x14ac:dyDescent="0.25">
      <c r="A223" s="15"/>
      <c r="F223" s="17"/>
      <c r="G223" s="17"/>
      <c r="H223" s="15"/>
      <c r="I223" s="15"/>
    </row>
    <row r="224" spans="1:9" x14ac:dyDescent="0.25">
      <c r="A224" s="15"/>
      <c r="F224" s="17"/>
      <c r="G224" s="17"/>
      <c r="H224" s="15"/>
      <c r="I224" s="16"/>
    </row>
  </sheetData>
  <conditionalFormatting sqref="A1">
    <cfRule type="containsBlanks" dxfId="3" priority="5">
      <formula>LEN(TRIM(A1))=0</formula>
    </cfRule>
  </conditionalFormatting>
  <conditionalFormatting sqref="I2:I1048576">
    <cfRule type="containsBlanks" dxfId="2" priority="4">
      <formula>LEN(TRIM(I2))=0</formula>
    </cfRule>
  </conditionalFormatting>
  <conditionalFormatting sqref="I1">
    <cfRule type="containsBlanks" dxfId="1" priority="3">
      <formula>LEN(TRIM(I1))=0</formula>
    </cfRule>
  </conditionalFormatting>
  <conditionalFormatting sqref="A1:I1048576"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3F04-B865-43C8-9AC9-BB7F20D0E199}">
  <sheetPr codeName="Лист27"/>
  <dimension ref="A1:E254"/>
  <sheetViews>
    <sheetView workbookViewId="0">
      <selection activeCell="H51" sqref="H51"/>
    </sheetView>
  </sheetViews>
  <sheetFormatPr defaultRowHeight="15" x14ac:dyDescent="0.25"/>
  <sheetData>
    <row r="1" spans="1:5" ht="18.75" customHeight="1" x14ac:dyDescent="0.2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25">
      <c r="A2" s="11">
        <v>15</v>
      </c>
      <c r="B2" s="11" t="s">
        <v>3278</v>
      </c>
      <c r="C2" s="11">
        <v>2</v>
      </c>
      <c r="D2" s="11">
        <v>28</v>
      </c>
      <c r="E2" s="11" t="s">
        <v>3279</v>
      </c>
    </row>
    <row r="3" spans="1:5" x14ac:dyDescent="0.25">
      <c r="A3" s="11">
        <v>15</v>
      </c>
      <c r="B3" s="11" t="s">
        <v>3278</v>
      </c>
      <c r="C3" s="11" t="s">
        <v>2481</v>
      </c>
      <c r="D3" s="11">
        <v>28</v>
      </c>
      <c r="E3" s="11" t="s">
        <v>3281</v>
      </c>
    </row>
    <row r="4" spans="1:5" x14ac:dyDescent="0.25">
      <c r="A4" s="11">
        <v>15</v>
      </c>
      <c r="B4" s="11" t="s">
        <v>3278</v>
      </c>
      <c r="C4" s="11">
        <v>4</v>
      </c>
      <c r="D4" s="11">
        <v>28</v>
      </c>
      <c r="E4" s="11" t="s">
        <v>3286</v>
      </c>
    </row>
    <row r="5" spans="1:5" x14ac:dyDescent="0.25">
      <c r="A5" s="12">
        <v>20</v>
      </c>
      <c r="B5" s="12" t="s">
        <v>3280</v>
      </c>
      <c r="C5" s="11">
        <v>2</v>
      </c>
      <c r="D5" s="12">
        <v>29</v>
      </c>
      <c r="E5" s="11" t="s">
        <v>3281</v>
      </c>
    </row>
    <row r="6" spans="1:5" x14ac:dyDescent="0.25">
      <c r="A6" s="12">
        <v>20</v>
      </c>
      <c r="B6" s="12" t="s">
        <v>3280</v>
      </c>
      <c r="C6" s="11" t="s">
        <v>2481</v>
      </c>
      <c r="D6" s="12">
        <v>29</v>
      </c>
      <c r="E6" s="11" t="s">
        <v>3284</v>
      </c>
    </row>
    <row r="7" spans="1:5" x14ac:dyDescent="0.25">
      <c r="A7" s="12">
        <v>20</v>
      </c>
      <c r="B7" s="12" t="s">
        <v>3280</v>
      </c>
      <c r="C7" s="11">
        <v>4</v>
      </c>
      <c r="D7" s="12">
        <v>29</v>
      </c>
      <c r="E7" s="11" t="s">
        <v>2442</v>
      </c>
    </row>
    <row r="8" spans="1:5" x14ac:dyDescent="0.25">
      <c r="A8" s="12">
        <v>25</v>
      </c>
      <c r="B8" s="12" t="s">
        <v>3282</v>
      </c>
      <c r="C8" s="11" t="s">
        <v>2451</v>
      </c>
      <c r="D8" s="12">
        <v>38</v>
      </c>
      <c r="E8" s="11" t="s">
        <v>3311</v>
      </c>
    </row>
    <row r="9" spans="1:5" x14ac:dyDescent="0.25">
      <c r="A9" s="12">
        <v>25</v>
      </c>
      <c r="B9" s="12" t="s">
        <v>3282</v>
      </c>
      <c r="C9" s="11" t="s">
        <v>2481</v>
      </c>
      <c r="D9" s="12">
        <v>38</v>
      </c>
      <c r="E9" s="11" t="s">
        <v>3288</v>
      </c>
    </row>
    <row r="10" spans="1:5" x14ac:dyDescent="0.25">
      <c r="A10" s="12">
        <v>25</v>
      </c>
      <c r="B10" s="12" t="s">
        <v>3282</v>
      </c>
      <c r="C10" s="11" t="s">
        <v>2410</v>
      </c>
      <c r="D10" s="12">
        <v>38</v>
      </c>
      <c r="E10" s="11" t="s">
        <v>3294</v>
      </c>
    </row>
    <row r="11" spans="1:5" x14ac:dyDescent="0.25">
      <c r="A11" s="11">
        <v>32</v>
      </c>
      <c r="B11" s="11" t="s">
        <v>3202</v>
      </c>
      <c r="C11" s="11" t="s">
        <v>2453</v>
      </c>
      <c r="D11" s="11">
        <v>48</v>
      </c>
      <c r="E11" s="11" t="s">
        <v>3294</v>
      </c>
    </row>
    <row r="12" spans="1:5" x14ac:dyDescent="0.25">
      <c r="A12" s="12">
        <v>32</v>
      </c>
      <c r="B12" s="12" t="s">
        <v>3202</v>
      </c>
      <c r="C12" s="11" t="s">
        <v>2458</v>
      </c>
      <c r="D12" s="12">
        <v>48</v>
      </c>
      <c r="E12" s="11" t="s">
        <v>3312</v>
      </c>
    </row>
    <row r="13" spans="1:5" x14ac:dyDescent="0.25">
      <c r="A13" s="12">
        <v>32</v>
      </c>
      <c r="B13" s="12" t="s">
        <v>3202</v>
      </c>
      <c r="C13" s="11">
        <v>5</v>
      </c>
      <c r="D13" s="12">
        <v>48</v>
      </c>
      <c r="E13" s="11" t="s">
        <v>3313</v>
      </c>
    </row>
    <row r="14" spans="1:5" x14ac:dyDescent="0.25">
      <c r="A14" s="12">
        <v>40</v>
      </c>
      <c r="B14" s="12" t="s">
        <v>3293</v>
      </c>
      <c r="C14" s="11" t="s">
        <v>2453</v>
      </c>
      <c r="D14" s="12">
        <v>57</v>
      </c>
      <c r="E14" s="11" t="s">
        <v>3312</v>
      </c>
    </row>
    <row r="15" spans="1:5" x14ac:dyDescent="0.25">
      <c r="A15" s="12">
        <v>40</v>
      </c>
      <c r="B15" s="12" t="s">
        <v>3293</v>
      </c>
      <c r="C15" s="11" t="s">
        <v>2458</v>
      </c>
      <c r="D15" s="12">
        <v>57</v>
      </c>
      <c r="E15" s="11" t="s">
        <v>3314</v>
      </c>
    </row>
    <row r="16" spans="1:5" x14ac:dyDescent="0.25">
      <c r="A16" s="11">
        <v>40</v>
      </c>
      <c r="B16" s="11" t="s">
        <v>3293</v>
      </c>
      <c r="C16" s="11">
        <v>5</v>
      </c>
      <c r="D16" s="11">
        <v>57</v>
      </c>
      <c r="E16" s="11" t="s">
        <v>3298</v>
      </c>
    </row>
    <row r="17" spans="1:5" x14ac:dyDescent="0.25">
      <c r="A17" s="12">
        <v>50</v>
      </c>
      <c r="B17" s="12" t="s">
        <v>3295</v>
      </c>
      <c r="C17" s="11" t="s">
        <v>2415</v>
      </c>
      <c r="D17" s="12">
        <v>76</v>
      </c>
      <c r="E17" s="11" t="s">
        <v>2443</v>
      </c>
    </row>
    <row r="18" spans="1:5" x14ac:dyDescent="0.25">
      <c r="A18" s="12">
        <v>50</v>
      </c>
      <c r="B18" s="12" t="s">
        <v>3295</v>
      </c>
      <c r="C18" s="11">
        <v>4</v>
      </c>
      <c r="D18" s="12">
        <v>76</v>
      </c>
      <c r="E18" s="11" t="s">
        <v>2511</v>
      </c>
    </row>
    <row r="19" spans="1:5" x14ac:dyDescent="0.25">
      <c r="A19" s="12">
        <v>50</v>
      </c>
      <c r="B19" s="12" t="s">
        <v>3295</v>
      </c>
      <c r="C19" s="11" t="s">
        <v>2473</v>
      </c>
      <c r="D19" s="12">
        <v>76</v>
      </c>
      <c r="E19" s="11" t="s">
        <v>2529</v>
      </c>
    </row>
    <row r="20" spans="1:5" x14ac:dyDescent="0.25">
      <c r="A20" s="12">
        <v>65</v>
      </c>
      <c r="B20" s="12" t="s">
        <v>3297</v>
      </c>
      <c r="C20" s="11" t="s">
        <v>2415</v>
      </c>
      <c r="D20" s="12">
        <v>95</v>
      </c>
      <c r="E20" s="11" t="s">
        <v>2534</v>
      </c>
    </row>
    <row r="21" spans="1:5" x14ac:dyDescent="0.25">
      <c r="A21" s="12">
        <v>65</v>
      </c>
      <c r="B21" s="12" t="s">
        <v>3297</v>
      </c>
      <c r="C21" s="11">
        <v>5</v>
      </c>
      <c r="D21" s="12">
        <v>95</v>
      </c>
      <c r="E21" s="11" t="s">
        <v>2406</v>
      </c>
    </row>
    <row r="22" spans="1:5" x14ac:dyDescent="0.25">
      <c r="A22" s="12">
        <v>65</v>
      </c>
      <c r="B22" s="12" t="s">
        <v>3297</v>
      </c>
      <c r="C22" s="11" t="s">
        <v>2475</v>
      </c>
      <c r="D22" s="12">
        <v>95</v>
      </c>
      <c r="E22" s="11" t="s">
        <v>2480</v>
      </c>
    </row>
    <row r="23" spans="1:5" x14ac:dyDescent="0.25">
      <c r="A23" s="12">
        <v>80</v>
      </c>
      <c r="B23" s="12" t="s">
        <v>3299</v>
      </c>
      <c r="C23" s="11" t="s">
        <v>2481</v>
      </c>
      <c r="D23" s="12">
        <v>114</v>
      </c>
      <c r="E23" s="11" t="s">
        <v>2448</v>
      </c>
    </row>
    <row r="24" spans="1:5" x14ac:dyDescent="0.25">
      <c r="A24" s="11">
        <v>80</v>
      </c>
      <c r="B24" s="11" t="s">
        <v>3299</v>
      </c>
      <c r="C24" s="11" t="s">
        <v>2473</v>
      </c>
      <c r="D24" s="11">
        <v>114</v>
      </c>
      <c r="E24" s="11" t="s">
        <v>2450</v>
      </c>
    </row>
    <row r="25" spans="1:5" x14ac:dyDescent="0.25">
      <c r="A25" s="12">
        <v>80</v>
      </c>
      <c r="B25" s="12" t="s">
        <v>3299</v>
      </c>
      <c r="C25" s="11">
        <v>8</v>
      </c>
      <c r="D25" s="12">
        <v>114</v>
      </c>
      <c r="E25" s="11" t="s">
        <v>2456</v>
      </c>
    </row>
    <row r="26" spans="1:5" x14ac:dyDescent="0.25">
      <c r="A26" s="12">
        <v>100</v>
      </c>
      <c r="B26" s="12" t="s">
        <v>3301</v>
      </c>
      <c r="C26" s="11" t="s">
        <v>2458</v>
      </c>
      <c r="D26" s="12">
        <v>152</v>
      </c>
      <c r="E26" s="11" t="s">
        <v>2452</v>
      </c>
    </row>
    <row r="27" spans="1:5" x14ac:dyDescent="0.25">
      <c r="A27" s="12">
        <v>100</v>
      </c>
      <c r="B27" s="12" t="s">
        <v>3301</v>
      </c>
      <c r="C27" s="11" t="s">
        <v>2587</v>
      </c>
      <c r="D27" s="12">
        <v>152</v>
      </c>
      <c r="E27" s="11">
        <v>4</v>
      </c>
    </row>
    <row r="28" spans="1:5" x14ac:dyDescent="0.25">
      <c r="A28" s="12">
        <v>100</v>
      </c>
      <c r="B28" s="12" t="s">
        <v>3301</v>
      </c>
      <c r="C28" s="11" t="s">
        <v>2388</v>
      </c>
      <c r="D28" s="12">
        <v>152</v>
      </c>
      <c r="E28" s="11" t="s">
        <v>2469</v>
      </c>
    </row>
    <row r="29" spans="1:5" x14ac:dyDescent="0.25">
      <c r="A29" s="12">
        <v>125</v>
      </c>
      <c r="B29" s="12" t="s">
        <v>3302</v>
      </c>
      <c r="C29" s="11">
        <v>4</v>
      </c>
      <c r="D29" s="12">
        <v>190</v>
      </c>
      <c r="E29" s="11">
        <v>4</v>
      </c>
    </row>
    <row r="30" spans="1:5" x14ac:dyDescent="0.25">
      <c r="A30" s="12">
        <v>125</v>
      </c>
      <c r="B30" s="12" t="s">
        <v>3302</v>
      </c>
      <c r="C30" s="11" t="s">
        <v>2587</v>
      </c>
      <c r="D30" s="12">
        <v>190</v>
      </c>
      <c r="E30" s="11" t="s">
        <v>2484</v>
      </c>
    </row>
    <row r="31" spans="1:5" x14ac:dyDescent="0.25">
      <c r="A31" s="12">
        <v>125</v>
      </c>
      <c r="B31" s="12" t="s">
        <v>3302</v>
      </c>
      <c r="C31" s="11">
        <v>10</v>
      </c>
      <c r="D31" s="12">
        <v>190</v>
      </c>
      <c r="E31" s="11" t="s">
        <v>3220</v>
      </c>
    </row>
    <row r="32" spans="1:5" x14ac:dyDescent="0.25">
      <c r="A32" s="12">
        <v>150</v>
      </c>
      <c r="B32" s="12" t="s">
        <v>3303</v>
      </c>
      <c r="C32" s="11" t="s">
        <v>2410</v>
      </c>
      <c r="D32" s="12">
        <v>229</v>
      </c>
      <c r="E32" s="11" t="s">
        <v>2414</v>
      </c>
    </row>
    <row r="33" spans="1:5" x14ac:dyDescent="0.25">
      <c r="A33" s="11">
        <v>150</v>
      </c>
      <c r="B33" s="11" t="s">
        <v>3303</v>
      </c>
      <c r="C33" s="11" t="s">
        <v>2475</v>
      </c>
      <c r="D33" s="11">
        <v>229</v>
      </c>
      <c r="E33" s="11">
        <v>10</v>
      </c>
    </row>
    <row r="34" spans="1:5" x14ac:dyDescent="0.25">
      <c r="A34" s="12">
        <v>150</v>
      </c>
      <c r="B34" s="12" t="s">
        <v>3303</v>
      </c>
      <c r="C34" s="11">
        <v>11</v>
      </c>
      <c r="D34" s="12">
        <v>229</v>
      </c>
      <c r="E34" s="11">
        <v>15</v>
      </c>
    </row>
    <row r="35" spans="1:5" x14ac:dyDescent="0.25">
      <c r="A35" s="12">
        <v>200</v>
      </c>
      <c r="B35" s="12" t="s">
        <v>3304</v>
      </c>
      <c r="C35" s="11" t="s">
        <v>2587</v>
      </c>
      <c r="D35" s="12">
        <v>305</v>
      </c>
      <c r="E35" s="11">
        <v>16</v>
      </c>
    </row>
    <row r="36" spans="1:5" x14ac:dyDescent="0.25">
      <c r="A36" s="12">
        <v>200</v>
      </c>
      <c r="B36" s="12" t="s">
        <v>3304</v>
      </c>
      <c r="C36" s="11">
        <v>8</v>
      </c>
      <c r="D36" s="12">
        <v>305</v>
      </c>
      <c r="E36" s="11">
        <v>20</v>
      </c>
    </row>
    <row r="37" spans="1:5" x14ac:dyDescent="0.25">
      <c r="A37" s="12">
        <v>200</v>
      </c>
      <c r="B37" s="12" t="s">
        <v>3304</v>
      </c>
      <c r="C37" s="11" t="s">
        <v>2389</v>
      </c>
      <c r="D37" s="12">
        <v>305</v>
      </c>
      <c r="E37" s="11">
        <v>31</v>
      </c>
    </row>
    <row r="38" spans="1:5" x14ac:dyDescent="0.25">
      <c r="A38" s="12">
        <v>250</v>
      </c>
      <c r="B38" s="12">
        <v>237</v>
      </c>
      <c r="C38" s="11" t="s">
        <v>2587</v>
      </c>
      <c r="D38" s="12">
        <v>381</v>
      </c>
      <c r="E38" s="11">
        <v>25</v>
      </c>
    </row>
    <row r="39" spans="1:5" x14ac:dyDescent="0.25">
      <c r="A39" s="12">
        <v>250</v>
      </c>
      <c r="B39" s="12">
        <v>237</v>
      </c>
      <c r="C39" s="11">
        <v>10</v>
      </c>
      <c r="D39" s="12">
        <v>381</v>
      </c>
      <c r="E39" s="11">
        <v>39</v>
      </c>
    </row>
    <row r="40" spans="1:5" x14ac:dyDescent="0.25">
      <c r="A40" s="12">
        <v>300</v>
      </c>
      <c r="B40" s="12" t="s">
        <v>3305</v>
      </c>
      <c r="C40" s="11" t="s">
        <v>2475</v>
      </c>
      <c r="D40" s="12">
        <v>457</v>
      </c>
      <c r="E40" s="11">
        <v>40</v>
      </c>
    </row>
    <row r="41" spans="1:5" x14ac:dyDescent="0.25">
      <c r="A41" s="12">
        <v>300</v>
      </c>
      <c r="B41" s="12" t="s">
        <v>3305</v>
      </c>
      <c r="C41" s="11">
        <v>10</v>
      </c>
      <c r="D41" s="12">
        <v>457</v>
      </c>
      <c r="E41" s="11">
        <v>56</v>
      </c>
    </row>
    <row r="42" spans="1:5" x14ac:dyDescent="0.25">
      <c r="A42" s="11">
        <v>350</v>
      </c>
      <c r="B42" s="11" t="s">
        <v>3306</v>
      </c>
      <c r="C42" s="11">
        <v>8</v>
      </c>
      <c r="D42" s="11">
        <v>533</v>
      </c>
      <c r="E42" s="11">
        <v>57</v>
      </c>
    </row>
    <row r="43" spans="1:5" x14ac:dyDescent="0.25">
      <c r="A43" s="12">
        <v>350</v>
      </c>
      <c r="B43" s="12" t="s">
        <v>3306</v>
      </c>
      <c r="C43" s="11">
        <v>11</v>
      </c>
      <c r="D43" s="12">
        <v>533</v>
      </c>
      <c r="E43" s="11">
        <v>78</v>
      </c>
    </row>
    <row r="44" spans="1:5" x14ac:dyDescent="0.25">
      <c r="A44" s="12">
        <v>400</v>
      </c>
      <c r="B44" s="12" t="s">
        <v>3307</v>
      </c>
      <c r="C44" s="11" t="s">
        <v>2388</v>
      </c>
      <c r="D44" s="12">
        <v>610</v>
      </c>
      <c r="E44" s="11">
        <v>82</v>
      </c>
    </row>
    <row r="45" spans="1:5" x14ac:dyDescent="0.25">
      <c r="A45" s="12">
        <v>400</v>
      </c>
      <c r="B45" s="12" t="s">
        <v>3307</v>
      </c>
      <c r="C45" s="11" t="s">
        <v>2389</v>
      </c>
      <c r="D45" s="12">
        <v>610</v>
      </c>
      <c r="E45" s="11">
        <v>117</v>
      </c>
    </row>
    <row r="46" spans="1:5" x14ac:dyDescent="0.25">
      <c r="A46" s="12"/>
      <c r="B46" s="12"/>
      <c r="C46" s="11"/>
      <c r="D46" s="12"/>
      <c r="E46" s="11"/>
    </row>
    <row r="47" spans="1:5" x14ac:dyDescent="0.25">
      <c r="A47" s="12"/>
      <c r="B47" s="12"/>
      <c r="C47" s="11"/>
      <c r="D47" s="12"/>
      <c r="E47" s="11"/>
    </row>
    <row r="48" spans="1:5" x14ac:dyDescent="0.25">
      <c r="A48" s="12"/>
      <c r="B48" s="12"/>
      <c r="C48" s="11"/>
      <c r="D48" s="12"/>
      <c r="E48" s="11"/>
    </row>
    <row r="49" spans="1:5" x14ac:dyDescent="0.25">
      <c r="A49" s="12"/>
      <c r="B49" s="12"/>
      <c r="C49" s="11"/>
      <c r="D49" s="12"/>
      <c r="E49" s="11"/>
    </row>
    <row r="50" spans="1:5" x14ac:dyDescent="0.25">
      <c r="A50" s="12"/>
      <c r="B50" s="12"/>
      <c r="C50" s="11"/>
      <c r="D50" s="12"/>
      <c r="E50" s="11"/>
    </row>
    <row r="51" spans="1:5" x14ac:dyDescent="0.25">
      <c r="A51" s="12"/>
      <c r="B51" s="11"/>
      <c r="C51" s="11"/>
      <c r="D51" s="12"/>
      <c r="E51" s="11"/>
    </row>
    <row r="52" spans="1:5" x14ac:dyDescent="0.25">
      <c r="A52" s="12"/>
      <c r="B52" s="12"/>
      <c r="C52" s="11"/>
      <c r="D52" s="12"/>
      <c r="E52" s="11"/>
    </row>
    <row r="53" spans="1:5" x14ac:dyDescent="0.25">
      <c r="A53" s="12"/>
      <c r="B53" s="12"/>
      <c r="C53" s="11"/>
      <c r="D53" s="12"/>
      <c r="E53" s="11"/>
    </row>
    <row r="54" spans="1:5" x14ac:dyDescent="0.25">
      <c r="A54" s="12"/>
      <c r="B54" s="12"/>
      <c r="C54" s="11"/>
      <c r="D54" s="12"/>
      <c r="E54" s="11"/>
    </row>
    <row r="55" spans="1:5" x14ac:dyDescent="0.25">
      <c r="A55" s="12"/>
      <c r="B55" s="12"/>
      <c r="C55" s="11"/>
      <c r="D55" s="12"/>
      <c r="E55" s="11"/>
    </row>
    <row r="56" spans="1:5" x14ac:dyDescent="0.25">
      <c r="A56" s="12"/>
      <c r="B56" s="12"/>
      <c r="C56" s="11"/>
      <c r="D56" s="12"/>
      <c r="E56" s="11"/>
    </row>
    <row r="57" spans="1:5" x14ac:dyDescent="0.25">
      <c r="A57" s="12"/>
      <c r="B57" s="12"/>
      <c r="C57" s="11"/>
      <c r="D57" s="12"/>
      <c r="E57" s="11"/>
    </row>
    <row r="58" spans="1:5" x14ac:dyDescent="0.25">
      <c r="A58" s="12"/>
      <c r="B58" s="12"/>
      <c r="C58" s="11"/>
      <c r="D58" s="12"/>
      <c r="E58" s="11"/>
    </row>
    <row r="59" spans="1:5" x14ac:dyDescent="0.25">
      <c r="A59" s="12"/>
      <c r="B59" s="12"/>
      <c r="C59" s="11"/>
      <c r="D59" s="12"/>
      <c r="E59" s="11"/>
    </row>
    <row r="60" spans="1:5" x14ac:dyDescent="0.25">
      <c r="A60" s="12"/>
      <c r="B60" s="11"/>
      <c r="C60" s="11"/>
      <c r="D60" s="12"/>
      <c r="E60" s="11"/>
    </row>
    <row r="61" spans="1:5" x14ac:dyDescent="0.25">
      <c r="A61" s="12"/>
      <c r="B61" s="12"/>
      <c r="C61" s="11"/>
      <c r="D61" s="12"/>
      <c r="E61" s="11"/>
    </row>
    <row r="62" spans="1:5" x14ac:dyDescent="0.25">
      <c r="A62" s="12"/>
      <c r="B62" s="12"/>
      <c r="C62" s="11"/>
      <c r="D62" s="12"/>
      <c r="E62" s="11"/>
    </row>
    <row r="63" spans="1:5" x14ac:dyDescent="0.25">
      <c r="A63" s="12"/>
      <c r="B63" s="12"/>
      <c r="C63" s="11"/>
      <c r="D63" s="12"/>
      <c r="E63" s="11"/>
    </row>
    <row r="64" spans="1:5" x14ac:dyDescent="0.25">
      <c r="A64" s="12"/>
      <c r="B64" s="12"/>
      <c r="C64" s="11"/>
      <c r="D64" s="12"/>
      <c r="E64" s="11"/>
    </row>
    <row r="65" spans="1:5" x14ac:dyDescent="0.25">
      <c r="A65" s="12"/>
      <c r="B65" s="12"/>
      <c r="C65" s="11"/>
      <c r="D65" s="12"/>
      <c r="E65" s="11"/>
    </row>
    <row r="66" spans="1:5" x14ac:dyDescent="0.25">
      <c r="A66" s="12"/>
      <c r="B66" s="12"/>
      <c r="C66" s="11"/>
      <c r="D66" s="12"/>
      <c r="E66" s="11"/>
    </row>
    <row r="67" spans="1:5" x14ac:dyDescent="0.25">
      <c r="A67" s="12"/>
      <c r="B67" s="12"/>
      <c r="C67" s="11"/>
      <c r="D67" s="12"/>
      <c r="E67" s="11"/>
    </row>
    <row r="68" spans="1:5" x14ac:dyDescent="0.25">
      <c r="A68" s="12"/>
      <c r="B68" s="12"/>
      <c r="C68" s="11"/>
      <c r="D68" s="12"/>
      <c r="E68" s="11"/>
    </row>
    <row r="69" spans="1:5" x14ac:dyDescent="0.25">
      <c r="A69" s="11"/>
      <c r="B69" s="11"/>
      <c r="C69" s="11"/>
      <c r="D69" s="11"/>
      <c r="E69" s="11"/>
    </row>
    <row r="70" spans="1:5" x14ac:dyDescent="0.25">
      <c r="A70" s="12"/>
      <c r="B70" s="12"/>
      <c r="C70" s="11"/>
      <c r="D70" s="12"/>
      <c r="E70" s="11"/>
    </row>
    <row r="71" spans="1:5" x14ac:dyDescent="0.25">
      <c r="A71" s="12"/>
      <c r="B71" s="12"/>
      <c r="C71" s="11"/>
      <c r="D71" s="12"/>
      <c r="E71" s="11"/>
    </row>
    <row r="72" spans="1:5" x14ac:dyDescent="0.25">
      <c r="A72" s="12"/>
      <c r="B72" s="12"/>
      <c r="C72" s="11"/>
      <c r="D72" s="12"/>
      <c r="E72" s="11"/>
    </row>
    <row r="73" spans="1:5" x14ac:dyDescent="0.25">
      <c r="A73" s="12"/>
      <c r="B73" s="12"/>
      <c r="C73" s="11"/>
      <c r="D73" s="12"/>
      <c r="E73" s="11"/>
    </row>
    <row r="74" spans="1:5" x14ac:dyDescent="0.25">
      <c r="A74" s="12"/>
      <c r="B74" s="12"/>
      <c r="C74" s="11"/>
      <c r="D74" s="12"/>
      <c r="E74" s="11"/>
    </row>
    <row r="75" spans="1:5" x14ac:dyDescent="0.25">
      <c r="A75" s="12"/>
      <c r="B75" s="12"/>
      <c r="C75" s="11"/>
      <c r="D75" s="12"/>
      <c r="E75" s="11"/>
    </row>
    <row r="76" spans="1:5" x14ac:dyDescent="0.25">
      <c r="A76" s="12"/>
      <c r="B76" s="12"/>
      <c r="C76" s="11"/>
      <c r="D76" s="12"/>
      <c r="E76" s="11"/>
    </row>
    <row r="77" spans="1:5" x14ac:dyDescent="0.25">
      <c r="A77" s="12"/>
      <c r="B77" s="12"/>
      <c r="C77" s="11"/>
      <c r="D77" s="12"/>
      <c r="E77" s="11"/>
    </row>
    <row r="78" spans="1:5" x14ac:dyDescent="0.25">
      <c r="A78" s="12"/>
      <c r="B78" s="12"/>
      <c r="C78" s="11"/>
      <c r="D78" s="12"/>
      <c r="E78" s="11"/>
    </row>
    <row r="79" spans="1:5" x14ac:dyDescent="0.25">
      <c r="A79" s="12"/>
      <c r="B79" s="12"/>
      <c r="C79" s="11"/>
      <c r="D79" s="12"/>
      <c r="E79" s="11"/>
    </row>
    <row r="80" spans="1:5" x14ac:dyDescent="0.25">
      <c r="A80" s="11"/>
      <c r="B80" s="11"/>
      <c r="C80" s="11"/>
      <c r="D80" s="11"/>
      <c r="E80" s="11"/>
    </row>
    <row r="81" spans="1:5" x14ac:dyDescent="0.25">
      <c r="A81" s="12"/>
      <c r="B81" s="12"/>
      <c r="C81" s="11"/>
      <c r="D81" s="12"/>
      <c r="E81" s="11"/>
    </row>
    <row r="82" spans="1:5" x14ac:dyDescent="0.25">
      <c r="A82" s="12"/>
      <c r="B82" s="12"/>
      <c r="C82" s="11"/>
      <c r="D82" s="12"/>
      <c r="E82" s="11"/>
    </row>
    <row r="83" spans="1:5" x14ac:dyDescent="0.25">
      <c r="A83" s="12"/>
      <c r="B83" s="12"/>
      <c r="C83" s="11"/>
      <c r="D83" s="12"/>
      <c r="E83" s="11"/>
    </row>
    <row r="84" spans="1:5" x14ac:dyDescent="0.25">
      <c r="A84" s="12"/>
      <c r="B84" s="12"/>
      <c r="C84" s="11"/>
      <c r="D84" s="12"/>
      <c r="E84" s="11"/>
    </row>
    <row r="85" spans="1:5" x14ac:dyDescent="0.25">
      <c r="A85" s="12"/>
      <c r="B85" s="12"/>
      <c r="C85" s="11"/>
      <c r="D85" s="12"/>
      <c r="E85" s="11"/>
    </row>
    <row r="86" spans="1:5" x14ac:dyDescent="0.25">
      <c r="A86" s="12"/>
      <c r="B86" s="12"/>
      <c r="C86" s="11"/>
      <c r="D86" s="12"/>
      <c r="E86" s="11"/>
    </row>
    <row r="87" spans="1:5" x14ac:dyDescent="0.25">
      <c r="A87" s="12"/>
      <c r="B87" s="12"/>
      <c r="C87" s="11"/>
      <c r="D87" s="12"/>
      <c r="E87" s="11"/>
    </row>
    <row r="88" spans="1:5" x14ac:dyDescent="0.25">
      <c r="A88" s="12"/>
      <c r="B88" s="12"/>
      <c r="C88" s="11"/>
      <c r="D88" s="12"/>
      <c r="E88" s="11"/>
    </row>
    <row r="89" spans="1:5" x14ac:dyDescent="0.25">
      <c r="A89" s="12"/>
      <c r="B89" s="12"/>
      <c r="C89" s="11"/>
      <c r="D89" s="12"/>
      <c r="E89" s="11"/>
    </row>
    <row r="90" spans="1:5" x14ac:dyDescent="0.25">
      <c r="A90" s="12"/>
      <c r="B90" s="12"/>
      <c r="C90" s="11"/>
      <c r="D90" s="12"/>
      <c r="E90" s="11"/>
    </row>
    <row r="91" spans="1:5" x14ac:dyDescent="0.25">
      <c r="A91" s="12"/>
      <c r="B91" s="12"/>
      <c r="C91" s="11"/>
      <c r="D91" s="12"/>
      <c r="E91" s="11"/>
    </row>
    <row r="92" spans="1:5" x14ac:dyDescent="0.25">
      <c r="A92" s="12"/>
      <c r="B92" s="11"/>
      <c r="C92" s="11"/>
      <c r="D92" s="12"/>
      <c r="E92" s="11"/>
    </row>
    <row r="93" spans="1:5" x14ac:dyDescent="0.25">
      <c r="A93" s="12"/>
      <c r="B93" s="12"/>
      <c r="C93" s="11"/>
      <c r="D93" s="12"/>
      <c r="E93" s="11"/>
    </row>
    <row r="94" spans="1:5" x14ac:dyDescent="0.25">
      <c r="A94" s="12"/>
      <c r="B94" s="12"/>
      <c r="C94" s="11"/>
      <c r="D94" s="12"/>
      <c r="E94" s="11"/>
    </row>
    <row r="95" spans="1:5" x14ac:dyDescent="0.25">
      <c r="A95" s="12"/>
      <c r="B95" s="12"/>
      <c r="C95" s="11"/>
      <c r="D95" s="12"/>
      <c r="E95" s="11"/>
    </row>
    <row r="96" spans="1:5" x14ac:dyDescent="0.25">
      <c r="A96" s="12"/>
      <c r="B96" s="12"/>
      <c r="C96" s="11"/>
      <c r="D96" s="12"/>
      <c r="E96" s="11"/>
    </row>
    <row r="97" spans="1:5" x14ac:dyDescent="0.25">
      <c r="A97" s="12"/>
      <c r="B97" s="12"/>
      <c r="C97" s="11"/>
      <c r="D97" s="12"/>
      <c r="E97" s="11"/>
    </row>
    <row r="98" spans="1:5" x14ac:dyDescent="0.25">
      <c r="A98" s="12"/>
      <c r="B98" s="12"/>
      <c r="C98" s="11"/>
      <c r="D98" s="12"/>
      <c r="E98" s="11"/>
    </row>
    <row r="99" spans="1:5" x14ac:dyDescent="0.25">
      <c r="A99" s="12"/>
      <c r="B99" s="12"/>
      <c r="C99" s="11"/>
      <c r="D99" s="12"/>
      <c r="E99" s="11"/>
    </row>
    <row r="100" spans="1:5" x14ac:dyDescent="0.25">
      <c r="A100" s="12"/>
      <c r="B100" s="12"/>
      <c r="C100" s="11"/>
      <c r="D100" s="12"/>
      <c r="E100" s="11"/>
    </row>
    <row r="101" spans="1:5" x14ac:dyDescent="0.25">
      <c r="A101" s="12"/>
      <c r="B101" s="12"/>
      <c r="C101" s="11"/>
      <c r="D101" s="12"/>
      <c r="E101" s="11"/>
    </row>
    <row r="102" spans="1:5" x14ac:dyDescent="0.25">
      <c r="A102" s="12"/>
      <c r="B102" s="12"/>
      <c r="C102" s="11"/>
      <c r="D102" s="12"/>
      <c r="E102" s="11"/>
    </row>
    <row r="103" spans="1:5" x14ac:dyDescent="0.25">
      <c r="A103" s="12"/>
      <c r="B103" s="12"/>
      <c r="C103" s="11"/>
      <c r="D103" s="12"/>
      <c r="E103" s="11"/>
    </row>
    <row r="104" spans="1:5" x14ac:dyDescent="0.25">
      <c r="A104" s="11"/>
      <c r="B104" s="11"/>
      <c r="C104" s="11"/>
      <c r="D104" s="11"/>
      <c r="E104" s="11"/>
    </row>
    <row r="105" spans="1:5" x14ac:dyDescent="0.25">
      <c r="A105" s="12"/>
      <c r="B105" s="12"/>
      <c r="C105" s="11"/>
      <c r="D105" s="12"/>
      <c r="E105" s="11"/>
    </row>
    <row r="106" spans="1:5" x14ac:dyDescent="0.25">
      <c r="A106" s="12"/>
      <c r="B106" s="12"/>
      <c r="C106" s="11"/>
      <c r="D106" s="12"/>
      <c r="E106" s="11"/>
    </row>
    <row r="107" spans="1:5" x14ac:dyDescent="0.25">
      <c r="A107" s="12"/>
      <c r="B107" s="12"/>
      <c r="C107" s="11"/>
      <c r="D107" s="12"/>
      <c r="E107" s="11"/>
    </row>
    <row r="108" spans="1:5" x14ac:dyDescent="0.25">
      <c r="A108" s="12"/>
      <c r="B108" s="12"/>
      <c r="C108" s="11"/>
      <c r="D108" s="12"/>
      <c r="E108" s="11"/>
    </row>
    <row r="109" spans="1:5" x14ac:dyDescent="0.25">
      <c r="A109" s="12"/>
      <c r="B109" s="12"/>
      <c r="C109" s="11"/>
      <c r="D109" s="12"/>
      <c r="E109" s="11"/>
    </row>
    <row r="110" spans="1:5" x14ac:dyDescent="0.25">
      <c r="A110" s="12"/>
      <c r="B110" s="12"/>
      <c r="C110" s="11"/>
      <c r="D110" s="12"/>
      <c r="E110" s="11"/>
    </row>
    <row r="111" spans="1:5" x14ac:dyDescent="0.25">
      <c r="A111" s="12"/>
      <c r="B111" s="12"/>
      <c r="C111" s="11"/>
      <c r="D111" s="12"/>
      <c r="E111" s="11"/>
    </row>
    <row r="112" spans="1:5" x14ac:dyDescent="0.25">
      <c r="A112" s="12"/>
      <c r="B112" s="12"/>
      <c r="C112" s="11"/>
      <c r="D112" s="12"/>
      <c r="E112" s="11"/>
    </row>
    <row r="113" spans="1:5" x14ac:dyDescent="0.25">
      <c r="A113" s="12"/>
      <c r="B113" s="12"/>
      <c r="C113" s="11"/>
      <c r="D113" s="12"/>
      <c r="E113" s="11"/>
    </row>
    <row r="114" spans="1:5" x14ac:dyDescent="0.25">
      <c r="A114" s="12"/>
      <c r="B114" s="12"/>
      <c r="C114" s="11"/>
      <c r="D114" s="12"/>
      <c r="E114" s="11"/>
    </row>
    <row r="115" spans="1:5" x14ac:dyDescent="0.25">
      <c r="A115" s="12"/>
      <c r="B115" s="12"/>
      <c r="C115" s="11"/>
      <c r="D115" s="12"/>
      <c r="E115" s="11"/>
    </row>
    <row r="116" spans="1:5" x14ac:dyDescent="0.25">
      <c r="A116" s="12"/>
      <c r="B116" s="12"/>
      <c r="C116" s="11"/>
      <c r="D116" s="12"/>
      <c r="E116" s="11"/>
    </row>
    <row r="117" spans="1:5" x14ac:dyDescent="0.25">
      <c r="A117" s="12"/>
      <c r="B117" s="12"/>
      <c r="C117" s="11"/>
      <c r="D117" s="12"/>
      <c r="E117" s="11"/>
    </row>
    <row r="118" spans="1:5" x14ac:dyDescent="0.25">
      <c r="A118" s="11"/>
      <c r="B118" s="11"/>
      <c r="C118" s="11"/>
      <c r="D118" s="11"/>
      <c r="E118" s="11"/>
    </row>
    <row r="119" spans="1:5" x14ac:dyDescent="0.25">
      <c r="A119" s="12"/>
      <c r="B119" s="12"/>
      <c r="C119" s="11"/>
      <c r="D119" s="12"/>
      <c r="E119" s="11"/>
    </row>
    <row r="120" spans="1:5" x14ac:dyDescent="0.25">
      <c r="A120" s="12"/>
      <c r="B120" s="12"/>
      <c r="C120" s="11"/>
      <c r="D120" s="12"/>
      <c r="E120" s="11"/>
    </row>
    <row r="121" spans="1:5" x14ac:dyDescent="0.25">
      <c r="A121" s="12"/>
      <c r="B121" s="12"/>
      <c r="C121" s="11"/>
      <c r="D121" s="12"/>
      <c r="E121" s="11"/>
    </row>
    <row r="122" spans="1:5" x14ac:dyDescent="0.25">
      <c r="A122" s="12"/>
      <c r="B122" s="12"/>
      <c r="C122" s="11"/>
      <c r="D122" s="12"/>
      <c r="E122" s="11"/>
    </row>
    <row r="123" spans="1:5" x14ac:dyDescent="0.25">
      <c r="A123" s="12"/>
      <c r="B123" s="12"/>
      <c r="C123" s="11"/>
      <c r="D123" s="12"/>
      <c r="E123" s="11"/>
    </row>
    <row r="124" spans="1:5" x14ac:dyDescent="0.25">
      <c r="A124" s="12"/>
      <c r="B124" s="12"/>
      <c r="C124" s="11"/>
      <c r="D124" s="12"/>
      <c r="E124" s="11"/>
    </row>
    <row r="125" spans="1:5" x14ac:dyDescent="0.25">
      <c r="A125" s="12"/>
      <c r="B125" s="12"/>
      <c r="C125" s="11"/>
      <c r="D125" s="12"/>
      <c r="E125" s="11"/>
    </row>
    <row r="126" spans="1:5" x14ac:dyDescent="0.25">
      <c r="A126" s="12"/>
      <c r="B126" s="12"/>
      <c r="C126" s="11"/>
      <c r="D126" s="12"/>
      <c r="E126" s="11"/>
    </row>
    <row r="127" spans="1:5" x14ac:dyDescent="0.25">
      <c r="A127" s="12"/>
      <c r="B127" s="12"/>
      <c r="C127" s="11"/>
      <c r="D127" s="12"/>
      <c r="E127" s="11"/>
    </row>
    <row r="128" spans="1:5" x14ac:dyDescent="0.25">
      <c r="A128" s="12"/>
      <c r="B128" s="12"/>
      <c r="C128" s="11"/>
      <c r="D128" s="12"/>
      <c r="E128" s="11"/>
    </row>
    <row r="129" spans="1:5" x14ac:dyDescent="0.25">
      <c r="A129" s="12"/>
      <c r="B129" s="12"/>
      <c r="C129" s="11"/>
      <c r="D129" s="12"/>
      <c r="E129" s="11"/>
    </row>
    <row r="130" spans="1:5" x14ac:dyDescent="0.25">
      <c r="A130" s="12"/>
      <c r="B130" s="12"/>
      <c r="C130" s="11"/>
      <c r="D130" s="12"/>
      <c r="E130" s="11"/>
    </row>
    <row r="131" spans="1:5" x14ac:dyDescent="0.25">
      <c r="A131" s="12"/>
      <c r="B131" s="12"/>
      <c r="C131" s="11"/>
      <c r="D131" s="12"/>
      <c r="E131" s="11"/>
    </row>
    <row r="132" spans="1:5" x14ac:dyDescent="0.25">
      <c r="A132" s="12"/>
      <c r="B132" s="12"/>
      <c r="C132" s="11"/>
      <c r="D132" s="12"/>
      <c r="E132" s="11"/>
    </row>
    <row r="133" spans="1:5" x14ac:dyDescent="0.25">
      <c r="A133" s="11"/>
      <c r="B133" s="11"/>
      <c r="C133" s="11"/>
      <c r="D133" s="11"/>
      <c r="E133" s="11"/>
    </row>
    <row r="134" spans="1:5" x14ac:dyDescent="0.25">
      <c r="A134" s="12"/>
      <c r="B134" s="12"/>
      <c r="C134" s="11"/>
      <c r="D134" s="12"/>
      <c r="E134" s="11"/>
    </row>
    <row r="135" spans="1:5" x14ac:dyDescent="0.25">
      <c r="A135" s="12"/>
      <c r="B135" s="12"/>
      <c r="C135" s="11"/>
      <c r="D135" s="12"/>
      <c r="E135" s="11"/>
    </row>
    <row r="136" spans="1:5" x14ac:dyDescent="0.25">
      <c r="A136" s="12"/>
      <c r="B136" s="12"/>
      <c r="C136" s="11"/>
      <c r="D136" s="12"/>
      <c r="E136" s="11"/>
    </row>
    <row r="137" spans="1:5" x14ac:dyDescent="0.25">
      <c r="A137" s="12"/>
      <c r="B137" s="12"/>
      <c r="C137" s="11"/>
      <c r="D137" s="12"/>
      <c r="E137" s="11"/>
    </row>
    <row r="138" spans="1:5" x14ac:dyDescent="0.25">
      <c r="A138" s="12"/>
      <c r="B138" s="12"/>
      <c r="C138" s="11"/>
      <c r="D138" s="12"/>
      <c r="E138" s="11"/>
    </row>
    <row r="139" spans="1:5" x14ac:dyDescent="0.25">
      <c r="A139" s="12"/>
      <c r="B139" s="12"/>
      <c r="C139" s="11"/>
      <c r="D139" s="12"/>
      <c r="E139" s="11"/>
    </row>
    <row r="140" spans="1:5" x14ac:dyDescent="0.25">
      <c r="A140" s="12"/>
      <c r="B140" s="12"/>
      <c r="C140" s="11"/>
      <c r="D140" s="12"/>
      <c r="E140" s="11"/>
    </row>
    <row r="141" spans="1:5" x14ac:dyDescent="0.25">
      <c r="A141" s="12"/>
      <c r="B141" s="12"/>
      <c r="C141" s="11"/>
      <c r="D141" s="12"/>
      <c r="E141" s="11"/>
    </row>
    <row r="142" spans="1:5" x14ac:dyDescent="0.25">
      <c r="A142" s="12"/>
      <c r="B142" s="12"/>
      <c r="C142" s="11"/>
      <c r="D142" s="12"/>
      <c r="E142" s="11"/>
    </row>
    <row r="143" spans="1:5" x14ac:dyDescent="0.25">
      <c r="A143" s="12"/>
      <c r="B143" s="12"/>
      <c r="C143" s="11"/>
      <c r="D143" s="12"/>
      <c r="E143" s="11"/>
    </row>
    <row r="144" spans="1:5" x14ac:dyDescent="0.25">
      <c r="A144" s="12"/>
      <c r="B144" s="12"/>
      <c r="C144" s="11"/>
      <c r="D144" s="12"/>
      <c r="E144" s="11"/>
    </row>
    <row r="145" spans="1:5" x14ac:dyDescent="0.25">
      <c r="A145" s="12"/>
      <c r="B145" s="12"/>
      <c r="C145" s="11"/>
      <c r="D145" s="12"/>
      <c r="E145" s="11"/>
    </row>
    <row r="146" spans="1:5" x14ac:dyDescent="0.25">
      <c r="A146" s="12"/>
      <c r="B146" s="12"/>
      <c r="C146" s="11"/>
      <c r="D146" s="12"/>
      <c r="E146" s="11"/>
    </row>
    <row r="147" spans="1:5" x14ac:dyDescent="0.25">
      <c r="A147" s="12"/>
      <c r="B147" s="12"/>
      <c r="C147" s="11"/>
      <c r="D147" s="12"/>
      <c r="E147" s="11"/>
    </row>
    <row r="148" spans="1:5" x14ac:dyDescent="0.25">
      <c r="A148" s="12"/>
      <c r="B148" s="12"/>
      <c r="C148" s="11"/>
      <c r="D148" s="12"/>
      <c r="E148" s="11"/>
    </row>
    <row r="149" spans="1:5" x14ac:dyDescent="0.25">
      <c r="A149" s="12"/>
      <c r="B149" s="12"/>
      <c r="C149" s="11"/>
      <c r="D149" s="12"/>
      <c r="E149" s="11"/>
    </row>
    <row r="150" spans="1:5" x14ac:dyDescent="0.25">
      <c r="A150" s="11"/>
      <c r="B150" s="11"/>
      <c r="C150" s="11"/>
      <c r="D150" s="11"/>
      <c r="E150" s="11"/>
    </row>
    <row r="151" spans="1:5" x14ac:dyDescent="0.25">
      <c r="A151" s="12"/>
      <c r="B151" s="12"/>
      <c r="C151" s="11"/>
      <c r="D151" s="12"/>
      <c r="E151" s="11"/>
    </row>
    <row r="152" spans="1:5" x14ac:dyDescent="0.25">
      <c r="A152" s="12"/>
      <c r="B152" s="12"/>
      <c r="C152" s="11"/>
      <c r="D152" s="12"/>
      <c r="E152" s="11"/>
    </row>
    <row r="153" spans="1:5" x14ac:dyDescent="0.25">
      <c r="A153" s="12"/>
      <c r="B153" s="12"/>
      <c r="C153" s="11"/>
      <c r="D153" s="12"/>
      <c r="E153" s="11"/>
    </row>
    <row r="154" spans="1:5" x14ac:dyDescent="0.25">
      <c r="A154" s="12"/>
      <c r="B154" s="12"/>
      <c r="C154" s="11"/>
      <c r="D154" s="12"/>
      <c r="E154" s="11"/>
    </row>
    <row r="155" spans="1:5" x14ac:dyDescent="0.25">
      <c r="A155" s="12"/>
      <c r="B155" s="12"/>
      <c r="C155" s="11"/>
      <c r="D155" s="12"/>
      <c r="E155" s="11"/>
    </row>
    <row r="156" spans="1:5" x14ac:dyDescent="0.25">
      <c r="A156" s="12"/>
      <c r="B156" s="12"/>
      <c r="C156" s="11"/>
      <c r="D156" s="12"/>
      <c r="E156" s="11"/>
    </row>
    <row r="157" spans="1:5" x14ac:dyDescent="0.25">
      <c r="A157" s="12"/>
      <c r="B157" s="12"/>
      <c r="C157" s="11"/>
      <c r="D157" s="12"/>
      <c r="E157" s="11"/>
    </row>
    <row r="158" spans="1:5" x14ac:dyDescent="0.25">
      <c r="A158" s="12"/>
      <c r="B158" s="12"/>
      <c r="C158" s="11"/>
      <c r="D158" s="12"/>
      <c r="E158" s="11"/>
    </row>
    <row r="159" spans="1:5" x14ac:dyDescent="0.25">
      <c r="A159" s="12"/>
      <c r="B159" s="12"/>
      <c r="C159" s="11"/>
      <c r="D159" s="12"/>
      <c r="E159" s="11"/>
    </row>
    <row r="160" spans="1:5" x14ac:dyDescent="0.25">
      <c r="A160" s="12"/>
      <c r="B160" s="12"/>
      <c r="C160" s="11"/>
      <c r="D160" s="12"/>
      <c r="E160" s="11"/>
    </row>
    <row r="161" spans="1:5" x14ac:dyDescent="0.25">
      <c r="A161" s="12"/>
      <c r="B161" s="12"/>
      <c r="C161" s="11"/>
      <c r="D161" s="12"/>
      <c r="E161" s="11"/>
    </row>
    <row r="162" spans="1:5" x14ac:dyDescent="0.25">
      <c r="A162" s="12"/>
      <c r="B162" s="12"/>
      <c r="C162" s="11"/>
      <c r="D162" s="12"/>
      <c r="E162" s="11"/>
    </row>
    <row r="163" spans="1:5" x14ac:dyDescent="0.25">
      <c r="A163" s="12"/>
      <c r="B163" s="12"/>
      <c r="C163" s="11"/>
      <c r="D163" s="12"/>
      <c r="E163" s="11"/>
    </row>
    <row r="164" spans="1:5" x14ac:dyDescent="0.25">
      <c r="A164" s="12"/>
      <c r="B164" s="12"/>
      <c r="C164" s="11"/>
      <c r="D164" s="12"/>
      <c r="E164" s="11"/>
    </row>
    <row r="165" spans="1:5" x14ac:dyDescent="0.25">
      <c r="A165" s="12"/>
      <c r="B165" s="12"/>
      <c r="C165" s="11"/>
      <c r="D165" s="12"/>
      <c r="E165" s="11"/>
    </row>
    <row r="166" spans="1:5" x14ac:dyDescent="0.25">
      <c r="A166" s="11"/>
      <c r="B166" s="11"/>
      <c r="C166" s="11"/>
      <c r="D166" s="11"/>
      <c r="E166" s="11"/>
    </row>
    <row r="167" spans="1:5" x14ac:dyDescent="0.25">
      <c r="A167" s="12"/>
      <c r="B167" s="12"/>
      <c r="C167" s="11"/>
      <c r="D167" s="12"/>
      <c r="E167" s="11"/>
    </row>
    <row r="168" spans="1:5" x14ac:dyDescent="0.25">
      <c r="A168" s="12"/>
      <c r="B168" s="12"/>
      <c r="C168" s="11"/>
      <c r="D168" s="12"/>
      <c r="E168" s="11"/>
    </row>
    <row r="169" spans="1:5" x14ac:dyDescent="0.25">
      <c r="A169" s="12"/>
      <c r="B169" s="12"/>
      <c r="C169" s="11"/>
      <c r="D169" s="12"/>
      <c r="E169" s="11"/>
    </row>
    <row r="170" spans="1:5" x14ac:dyDescent="0.25">
      <c r="A170" s="12"/>
      <c r="B170" s="12"/>
      <c r="C170" s="11"/>
      <c r="D170" s="12"/>
      <c r="E170" s="11"/>
    </row>
    <row r="171" spans="1:5" x14ac:dyDescent="0.25">
      <c r="A171" s="12"/>
      <c r="B171" s="12"/>
      <c r="C171" s="11"/>
      <c r="D171" s="12"/>
      <c r="E171" s="11"/>
    </row>
    <row r="172" spans="1:5" x14ac:dyDescent="0.25">
      <c r="A172" s="12"/>
      <c r="B172" s="12"/>
      <c r="C172" s="11"/>
      <c r="D172" s="12"/>
      <c r="E172" s="11"/>
    </row>
    <row r="173" spans="1:5" x14ac:dyDescent="0.25">
      <c r="A173" s="12"/>
      <c r="B173" s="12"/>
      <c r="C173" s="11"/>
      <c r="D173" s="12"/>
      <c r="E173" s="11"/>
    </row>
    <row r="174" spans="1:5" x14ac:dyDescent="0.25">
      <c r="A174" s="12"/>
      <c r="B174" s="12"/>
      <c r="C174" s="11"/>
      <c r="D174" s="12"/>
      <c r="E174" s="11"/>
    </row>
    <row r="175" spans="1:5" x14ac:dyDescent="0.25">
      <c r="A175" s="12"/>
      <c r="B175" s="12"/>
      <c r="C175" s="11"/>
      <c r="D175" s="12"/>
      <c r="E175" s="11"/>
    </row>
    <row r="176" spans="1:5" x14ac:dyDescent="0.25">
      <c r="A176" s="12"/>
      <c r="B176" s="12"/>
      <c r="C176" s="11"/>
      <c r="D176" s="12"/>
      <c r="E176" s="11"/>
    </row>
    <row r="177" spans="1:5" x14ac:dyDescent="0.25">
      <c r="A177" s="12"/>
      <c r="B177" s="12"/>
      <c r="C177" s="11"/>
      <c r="D177" s="12"/>
      <c r="E177" s="11"/>
    </row>
    <row r="178" spans="1:5" x14ac:dyDescent="0.25">
      <c r="A178" s="12"/>
      <c r="B178" s="12"/>
      <c r="C178" s="11"/>
      <c r="D178" s="12"/>
      <c r="E178" s="11"/>
    </row>
    <row r="179" spans="1:5" x14ac:dyDescent="0.25">
      <c r="A179" s="12"/>
      <c r="B179" s="12"/>
      <c r="C179" s="11"/>
      <c r="D179" s="12"/>
      <c r="E179" s="11"/>
    </row>
    <row r="180" spans="1:5" x14ac:dyDescent="0.25">
      <c r="A180" s="12"/>
      <c r="B180" s="12"/>
      <c r="C180" s="11"/>
      <c r="D180" s="12"/>
      <c r="E180" s="11"/>
    </row>
    <row r="181" spans="1:5" x14ac:dyDescent="0.25">
      <c r="A181" s="12"/>
      <c r="B181" s="12"/>
      <c r="C181" s="11"/>
      <c r="D181" s="12"/>
      <c r="E181" s="11"/>
    </row>
    <row r="182" spans="1:5" x14ac:dyDescent="0.25">
      <c r="A182" s="12"/>
      <c r="B182" s="12"/>
      <c r="C182" s="11"/>
      <c r="D182" s="12"/>
      <c r="E182" s="11"/>
    </row>
    <row r="183" spans="1:5" x14ac:dyDescent="0.25">
      <c r="A183" s="12"/>
      <c r="B183" s="12"/>
      <c r="C183" s="11"/>
      <c r="D183" s="12"/>
      <c r="E183" s="11"/>
    </row>
    <row r="184" spans="1:5" x14ac:dyDescent="0.25">
      <c r="A184" s="12"/>
      <c r="B184" s="12"/>
      <c r="C184" s="11"/>
      <c r="D184" s="12"/>
      <c r="E184" s="11"/>
    </row>
    <row r="185" spans="1:5" x14ac:dyDescent="0.25">
      <c r="A185" s="11"/>
      <c r="B185" s="11"/>
      <c r="C185" s="11"/>
      <c r="D185" s="11"/>
      <c r="E185" s="11"/>
    </row>
    <row r="186" spans="1:5" x14ac:dyDescent="0.25">
      <c r="A186" s="12"/>
      <c r="B186" s="12"/>
      <c r="C186" s="11"/>
      <c r="D186" s="12"/>
      <c r="E186" s="11"/>
    </row>
    <row r="187" spans="1:5" x14ac:dyDescent="0.25">
      <c r="A187" s="12"/>
      <c r="B187" s="12"/>
      <c r="C187" s="11"/>
      <c r="D187" s="12"/>
      <c r="E187" s="11"/>
    </row>
    <row r="188" spans="1:5" x14ac:dyDescent="0.25">
      <c r="A188" s="12"/>
      <c r="B188" s="12"/>
      <c r="C188" s="11"/>
      <c r="D188" s="12"/>
      <c r="E188" s="11"/>
    </row>
    <row r="189" spans="1:5" x14ac:dyDescent="0.25">
      <c r="A189" s="12"/>
      <c r="B189" s="12"/>
      <c r="C189" s="11"/>
      <c r="D189" s="12"/>
      <c r="E189" s="11"/>
    </row>
    <row r="190" spans="1:5" x14ac:dyDescent="0.25">
      <c r="A190" s="12"/>
      <c r="B190" s="12"/>
      <c r="C190" s="11"/>
      <c r="D190" s="12"/>
      <c r="E190" s="11"/>
    </row>
    <row r="191" spans="1:5" x14ac:dyDescent="0.25">
      <c r="A191" s="12"/>
      <c r="B191" s="12"/>
      <c r="C191" s="11"/>
      <c r="D191" s="12"/>
      <c r="E191" s="11"/>
    </row>
    <row r="192" spans="1:5" x14ac:dyDescent="0.25">
      <c r="A192" s="12"/>
      <c r="B192" s="12"/>
      <c r="C192" s="11"/>
      <c r="D192" s="12"/>
      <c r="E192" s="11"/>
    </row>
    <row r="193" spans="1:5" x14ac:dyDescent="0.25">
      <c r="A193" s="12"/>
      <c r="B193" s="12"/>
      <c r="C193" s="11"/>
      <c r="D193" s="12"/>
      <c r="E193" s="11"/>
    </row>
    <row r="194" spans="1:5" x14ac:dyDescent="0.25">
      <c r="A194" s="12"/>
      <c r="B194" s="12"/>
      <c r="C194" s="11"/>
      <c r="D194" s="12"/>
      <c r="E194" s="11"/>
    </row>
    <row r="195" spans="1:5" x14ac:dyDescent="0.25">
      <c r="A195" s="12"/>
      <c r="B195" s="12"/>
      <c r="C195" s="11"/>
      <c r="D195" s="12"/>
      <c r="E195" s="11"/>
    </row>
    <row r="196" spans="1:5" x14ac:dyDescent="0.25">
      <c r="A196" s="12"/>
      <c r="B196" s="12"/>
      <c r="C196" s="11"/>
      <c r="D196" s="12"/>
      <c r="E196" s="11"/>
    </row>
    <row r="197" spans="1:5" x14ac:dyDescent="0.25">
      <c r="A197" s="12"/>
      <c r="B197" s="12"/>
      <c r="C197" s="11"/>
      <c r="D197" s="12"/>
      <c r="E197" s="11"/>
    </row>
    <row r="198" spans="1:5" x14ac:dyDescent="0.25">
      <c r="A198" s="12"/>
      <c r="B198" s="12"/>
      <c r="C198" s="11"/>
      <c r="D198" s="12"/>
      <c r="E198" s="11"/>
    </row>
    <row r="199" spans="1:5" x14ac:dyDescent="0.25">
      <c r="A199" s="12"/>
      <c r="B199" s="12"/>
      <c r="C199" s="11"/>
      <c r="D199" s="12"/>
      <c r="E199" s="11"/>
    </row>
    <row r="200" spans="1:5" x14ac:dyDescent="0.25">
      <c r="A200" s="12"/>
      <c r="B200" s="12"/>
      <c r="C200" s="11"/>
      <c r="D200" s="12"/>
      <c r="E200" s="11"/>
    </row>
    <row r="201" spans="1:5" x14ac:dyDescent="0.25">
      <c r="A201" s="12"/>
      <c r="B201" s="12"/>
      <c r="C201" s="11"/>
      <c r="D201" s="12"/>
      <c r="E201" s="11"/>
    </row>
    <row r="202" spans="1:5" x14ac:dyDescent="0.25">
      <c r="A202" s="12"/>
      <c r="B202" s="12"/>
      <c r="C202" s="11"/>
      <c r="D202" s="12"/>
      <c r="E202" s="11"/>
    </row>
    <row r="203" spans="1:5" x14ac:dyDescent="0.25">
      <c r="A203" s="12"/>
      <c r="B203" s="12"/>
      <c r="C203" s="11"/>
      <c r="D203" s="12"/>
      <c r="E203" s="11"/>
    </row>
    <row r="204" spans="1:5" x14ac:dyDescent="0.25">
      <c r="A204" s="11"/>
      <c r="B204" s="11"/>
      <c r="C204" s="11"/>
      <c r="D204" s="11"/>
      <c r="E204" s="11"/>
    </row>
    <row r="205" spans="1:5" x14ac:dyDescent="0.25">
      <c r="A205" s="12"/>
      <c r="B205" s="12"/>
      <c r="C205" s="11"/>
      <c r="D205" s="12"/>
      <c r="E205" s="11"/>
    </row>
    <row r="206" spans="1:5" x14ac:dyDescent="0.25">
      <c r="A206" s="12"/>
      <c r="B206" s="12"/>
      <c r="C206" s="11"/>
      <c r="D206" s="12"/>
      <c r="E206" s="11"/>
    </row>
    <row r="207" spans="1:5" x14ac:dyDescent="0.25">
      <c r="A207" s="12"/>
      <c r="B207" s="12"/>
      <c r="C207" s="11"/>
      <c r="D207" s="12"/>
      <c r="E207" s="11"/>
    </row>
    <row r="208" spans="1:5" x14ac:dyDescent="0.25">
      <c r="A208" s="12"/>
      <c r="B208" s="12"/>
      <c r="C208" s="11"/>
      <c r="D208" s="12"/>
      <c r="E208" s="11"/>
    </row>
    <row r="209" spans="1:5" x14ac:dyDescent="0.25">
      <c r="A209" s="12"/>
      <c r="B209" s="12"/>
      <c r="C209" s="11"/>
      <c r="D209" s="12"/>
      <c r="E209" s="11"/>
    </row>
    <row r="210" spans="1:5" x14ac:dyDescent="0.25">
      <c r="A210" s="12"/>
      <c r="B210" s="12"/>
      <c r="C210" s="11"/>
      <c r="D210" s="12"/>
      <c r="E210" s="11"/>
    </row>
    <row r="211" spans="1:5" x14ac:dyDescent="0.25">
      <c r="A211" s="12"/>
      <c r="B211" s="12"/>
      <c r="C211" s="11"/>
      <c r="D211" s="12"/>
      <c r="E211" s="11"/>
    </row>
    <row r="212" spans="1:5" x14ac:dyDescent="0.25">
      <c r="A212" s="12"/>
      <c r="B212" s="12"/>
      <c r="C212" s="11"/>
      <c r="D212" s="12"/>
      <c r="E212" s="11"/>
    </row>
    <row r="213" spans="1:5" x14ac:dyDescent="0.25">
      <c r="A213" s="12"/>
      <c r="B213" s="12"/>
      <c r="C213" s="11"/>
      <c r="D213" s="12"/>
      <c r="E213" s="11"/>
    </row>
    <row r="214" spans="1:5" x14ac:dyDescent="0.25">
      <c r="A214" s="12"/>
      <c r="B214" s="12"/>
      <c r="C214" s="11"/>
      <c r="D214" s="12"/>
      <c r="E214" s="11"/>
    </row>
    <row r="215" spans="1:5" x14ac:dyDescent="0.25">
      <c r="A215" s="12"/>
      <c r="B215" s="12"/>
      <c r="C215" s="11"/>
      <c r="D215" s="12"/>
      <c r="E215" s="11"/>
    </row>
    <row r="216" spans="1:5" x14ac:dyDescent="0.25">
      <c r="A216" s="12"/>
      <c r="B216" s="12"/>
      <c r="C216" s="11"/>
      <c r="D216" s="12"/>
      <c r="E216" s="11"/>
    </row>
    <row r="217" spans="1:5" x14ac:dyDescent="0.25">
      <c r="A217" s="12"/>
      <c r="B217" s="12"/>
      <c r="C217" s="11"/>
      <c r="D217" s="12"/>
      <c r="E217" s="11"/>
    </row>
    <row r="218" spans="1:5" x14ac:dyDescent="0.25">
      <c r="A218" s="12"/>
      <c r="B218" s="12"/>
      <c r="C218" s="11"/>
      <c r="D218" s="12"/>
      <c r="E218" s="11"/>
    </row>
    <row r="219" spans="1:5" x14ac:dyDescent="0.25">
      <c r="A219" s="12"/>
      <c r="B219" s="12"/>
      <c r="C219" s="11"/>
      <c r="D219" s="12"/>
      <c r="E219" s="11"/>
    </row>
    <row r="220" spans="1:5" x14ac:dyDescent="0.25">
      <c r="A220" s="12"/>
      <c r="B220" s="12"/>
      <c r="C220" s="11"/>
      <c r="D220" s="12"/>
      <c r="E220" s="11"/>
    </row>
    <row r="221" spans="1:5" x14ac:dyDescent="0.25">
      <c r="A221" s="11"/>
      <c r="B221" s="11"/>
      <c r="C221" s="11"/>
      <c r="D221" s="11"/>
      <c r="E221" s="11"/>
    </row>
    <row r="222" spans="1:5" x14ac:dyDescent="0.25">
      <c r="A222" s="12"/>
      <c r="B222" s="12"/>
      <c r="C222" s="11"/>
      <c r="D222" s="12"/>
      <c r="E222" s="11"/>
    </row>
    <row r="223" spans="1:5" x14ac:dyDescent="0.25">
      <c r="A223" s="12"/>
      <c r="B223" s="12"/>
      <c r="C223" s="11"/>
      <c r="D223" s="12"/>
      <c r="E223" s="11"/>
    </row>
    <row r="224" spans="1:5" x14ac:dyDescent="0.25">
      <c r="A224" s="12"/>
      <c r="B224" s="12"/>
      <c r="C224" s="11"/>
      <c r="D224" s="12"/>
      <c r="E224" s="11"/>
    </row>
    <row r="225" spans="1:5" x14ac:dyDescent="0.25">
      <c r="A225" s="12"/>
      <c r="B225" s="12"/>
      <c r="C225" s="11"/>
      <c r="D225" s="12"/>
      <c r="E225" s="11"/>
    </row>
    <row r="226" spans="1:5" x14ac:dyDescent="0.25">
      <c r="A226" s="12"/>
      <c r="B226" s="12"/>
      <c r="C226" s="11"/>
      <c r="D226" s="12"/>
      <c r="E226" s="11"/>
    </row>
    <row r="227" spans="1:5" x14ac:dyDescent="0.25">
      <c r="A227" s="12"/>
      <c r="B227" s="12"/>
      <c r="C227" s="11"/>
      <c r="D227" s="12"/>
      <c r="E227" s="11"/>
    </row>
    <row r="228" spans="1:5" x14ac:dyDescent="0.25">
      <c r="A228" s="12"/>
      <c r="B228" s="12"/>
      <c r="C228" s="11"/>
      <c r="D228" s="12"/>
      <c r="E228" s="11"/>
    </row>
    <row r="229" spans="1:5" x14ac:dyDescent="0.25">
      <c r="A229" s="12"/>
      <c r="B229" s="12"/>
      <c r="C229" s="11"/>
      <c r="D229" s="12"/>
      <c r="E229" s="11"/>
    </row>
    <row r="230" spans="1:5" x14ac:dyDescent="0.25">
      <c r="A230" s="12"/>
      <c r="B230" s="12"/>
      <c r="C230" s="11"/>
      <c r="D230" s="12"/>
      <c r="E230" s="11"/>
    </row>
    <row r="231" spans="1:5" x14ac:dyDescent="0.25">
      <c r="A231" s="12"/>
      <c r="B231" s="12"/>
      <c r="C231" s="11"/>
      <c r="D231" s="12"/>
      <c r="E231" s="11"/>
    </row>
    <row r="232" spans="1:5" x14ac:dyDescent="0.25">
      <c r="A232" s="12"/>
      <c r="B232" s="12"/>
      <c r="C232" s="11"/>
      <c r="D232" s="12"/>
      <c r="E232" s="11"/>
    </row>
    <row r="233" spans="1:5" x14ac:dyDescent="0.25">
      <c r="A233" s="12"/>
      <c r="B233" s="12"/>
      <c r="C233" s="11"/>
      <c r="D233" s="12"/>
      <c r="E233" s="11"/>
    </row>
    <row r="234" spans="1:5" x14ac:dyDescent="0.25">
      <c r="A234" s="12"/>
      <c r="B234" s="12"/>
      <c r="C234" s="11"/>
      <c r="D234" s="12"/>
      <c r="E234" s="11"/>
    </row>
    <row r="235" spans="1:5" x14ac:dyDescent="0.25">
      <c r="A235" s="12"/>
      <c r="B235" s="12"/>
      <c r="C235" s="11"/>
      <c r="D235" s="12"/>
      <c r="E235" s="11"/>
    </row>
    <row r="236" spans="1:5" x14ac:dyDescent="0.25">
      <c r="A236" s="12"/>
      <c r="B236" s="12"/>
      <c r="C236" s="11"/>
      <c r="D236" s="12"/>
      <c r="E236" s="11"/>
    </row>
    <row r="237" spans="1:5" x14ac:dyDescent="0.25">
      <c r="A237" s="12"/>
      <c r="B237" s="12"/>
      <c r="C237" s="11"/>
      <c r="D237" s="12"/>
      <c r="E237" s="11"/>
    </row>
    <row r="238" spans="1:5" x14ac:dyDescent="0.25">
      <c r="A238" s="11"/>
      <c r="B238" s="11"/>
      <c r="C238" s="11"/>
      <c r="D238" s="11"/>
      <c r="E238" s="11"/>
    </row>
    <row r="239" spans="1:5" x14ac:dyDescent="0.25">
      <c r="A239" s="12"/>
      <c r="B239" s="12"/>
      <c r="C239" s="11"/>
      <c r="D239" s="12"/>
      <c r="E239" s="11"/>
    </row>
    <row r="240" spans="1:5" x14ac:dyDescent="0.25">
      <c r="A240" s="12"/>
      <c r="B240" s="12"/>
      <c r="C240" s="11"/>
      <c r="D240" s="12"/>
      <c r="E240" s="11"/>
    </row>
    <row r="241" spans="1:5" x14ac:dyDescent="0.25">
      <c r="A241" s="12"/>
      <c r="B241" s="12"/>
      <c r="C241" s="11"/>
      <c r="D241" s="12"/>
      <c r="E241" s="11"/>
    </row>
    <row r="242" spans="1:5" x14ac:dyDescent="0.25">
      <c r="A242" s="12"/>
      <c r="B242" s="12"/>
      <c r="C242" s="11"/>
      <c r="D242" s="12"/>
      <c r="E242" s="11"/>
    </row>
    <row r="243" spans="1:5" x14ac:dyDescent="0.25">
      <c r="A243" s="12"/>
      <c r="B243" s="12"/>
      <c r="C243" s="11"/>
      <c r="D243" s="12"/>
      <c r="E243" s="11"/>
    </row>
    <row r="244" spans="1:5" x14ac:dyDescent="0.25">
      <c r="A244" s="12"/>
      <c r="B244" s="12"/>
      <c r="C244" s="11"/>
      <c r="D244" s="12"/>
      <c r="E244" s="11"/>
    </row>
    <row r="245" spans="1:5" x14ac:dyDescent="0.25">
      <c r="A245" s="12"/>
      <c r="B245" s="12"/>
      <c r="C245" s="11"/>
      <c r="D245" s="12"/>
      <c r="E245" s="11"/>
    </row>
    <row r="246" spans="1:5" x14ac:dyDescent="0.25">
      <c r="A246" s="12"/>
      <c r="B246" s="12"/>
      <c r="C246" s="11"/>
      <c r="D246" s="12"/>
      <c r="E246" s="11"/>
    </row>
    <row r="247" spans="1:5" x14ac:dyDescent="0.25">
      <c r="A247" s="12"/>
      <c r="B247" s="12"/>
      <c r="C247" s="11"/>
      <c r="D247" s="12"/>
      <c r="E247" s="11"/>
    </row>
    <row r="248" spans="1:5" x14ac:dyDescent="0.25">
      <c r="A248" s="12"/>
      <c r="B248" s="12"/>
      <c r="C248" s="11"/>
      <c r="D248" s="12"/>
      <c r="E248" s="11"/>
    </row>
    <row r="249" spans="1:5" x14ac:dyDescent="0.25">
      <c r="A249" s="12"/>
      <c r="B249" s="12"/>
      <c r="C249" s="11"/>
      <c r="D249" s="12"/>
      <c r="E249" s="11"/>
    </row>
    <row r="250" spans="1:5" x14ac:dyDescent="0.25">
      <c r="A250" s="12"/>
      <c r="B250" s="12"/>
      <c r="C250" s="11"/>
      <c r="D250" s="12"/>
      <c r="E250" s="11"/>
    </row>
    <row r="251" spans="1:5" x14ac:dyDescent="0.25">
      <c r="A251" s="12"/>
      <c r="B251" s="12"/>
      <c r="C251" s="11"/>
      <c r="D251" s="12"/>
      <c r="E251" s="11"/>
    </row>
    <row r="252" spans="1:5" x14ac:dyDescent="0.25">
      <c r="A252" s="12"/>
      <c r="B252" s="12"/>
      <c r="C252" s="11"/>
      <c r="D252" s="12"/>
      <c r="E252" s="11"/>
    </row>
    <row r="253" spans="1:5" x14ac:dyDescent="0.25">
      <c r="A253" s="12"/>
      <c r="B253" s="12"/>
      <c r="C253" s="11"/>
      <c r="D253" s="12"/>
      <c r="E253" s="11"/>
    </row>
    <row r="254" spans="1:5" x14ac:dyDescent="0.25">
      <c r="A254" s="12"/>
      <c r="B254" s="12"/>
      <c r="C254" s="11"/>
      <c r="D254" s="12"/>
      <c r="E254" s="11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232E-D4EC-4086-9070-D4D35168B553}">
  <sheetPr codeName="Лист8"/>
  <dimension ref="A1:E254"/>
  <sheetViews>
    <sheetView workbookViewId="0">
      <selection activeCell="J48" sqref="J48"/>
    </sheetView>
  </sheetViews>
  <sheetFormatPr defaultRowHeight="15" x14ac:dyDescent="0.25"/>
  <sheetData>
    <row r="1" spans="1:5" ht="18.75" customHeight="1" x14ac:dyDescent="0.2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25">
      <c r="A2" s="11">
        <v>25</v>
      </c>
      <c r="B2" s="11">
        <v>32</v>
      </c>
      <c r="C2" s="11">
        <v>2</v>
      </c>
      <c r="D2" s="11">
        <v>38</v>
      </c>
      <c r="E2" s="11" t="s">
        <v>2442</v>
      </c>
    </row>
    <row r="3" spans="1:5" x14ac:dyDescent="0.25">
      <c r="A3" s="12">
        <v>25</v>
      </c>
      <c r="B3" s="12">
        <v>32</v>
      </c>
      <c r="C3" s="11" t="s">
        <v>2399</v>
      </c>
      <c r="D3" s="12">
        <v>38</v>
      </c>
      <c r="E3" s="11" t="s">
        <v>2396</v>
      </c>
    </row>
    <row r="4" spans="1:5" x14ac:dyDescent="0.25">
      <c r="A4" s="12">
        <v>25</v>
      </c>
      <c r="B4" s="12">
        <v>32</v>
      </c>
      <c r="C4" s="11">
        <v>3</v>
      </c>
      <c r="D4" s="12">
        <v>38</v>
      </c>
      <c r="E4" s="11" t="s">
        <v>2396</v>
      </c>
    </row>
    <row r="5" spans="1:5" x14ac:dyDescent="0.25">
      <c r="A5" s="12">
        <v>25</v>
      </c>
      <c r="B5" s="12">
        <v>32</v>
      </c>
      <c r="C5" s="11" t="s">
        <v>2402</v>
      </c>
      <c r="D5" s="12">
        <v>38</v>
      </c>
      <c r="E5" s="11" t="s">
        <v>2396</v>
      </c>
    </row>
    <row r="6" spans="1:5" x14ac:dyDescent="0.25">
      <c r="A6" s="11">
        <v>32</v>
      </c>
      <c r="B6" s="11">
        <v>38</v>
      </c>
      <c r="C6" s="11">
        <v>2</v>
      </c>
      <c r="D6" s="11">
        <v>48</v>
      </c>
      <c r="E6" s="11" t="s">
        <v>2396</v>
      </c>
    </row>
    <row r="7" spans="1:5" x14ac:dyDescent="0.25">
      <c r="A7" s="12">
        <v>32</v>
      </c>
      <c r="B7" s="12">
        <v>38</v>
      </c>
      <c r="C7" s="11" t="s">
        <v>2399</v>
      </c>
      <c r="D7" s="12">
        <v>48</v>
      </c>
      <c r="E7" s="11" t="s">
        <v>2396</v>
      </c>
    </row>
    <row r="8" spans="1:5" x14ac:dyDescent="0.25">
      <c r="A8" s="12">
        <v>32</v>
      </c>
      <c r="B8" s="12">
        <v>38</v>
      </c>
      <c r="C8" s="11">
        <v>3</v>
      </c>
      <c r="D8" s="12">
        <v>48</v>
      </c>
      <c r="E8" s="11" t="s">
        <v>2396</v>
      </c>
    </row>
    <row r="9" spans="1:5" x14ac:dyDescent="0.25">
      <c r="A9" s="12">
        <v>32</v>
      </c>
      <c r="B9" s="12">
        <v>38</v>
      </c>
      <c r="C9" s="11" t="s">
        <v>2402</v>
      </c>
      <c r="D9" s="12">
        <v>48</v>
      </c>
      <c r="E9" s="11" t="s">
        <v>2397</v>
      </c>
    </row>
    <row r="10" spans="1:5" x14ac:dyDescent="0.25">
      <c r="A10" s="12">
        <v>32</v>
      </c>
      <c r="B10" s="12">
        <v>38</v>
      </c>
      <c r="C10" s="11">
        <v>4</v>
      </c>
      <c r="D10" s="12">
        <v>48</v>
      </c>
      <c r="E10" s="11" t="s">
        <v>2397</v>
      </c>
    </row>
    <row r="11" spans="1:5" x14ac:dyDescent="0.25">
      <c r="A11" s="11">
        <v>40</v>
      </c>
      <c r="B11" s="11">
        <v>45</v>
      </c>
      <c r="C11" s="11" t="s">
        <v>2399</v>
      </c>
      <c r="D11" s="11">
        <v>60</v>
      </c>
      <c r="E11" s="11" t="s">
        <v>2397</v>
      </c>
    </row>
    <row r="12" spans="1:5" x14ac:dyDescent="0.25">
      <c r="A12" s="12">
        <v>40</v>
      </c>
      <c r="B12" s="12">
        <v>45</v>
      </c>
      <c r="C12" s="11">
        <v>3</v>
      </c>
      <c r="D12" s="12">
        <v>60</v>
      </c>
      <c r="E12" s="11" t="s">
        <v>2397</v>
      </c>
    </row>
    <row r="13" spans="1:5" x14ac:dyDescent="0.25">
      <c r="A13" s="12">
        <v>40</v>
      </c>
      <c r="B13" s="12">
        <v>45</v>
      </c>
      <c r="C13" s="11" t="s">
        <v>2402</v>
      </c>
      <c r="D13" s="12">
        <v>60</v>
      </c>
      <c r="E13" s="11" t="s">
        <v>2398</v>
      </c>
    </row>
    <row r="14" spans="1:5" x14ac:dyDescent="0.25">
      <c r="A14" s="12">
        <v>40</v>
      </c>
      <c r="B14" s="12">
        <v>45</v>
      </c>
      <c r="C14" s="11">
        <v>4</v>
      </c>
      <c r="D14" s="12">
        <v>60</v>
      </c>
      <c r="E14" s="11" t="s">
        <v>2398</v>
      </c>
    </row>
    <row r="15" spans="1:5" x14ac:dyDescent="0.25">
      <c r="A15" s="12">
        <v>40</v>
      </c>
      <c r="B15" s="12">
        <v>45</v>
      </c>
      <c r="C15" s="11">
        <v>5</v>
      </c>
      <c r="D15" s="12">
        <v>60</v>
      </c>
      <c r="E15" s="11" t="s">
        <v>2443</v>
      </c>
    </row>
    <row r="16" spans="1:5" x14ac:dyDescent="0.25">
      <c r="A16" s="11">
        <v>50</v>
      </c>
      <c r="B16" s="11">
        <v>57</v>
      </c>
      <c r="C16" s="11" t="s">
        <v>2399</v>
      </c>
      <c r="D16" s="11">
        <v>75</v>
      </c>
      <c r="E16" s="11" t="s">
        <v>2398</v>
      </c>
    </row>
    <row r="17" spans="1:5" x14ac:dyDescent="0.25">
      <c r="A17" s="12">
        <v>50</v>
      </c>
      <c r="B17" s="12">
        <v>57</v>
      </c>
      <c r="C17" s="11">
        <v>3</v>
      </c>
      <c r="D17" s="12">
        <v>75</v>
      </c>
      <c r="E17" s="11" t="s">
        <v>2443</v>
      </c>
    </row>
    <row r="18" spans="1:5" x14ac:dyDescent="0.25">
      <c r="A18" s="12">
        <v>50</v>
      </c>
      <c r="B18" s="12">
        <v>57</v>
      </c>
      <c r="C18" s="11" t="s">
        <v>2402</v>
      </c>
      <c r="D18" s="12">
        <v>75</v>
      </c>
      <c r="E18" s="11" t="s">
        <v>2400</v>
      </c>
    </row>
    <row r="19" spans="1:5" x14ac:dyDescent="0.25">
      <c r="A19" s="12">
        <v>50</v>
      </c>
      <c r="B19" s="12">
        <v>57</v>
      </c>
      <c r="C19" s="11">
        <v>4</v>
      </c>
      <c r="D19" s="12">
        <v>75</v>
      </c>
      <c r="E19" s="11" t="s">
        <v>2401</v>
      </c>
    </row>
    <row r="20" spans="1:5" x14ac:dyDescent="0.25">
      <c r="A20" s="12">
        <v>50</v>
      </c>
      <c r="B20" s="12">
        <v>57</v>
      </c>
      <c r="C20" s="11" t="s">
        <v>2410</v>
      </c>
      <c r="D20" s="12">
        <v>75</v>
      </c>
      <c r="E20" s="11" t="s">
        <v>2401</v>
      </c>
    </row>
    <row r="21" spans="1:5" x14ac:dyDescent="0.25">
      <c r="A21" s="12">
        <v>50</v>
      </c>
      <c r="B21" s="12">
        <v>57</v>
      </c>
      <c r="C21" s="11">
        <v>5</v>
      </c>
      <c r="D21" s="12">
        <v>75</v>
      </c>
      <c r="E21" s="11" t="s">
        <v>2403</v>
      </c>
    </row>
    <row r="22" spans="1:5" x14ac:dyDescent="0.25">
      <c r="A22" s="12">
        <v>50</v>
      </c>
      <c r="B22" s="12">
        <v>57</v>
      </c>
      <c r="C22" s="11" t="s">
        <v>2395</v>
      </c>
      <c r="D22" s="12">
        <v>75</v>
      </c>
      <c r="E22" s="11" t="s">
        <v>2444</v>
      </c>
    </row>
    <row r="23" spans="1:5" x14ac:dyDescent="0.25">
      <c r="A23" s="12">
        <v>50</v>
      </c>
      <c r="B23" s="12">
        <v>57</v>
      </c>
      <c r="C23" s="11">
        <v>6</v>
      </c>
      <c r="D23" s="12">
        <v>75</v>
      </c>
      <c r="E23" s="11">
        <v>1</v>
      </c>
    </row>
    <row r="24" spans="1:5" x14ac:dyDescent="0.25">
      <c r="A24" s="11">
        <v>65</v>
      </c>
      <c r="B24" s="11">
        <v>76</v>
      </c>
      <c r="C24" s="11">
        <v>3</v>
      </c>
      <c r="D24" s="11">
        <v>100</v>
      </c>
      <c r="E24" s="11" t="s">
        <v>2403</v>
      </c>
    </row>
    <row r="25" spans="1:5" x14ac:dyDescent="0.25">
      <c r="A25" s="12">
        <v>65</v>
      </c>
      <c r="B25" s="12">
        <v>76</v>
      </c>
      <c r="C25" s="11" t="s">
        <v>2402</v>
      </c>
      <c r="D25" s="12">
        <v>100</v>
      </c>
      <c r="E25" s="11">
        <v>1</v>
      </c>
    </row>
    <row r="26" spans="1:5" x14ac:dyDescent="0.25">
      <c r="A26" s="12">
        <v>65</v>
      </c>
      <c r="B26" s="12">
        <v>76</v>
      </c>
      <c r="C26" s="11">
        <v>4</v>
      </c>
      <c r="D26" s="12">
        <v>100</v>
      </c>
      <c r="E26" s="11" t="s">
        <v>2445</v>
      </c>
    </row>
    <row r="27" spans="1:5" x14ac:dyDescent="0.25">
      <c r="A27" s="12">
        <v>65</v>
      </c>
      <c r="B27" s="12">
        <v>76</v>
      </c>
      <c r="C27" s="11" t="s">
        <v>2410</v>
      </c>
      <c r="D27" s="12">
        <v>100</v>
      </c>
      <c r="E27" s="11" t="s">
        <v>2446</v>
      </c>
    </row>
    <row r="28" spans="1:5" x14ac:dyDescent="0.25">
      <c r="A28" s="12">
        <v>65</v>
      </c>
      <c r="B28" s="12">
        <v>76</v>
      </c>
      <c r="C28" s="11">
        <v>5</v>
      </c>
      <c r="D28" s="12">
        <v>100</v>
      </c>
      <c r="E28" s="11" t="s">
        <v>2404</v>
      </c>
    </row>
    <row r="29" spans="1:5" x14ac:dyDescent="0.25">
      <c r="A29" s="12">
        <v>65</v>
      </c>
      <c r="B29" s="12">
        <v>76</v>
      </c>
      <c r="C29" s="11" t="s">
        <v>2395</v>
      </c>
      <c r="D29" s="12">
        <v>100</v>
      </c>
      <c r="E29" s="11" t="s">
        <v>2405</v>
      </c>
    </row>
    <row r="30" spans="1:5" x14ac:dyDescent="0.25">
      <c r="A30" s="12">
        <v>65</v>
      </c>
      <c r="B30" s="12">
        <v>76</v>
      </c>
      <c r="C30" s="11">
        <v>6</v>
      </c>
      <c r="D30" s="12">
        <v>100</v>
      </c>
      <c r="E30" s="11" t="s">
        <v>2447</v>
      </c>
    </row>
    <row r="31" spans="1:5" x14ac:dyDescent="0.25">
      <c r="A31" s="12">
        <v>65</v>
      </c>
      <c r="B31" s="12">
        <v>76</v>
      </c>
      <c r="C31" s="11">
        <v>7</v>
      </c>
      <c r="D31" s="12">
        <v>100</v>
      </c>
      <c r="E31" s="11">
        <v>2</v>
      </c>
    </row>
    <row r="32" spans="1:5" x14ac:dyDescent="0.25">
      <c r="A32" s="12">
        <v>65</v>
      </c>
      <c r="B32" s="12">
        <v>76</v>
      </c>
      <c r="C32" s="11">
        <v>8</v>
      </c>
      <c r="D32" s="12">
        <v>100</v>
      </c>
      <c r="E32" s="11" t="s">
        <v>2408</v>
      </c>
    </row>
    <row r="33" spans="1:5" x14ac:dyDescent="0.25">
      <c r="A33" s="11">
        <v>80</v>
      </c>
      <c r="B33" s="11">
        <v>89</v>
      </c>
      <c r="C33" s="11">
        <v>3</v>
      </c>
      <c r="D33" s="11">
        <v>120</v>
      </c>
      <c r="E33" s="11" t="s">
        <v>2448</v>
      </c>
    </row>
    <row r="34" spans="1:5" x14ac:dyDescent="0.25">
      <c r="A34" s="12">
        <v>80</v>
      </c>
      <c r="B34" s="12">
        <v>89</v>
      </c>
      <c r="C34" s="11" t="s">
        <v>2402</v>
      </c>
      <c r="D34" s="12">
        <v>120</v>
      </c>
      <c r="E34" s="11" t="s">
        <v>2404</v>
      </c>
    </row>
    <row r="35" spans="1:5" x14ac:dyDescent="0.25">
      <c r="A35" s="12">
        <v>80</v>
      </c>
      <c r="B35" s="12">
        <v>89</v>
      </c>
      <c r="C35" s="11">
        <v>4</v>
      </c>
      <c r="D35" s="12">
        <v>120</v>
      </c>
      <c r="E35" s="11" t="s">
        <v>2406</v>
      </c>
    </row>
    <row r="36" spans="1:5" x14ac:dyDescent="0.25">
      <c r="A36" s="12">
        <v>80</v>
      </c>
      <c r="B36" s="12">
        <v>89</v>
      </c>
      <c r="C36" s="11" t="s">
        <v>2410</v>
      </c>
      <c r="D36" s="12">
        <v>120</v>
      </c>
      <c r="E36" s="11" t="s">
        <v>2447</v>
      </c>
    </row>
    <row r="37" spans="1:5" x14ac:dyDescent="0.25">
      <c r="A37" s="12">
        <v>80</v>
      </c>
      <c r="B37" s="12">
        <v>89</v>
      </c>
      <c r="C37" s="11">
        <v>5</v>
      </c>
      <c r="D37" s="12">
        <v>120</v>
      </c>
      <c r="E37" s="11" t="s">
        <v>2449</v>
      </c>
    </row>
    <row r="38" spans="1:5" x14ac:dyDescent="0.25">
      <c r="A38" s="12">
        <v>80</v>
      </c>
      <c r="B38" s="12">
        <v>89</v>
      </c>
      <c r="C38" s="11" t="s">
        <v>2395</v>
      </c>
      <c r="D38" s="12">
        <v>120</v>
      </c>
      <c r="E38" s="11" t="s">
        <v>2450</v>
      </c>
    </row>
    <row r="39" spans="1:5" x14ac:dyDescent="0.25">
      <c r="A39" s="12">
        <v>80</v>
      </c>
      <c r="B39" s="12">
        <v>89</v>
      </c>
      <c r="C39" s="11">
        <v>6</v>
      </c>
      <c r="D39" s="12">
        <v>120</v>
      </c>
      <c r="E39" s="11" t="s">
        <v>2451</v>
      </c>
    </row>
    <row r="40" spans="1:5" x14ac:dyDescent="0.25">
      <c r="A40" s="12">
        <v>80</v>
      </c>
      <c r="B40" s="12">
        <v>89</v>
      </c>
      <c r="C40" s="11">
        <v>7</v>
      </c>
      <c r="D40" s="12">
        <v>120</v>
      </c>
      <c r="E40" s="11" t="s">
        <v>2407</v>
      </c>
    </row>
    <row r="41" spans="1:5" x14ac:dyDescent="0.25">
      <c r="A41" s="12">
        <v>80</v>
      </c>
      <c r="B41" s="12">
        <v>89</v>
      </c>
      <c r="C41" s="11">
        <v>8</v>
      </c>
      <c r="D41" s="12">
        <v>120</v>
      </c>
      <c r="E41" s="11">
        <v>3</v>
      </c>
    </row>
    <row r="42" spans="1:5" x14ac:dyDescent="0.25">
      <c r="A42" s="11">
        <v>100</v>
      </c>
      <c r="B42" s="11">
        <v>102</v>
      </c>
      <c r="C42" s="11" t="s">
        <v>2402</v>
      </c>
      <c r="D42" s="11">
        <v>150</v>
      </c>
      <c r="E42" s="11" t="s">
        <v>2450</v>
      </c>
    </row>
    <row r="43" spans="1:5" x14ac:dyDescent="0.25">
      <c r="A43" s="12">
        <v>100</v>
      </c>
      <c r="B43" s="12">
        <v>102</v>
      </c>
      <c r="C43" s="11">
        <v>4</v>
      </c>
      <c r="D43" s="12">
        <v>150</v>
      </c>
      <c r="E43" s="11" t="s">
        <v>2452</v>
      </c>
    </row>
    <row r="44" spans="1:5" x14ac:dyDescent="0.25">
      <c r="A44" s="12">
        <v>100</v>
      </c>
      <c r="B44" s="12">
        <v>102</v>
      </c>
      <c r="C44" s="11" t="s">
        <v>2410</v>
      </c>
      <c r="D44" s="12">
        <v>150</v>
      </c>
      <c r="E44" s="11" t="s">
        <v>2453</v>
      </c>
    </row>
    <row r="45" spans="1:5" x14ac:dyDescent="0.25">
      <c r="A45" s="12">
        <v>100</v>
      </c>
      <c r="B45" s="12">
        <v>102</v>
      </c>
      <c r="C45" s="11">
        <v>5</v>
      </c>
      <c r="D45" s="12">
        <v>150</v>
      </c>
      <c r="E45" s="11" t="s">
        <v>2415</v>
      </c>
    </row>
    <row r="46" spans="1:5" x14ac:dyDescent="0.25">
      <c r="A46" s="12">
        <v>100</v>
      </c>
      <c r="B46" s="12">
        <v>102</v>
      </c>
      <c r="C46" s="11">
        <v>6</v>
      </c>
      <c r="D46" s="12">
        <v>150</v>
      </c>
      <c r="E46" s="11" t="s">
        <v>2454</v>
      </c>
    </row>
    <row r="47" spans="1:5" x14ac:dyDescent="0.25">
      <c r="A47" s="12">
        <v>100</v>
      </c>
      <c r="B47" s="12">
        <v>102</v>
      </c>
      <c r="C47" s="11">
        <v>7</v>
      </c>
      <c r="D47" s="12">
        <v>150</v>
      </c>
      <c r="E47" s="11" t="s">
        <v>2455</v>
      </c>
    </row>
    <row r="48" spans="1:5" x14ac:dyDescent="0.25">
      <c r="A48" s="12">
        <v>100</v>
      </c>
      <c r="B48" s="12">
        <v>102</v>
      </c>
      <c r="C48" s="11">
        <v>8</v>
      </c>
      <c r="D48" s="12">
        <v>150</v>
      </c>
      <c r="E48" s="11" t="s">
        <v>2410</v>
      </c>
    </row>
    <row r="49" spans="1:5" x14ac:dyDescent="0.25">
      <c r="A49" s="12">
        <v>100</v>
      </c>
      <c r="B49" s="12">
        <v>102</v>
      </c>
      <c r="C49" s="11">
        <v>9</v>
      </c>
      <c r="D49" s="12">
        <v>150</v>
      </c>
      <c r="E49" s="11">
        <v>5</v>
      </c>
    </row>
    <row r="50" spans="1:5" x14ac:dyDescent="0.25">
      <c r="A50" s="12">
        <v>100</v>
      </c>
      <c r="B50" s="12">
        <v>102</v>
      </c>
      <c r="C50" s="11">
        <v>10</v>
      </c>
      <c r="D50" s="12">
        <v>150</v>
      </c>
      <c r="E50" s="11" t="s">
        <v>2395</v>
      </c>
    </row>
    <row r="51" spans="1:5" x14ac:dyDescent="0.25">
      <c r="A51" s="12">
        <v>100</v>
      </c>
      <c r="B51" s="11">
        <v>108</v>
      </c>
      <c r="C51" s="11" t="s">
        <v>2402</v>
      </c>
      <c r="D51" s="12">
        <v>150</v>
      </c>
      <c r="E51" s="11" t="s">
        <v>2408</v>
      </c>
    </row>
    <row r="52" spans="1:5" x14ac:dyDescent="0.25">
      <c r="A52" s="12">
        <v>100</v>
      </c>
      <c r="B52" s="12">
        <v>108</v>
      </c>
      <c r="C52" s="11">
        <v>4</v>
      </c>
      <c r="D52" s="12">
        <v>150</v>
      </c>
      <c r="E52" s="11" t="s">
        <v>2399</v>
      </c>
    </row>
    <row r="53" spans="1:5" x14ac:dyDescent="0.25">
      <c r="A53" s="12">
        <v>100</v>
      </c>
      <c r="B53" s="12">
        <v>108</v>
      </c>
      <c r="C53" s="11" t="s">
        <v>2410</v>
      </c>
      <c r="D53" s="12">
        <v>150</v>
      </c>
      <c r="E53" s="11" t="s">
        <v>2456</v>
      </c>
    </row>
    <row r="54" spans="1:5" x14ac:dyDescent="0.25">
      <c r="A54" s="12">
        <v>100</v>
      </c>
      <c r="B54" s="12">
        <v>108</v>
      </c>
      <c r="C54" s="11">
        <v>5</v>
      </c>
      <c r="D54" s="12">
        <v>150</v>
      </c>
      <c r="E54" s="11" t="s">
        <v>2457</v>
      </c>
    </row>
    <row r="55" spans="1:5" x14ac:dyDescent="0.25">
      <c r="A55" s="12">
        <v>100</v>
      </c>
      <c r="B55" s="12">
        <v>108</v>
      </c>
      <c r="C55" s="11">
        <v>6</v>
      </c>
      <c r="D55" s="12">
        <v>150</v>
      </c>
      <c r="E55" s="11" t="s">
        <v>2458</v>
      </c>
    </row>
    <row r="56" spans="1:5" x14ac:dyDescent="0.25">
      <c r="A56" s="12">
        <v>100</v>
      </c>
      <c r="B56" s="12">
        <v>108</v>
      </c>
      <c r="C56" s="11">
        <v>7</v>
      </c>
      <c r="D56" s="12">
        <v>150</v>
      </c>
      <c r="E56" s="11" t="s">
        <v>2416</v>
      </c>
    </row>
    <row r="57" spans="1:5" x14ac:dyDescent="0.25">
      <c r="A57" s="12">
        <v>100</v>
      </c>
      <c r="B57" s="12">
        <v>108</v>
      </c>
      <c r="C57" s="11">
        <v>8</v>
      </c>
      <c r="D57" s="12">
        <v>150</v>
      </c>
      <c r="E57" s="11" t="s">
        <v>2459</v>
      </c>
    </row>
    <row r="58" spans="1:5" x14ac:dyDescent="0.25">
      <c r="A58" s="12">
        <v>100</v>
      </c>
      <c r="B58" s="12">
        <v>108</v>
      </c>
      <c r="C58" s="11">
        <v>9</v>
      </c>
      <c r="D58" s="12">
        <v>150</v>
      </c>
      <c r="E58" s="11" t="s">
        <v>2460</v>
      </c>
    </row>
    <row r="59" spans="1:5" x14ac:dyDescent="0.25">
      <c r="A59" s="12">
        <v>100</v>
      </c>
      <c r="B59" s="12">
        <v>108</v>
      </c>
      <c r="C59" s="11">
        <v>10</v>
      </c>
      <c r="D59" s="12">
        <v>150</v>
      </c>
      <c r="E59" s="11" t="s">
        <v>2461</v>
      </c>
    </row>
    <row r="60" spans="1:5" x14ac:dyDescent="0.25">
      <c r="A60" s="12">
        <v>100</v>
      </c>
      <c r="B60" s="11">
        <v>114</v>
      </c>
      <c r="C60" s="11" t="s">
        <v>2402</v>
      </c>
      <c r="D60" s="12">
        <v>150</v>
      </c>
      <c r="E60" s="11" t="s">
        <v>2408</v>
      </c>
    </row>
    <row r="61" spans="1:5" x14ac:dyDescent="0.25">
      <c r="A61" s="12">
        <v>100</v>
      </c>
      <c r="B61" s="12">
        <v>114</v>
      </c>
      <c r="C61" s="11">
        <v>4</v>
      </c>
      <c r="D61" s="12">
        <v>150</v>
      </c>
      <c r="E61" s="11" t="s">
        <v>2453</v>
      </c>
    </row>
    <row r="62" spans="1:5" x14ac:dyDescent="0.25">
      <c r="A62" s="12">
        <v>100</v>
      </c>
      <c r="B62" s="12">
        <v>114</v>
      </c>
      <c r="C62" s="11" t="s">
        <v>2410</v>
      </c>
      <c r="D62" s="12">
        <v>150</v>
      </c>
      <c r="E62" s="11" t="s">
        <v>2415</v>
      </c>
    </row>
    <row r="63" spans="1:5" x14ac:dyDescent="0.25">
      <c r="A63" s="12">
        <v>100</v>
      </c>
      <c r="B63" s="12">
        <v>114</v>
      </c>
      <c r="C63" s="11">
        <v>5</v>
      </c>
      <c r="D63" s="12">
        <v>150</v>
      </c>
      <c r="E63" s="11" t="s">
        <v>2409</v>
      </c>
    </row>
    <row r="64" spans="1:5" x14ac:dyDescent="0.25">
      <c r="A64" s="12">
        <v>100</v>
      </c>
      <c r="B64" s="12">
        <v>114</v>
      </c>
      <c r="C64" s="11">
        <v>6</v>
      </c>
      <c r="D64" s="12">
        <v>150</v>
      </c>
      <c r="E64" s="11" t="s">
        <v>2462</v>
      </c>
    </row>
    <row r="65" spans="1:5" x14ac:dyDescent="0.25">
      <c r="A65" s="12">
        <v>100</v>
      </c>
      <c r="B65" s="12">
        <v>114</v>
      </c>
      <c r="C65" s="11">
        <v>7</v>
      </c>
      <c r="D65" s="12">
        <v>150</v>
      </c>
      <c r="E65" s="11" t="s">
        <v>2413</v>
      </c>
    </row>
    <row r="66" spans="1:5" x14ac:dyDescent="0.25">
      <c r="A66" s="12">
        <v>100</v>
      </c>
      <c r="B66" s="12">
        <v>114</v>
      </c>
      <c r="C66" s="11">
        <v>8</v>
      </c>
      <c r="D66" s="12">
        <v>150</v>
      </c>
      <c r="E66" s="11">
        <v>5</v>
      </c>
    </row>
    <row r="67" spans="1:5" x14ac:dyDescent="0.25">
      <c r="A67" s="12">
        <v>100</v>
      </c>
      <c r="B67" s="12">
        <v>114</v>
      </c>
      <c r="C67" s="11">
        <v>9</v>
      </c>
      <c r="D67" s="12">
        <v>150</v>
      </c>
      <c r="E67" s="11" t="s">
        <v>2463</v>
      </c>
    </row>
    <row r="68" spans="1:5" x14ac:dyDescent="0.25">
      <c r="A68" s="12">
        <v>100</v>
      </c>
      <c r="B68" s="12">
        <v>114</v>
      </c>
      <c r="C68" s="11">
        <v>10</v>
      </c>
      <c r="D68" s="12">
        <v>150</v>
      </c>
      <c r="E68" s="11" t="s">
        <v>2464</v>
      </c>
    </row>
    <row r="69" spans="1:5" x14ac:dyDescent="0.25">
      <c r="A69" s="11">
        <v>125</v>
      </c>
      <c r="B69" s="11">
        <v>133</v>
      </c>
      <c r="C69" s="11" t="s">
        <v>2402</v>
      </c>
      <c r="D69" s="11">
        <v>190</v>
      </c>
      <c r="E69" s="11" t="s">
        <v>2409</v>
      </c>
    </row>
    <row r="70" spans="1:5" x14ac:dyDescent="0.25">
      <c r="A70" s="12">
        <v>125</v>
      </c>
      <c r="B70" s="12">
        <v>133</v>
      </c>
      <c r="C70" s="11">
        <v>4</v>
      </c>
      <c r="D70" s="12">
        <v>190</v>
      </c>
      <c r="E70" s="11" t="s">
        <v>2462</v>
      </c>
    </row>
    <row r="71" spans="1:5" x14ac:dyDescent="0.25">
      <c r="A71" s="12">
        <v>125</v>
      </c>
      <c r="B71" s="12">
        <v>133</v>
      </c>
      <c r="C71" s="11" t="s">
        <v>2410</v>
      </c>
      <c r="D71" s="12">
        <v>190</v>
      </c>
      <c r="E71" s="11" t="s">
        <v>2465</v>
      </c>
    </row>
    <row r="72" spans="1:5" x14ac:dyDescent="0.25">
      <c r="A72" s="12">
        <v>125</v>
      </c>
      <c r="B72" s="12">
        <v>133</v>
      </c>
      <c r="C72" s="11">
        <v>5</v>
      </c>
      <c r="D72" s="12">
        <v>190</v>
      </c>
      <c r="E72" s="11" t="s">
        <v>2419</v>
      </c>
    </row>
    <row r="73" spans="1:5" x14ac:dyDescent="0.25">
      <c r="A73" s="12">
        <v>125</v>
      </c>
      <c r="B73" s="12">
        <v>133</v>
      </c>
      <c r="C73" s="11">
        <v>6</v>
      </c>
      <c r="D73" s="12">
        <v>190</v>
      </c>
      <c r="E73" s="11" t="s">
        <v>2463</v>
      </c>
    </row>
    <row r="74" spans="1:5" x14ac:dyDescent="0.25">
      <c r="A74" s="12">
        <v>125</v>
      </c>
      <c r="B74" s="12">
        <v>133</v>
      </c>
      <c r="C74" s="11">
        <v>7</v>
      </c>
      <c r="D74" s="12">
        <v>190</v>
      </c>
      <c r="E74" s="11" t="s">
        <v>2414</v>
      </c>
    </row>
    <row r="75" spans="1:5" x14ac:dyDescent="0.25">
      <c r="A75" s="12">
        <v>125</v>
      </c>
      <c r="B75" s="12">
        <v>133</v>
      </c>
      <c r="C75" s="11">
        <v>8</v>
      </c>
      <c r="D75" s="12">
        <v>190</v>
      </c>
      <c r="E75" s="11" t="s">
        <v>2466</v>
      </c>
    </row>
    <row r="76" spans="1:5" x14ac:dyDescent="0.25">
      <c r="A76" s="12">
        <v>125</v>
      </c>
      <c r="B76" s="12">
        <v>133</v>
      </c>
      <c r="C76" s="11">
        <v>9</v>
      </c>
      <c r="D76" s="12">
        <v>190</v>
      </c>
      <c r="E76" s="11" t="s">
        <v>2467</v>
      </c>
    </row>
    <row r="77" spans="1:5" x14ac:dyDescent="0.25">
      <c r="A77" s="12">
        <v>125</v>
      </c>
      <c r="B77" s="12">
        <v>133</v>
      </c>
      <c r="C77" s="11">
        <v>10</v>
      </c>
      <c r="D77" s="12">
        <v>190</v>
      </c>
      <c r="E77" s="11" t="s">
        <v>2468</v>
      </c>
    </row>
    <row r="78" spans="1:5" x14ac:dyDescent="0.25">
      <c r="A78" s="12">
        <v>125</v>
      </c>
      <c r="B78" s="12">
        <v>133</v>
      </c>
      <c r="C78" s="11">
        <v>11</v>
      </c>
      <c r="D78" s="12">
        <v>190</v>
      </c>
      <c r="E78" s="11">
        <v>10</v>
      </c>
    </row>
    <row r="79" spans="1:5" x14ac:dyDescent="0.25">
      <c r="A79" s="12">
        <v>125</v>
      </c>
      <c r="B79" s="12">
        <v>133</v>
      </c>
      <c r="C79" s="11">
        <v>12</v>
      </c>
      <c r="D79" s="12">
        <v>190</v>
      </c>
      <c r="E79" s="11">
        <v>11</v>
      </c>
    </row>
    <row r="80" spans="1:5" x14ac:dyDescent="0.25">
      <c r="A80" s="11">
        <v>150</v>
      </c>
      <c r="B80" s="11">
        <v>159</v>
      </c>
      <c r="C80" s="11">
        <v>4</v>
      </c>
      <c r="D80" s="11">
        <v>225</v>
      </c>
      <c r="E80" s="11" t="s">
        <v>2469</v>
      </c>
    </row>
    <row r="81" spans="1:5" x14ac:dyDescent="0.25">
      <c r="A81" s="12">
        <v>150</v>
      </c>
      <c r="B81" s="12">
        <v>159</v>
      </c>
      <c r="C81" s="11" t="s">
        <v>2410</v>
      </c>
      <c r="D81" s="12">
        <v>225</v>
      </c>
      <c r="E81" s="11" t="s">
        <v>2464</v>
      </c>
    </row>
    <row r="82" spans="1:5" x14ac:dyDescent="0.25">
      <c r="A82" s="12">
        <v>150</v>
      </c>
      <c r="B82" s="12">
        <v>159</v>
      </c>
      <c r="C82" s="11">
        <v>5</v>
      </c>
      <c r="D82" s="12">
        <v>225</v>
      </c>
      <c r="E82" s="11" t="s">
        <v>2470</v>
      </c>
    </row>
    <row r="83" spans="1:5" x14ac:dyDescent="0.25">
      <c r="A83" s="12">
        <v>150</v>
      </c>
      <c r="B83" s="12">
        <v>159</v>
      </c>
      <c r="C83" s="11">
        <v>6</v>
      </c>
      <c r="D83" s="12">
        <v>225</v>
      </c>
      <c r="E83" s="11" t="s">
        <v>2471</v>
      </c>
    </row>
    <row r="84" spans="1:5" x14ac:dyDescent="0.25">
      <c r="A84" s="12">
        <v>150</v>
      </c>
      <c r="B84" s="12">
        <v>159</v>
      </c>
      <c r="C84" s="11">
        <v>7</v>
      </c>
      <c r="D84" s="12">
        <v>225</v>
      </c>
      <c r="E84" s="11" t="s">
        <v>2472</v>
      </c>
    </row>
    <row r="85" spans="1:5" x14ac:dyDescent="0.25">
      <c r="A85" s="12">
        <v>150</v>
      </c>
      <c r="B85" s="12">
        <v>159</v>
      </c>
      <c r="C85" s="11">
        <v>8</v>
      </c>
      <c r="D85" s="12">
        <v>225</v>
      </c>
      <c r="E85" s="11">
        <v>11</v>
      </c>
    </row>
    <row r="86" spans="1:5" x14ac:dyDescent="0.25">
      <c r="A86" s="12">
        <v>150</v>
      </c>
      <c r="B86" s="12">
        <v>159</v>
      </c>
      <c r="C86" s="11">
        <v>9</v>
      </c>
      <c r="D86" s="12">
        <v>225</v>
      </c>
      <c r="E86" s="11">
        <v>12</v>
      </c>
    </row>
    <row r="87" spans="1:5" x14ac:dyDescent="0.25">
      <c r="A87" s="12">
        <v>150</v>
      </c>
      <c r="B87" s="12">
        <v>159</v>
      </c>
      <c r="C87" s="11">
        <v>10</v>
      </c>
      <c r="D87" s="12">
        <v>225</v>
      </c>
      <c r="E87" s="11">
        <v>13</v>
      </c>
    </row>
    <row r="88" spans="1:5" x14ac:dyDescent="0.25">
      <c r="A88" s="12">
        <v>150</v>
      </c>
      <c r="B88" s="12">
        <v>159</v>
      </c>
      <c r="C88" s="11">
        <v>11</v>
      </c>
      <c r="D88" s="12">
        <v>225</v>
      </c>
      <c r="E88" s="11">
        <v>14</v>
      </c>
    </row>
    <row r="89" spans="1:5" x14ac:dyDescent="0.25">
      <c r="A89" s="12">
        <v>150</v>
      </c>
      <c r="B89" s="12">
        <v>159</v>
      </c>
      <c r="C89" s="11">
        <v>12</v>
      </c>
      <c r="D89" s="12">
        <v>225</v>
      </c>
      <c r="E89" s="11">
        <v>16</v>
      </c>
    </row>
    <row r="90" spans="1:5" x14ac:dyDescent="0.25">
      <c r="A90" s="12">
        <v>150</v>
      </c>
      <c r="B90" s="12">
        <v>159</v>
      </c>
      <c r="C90" s="11">
        <v>13</v>
      </c>
      <c r="D90" s="12">
        <v>225</v>
      </c>
      <c r="E90" s="11">
        <v>17</v>
      </c>
    </row>
    <row r="91" spans="1:5" x14ac:dyDescent="0.25">
      <c r="A91" s="12">
        <v>150</v>
      </c>
      <c r="B91" s="12">
        <v>159</v>
      </c>
      <c r="C91" s="11">
        <v>14</v>
      </c>
      <c r="D91" s="12">
        <v>225</v>
      </c>
      <c r="E91" s="11">
        <v>18</v>
      </c>
    </row>
    <row r="92" spans="1:5" x14ac:dyDescent="0.25">
      <c r="A92" s="12">
        <v>150</v>
      </c>
      <c r="B92" s="11">
        <v>168</v>
      </c>
      <c r="C92" s="11">
        <v>4</v>
      </c>
      <c r="D92" s="12">
        <v>225</v>
      </c>
      <c r="E92" s="11" t="s">
        <v>2473</v>
      </c>
    </row>
    <row r="93" spans="1:5" x14ac:dyDescent="0.25">
      <c r="A93" s="12">
        <v>150</v>
      </c>
      <c r="B93" s="12">
        <v>168</v>
      </c>
      <c r="C93" s="11" t="s">
        <v>2410</v>
      </c>
      <c r="D93" s="12">
        <v>225</v>
      </c>
      <c r="E93" s="11" t="s">
        <v>2474</v>
      </c>
    </row>
    <row r="94" spans="1:5" x14ac:dyDescent="0.25">
      <c r="A94" s="12">
        <v>150</v>
      </c>
      <c r="B94" s="12">
        <v>168</v>
      </c>
      <c r="C94" s="11">
        <v>5</v>
      </c>
      <c r="D94" s="12">
        <v>225</v>
      </c>
      <c r="E94" s="11" t="s">
        <v>2475</v>
      </c>
    </row>
    <row r="95" spans="1:5" x14ac:dyDescent="0.25">
      <c r="A95" s="12">
        <v>150</v>
      </c>
      <c r="B95" s="12">
        <v>168</v>
      </c>
      <c r="C95" s="11">
        <v>6</v>
      </c>
      <c r="D95" s="12">
        <v>225</v>
      </c>
      <c r="E95" s="11" t="s">
        <v>2476</v>
      </c>
    </row>
    <row r="96" spans="1:5" x14ac:dyDescent="0.25">
      <c r="A96" s="12">
        <v>150</v>
      </c>
      <c r="B96" s="12">
        <v>168</v>
      </c>
      <c r="C96" s="11">
        <v>7</v>
      </c>
      <c r="D96" s="12">
        <v>225</v>
      </c>
      <c r="E96" s="11" t="s">
        <v>2477</v>
      </c>
    </row>
    <row r="97" spans="1:5" x14ac:dyDescent="0.25">
      <c r="A97" s="12">
        <v>150</v>
      </c>
      <c r="B97" s="12">
        <v>168</v>
      </c>
      <c r="C97" s="11">
        <v>8</v>
      </c>
      <c r="D97" s="12">
        <v>225</v>
      </c>
      <c r="E97" s="11" t="s">
        <v>2478</v>
      </c>
    </row>
    <row r="98" spans="1:5" x14ac:dyDescent="0.25">
      <c r="A98" s="12">
        <v>150</v>
      </c>
      <c r="B98" s="12">
        <v>168</v>
      </c>
      <c r="C98" s="11">
        <v>9</v>
      </c>
      <c r="D98" s="12">
        <v>225</v>
      </c>
      <c r="E98" s="11" t="s">
        <v>2389</v>
      </c>
    </row>
    <row r="99" spans="1:5" x14ac:dyDescent="0.25">
      <c r="A99" s="12">
        <v>150</v>
      </c>
      <c r="B99" s="12">
        <v>168</v>
      </c>
      <c r="C99" s="11">
        <v>10</v>
      </c>
      <c r="D99" s="12">
        <v>225</v>
      </c>
      <c r="E99" s="11">
        <v>14</v>
      </c>
    </row>
    <row r="100" spans="1:5" x14ac:dyDescent="0.25">
      <c r="A100" s="12">
        <v>150</v>
      </c>
      <c r="B100" s="12">
        <v>168</v>
      </c>
      <c r="C100" s="11">
        <v>11</v>
      </c>
      <c r="D100" s="12">
        <v>225</v>
      </c>
      <c r="E100" s="11">
        <v>15</v>
      </c>
    </row>
    <row r="101" spans="1:5" x14ac:dyDescent="0.25">
      <c r="A101" s="12">
        <v>150</v>
      </c>
      <c r="B101" s="12">
        <v>168</v>
      </c>
      <c r="C101" s="11">
        <v>12</v>
      </c>
      <c r="D101" s="12">
        <v>225</v>
      </c>
      <c r="E101" s="11">
        <v>16</v>
      </c>
    </row>
    <row r="102" spans="1:5" x14ac:dyDescent="0.25">
      <c r="A102" s="12">
        <v>150</v>
      </c>
      <c r="B102" s="12">
        <v>168</v>
      </c>
      <c r="C102" s="11">
        <v>13</v>
      </c>
      <c r="D102" s="12">
        <v>225</v>
      </c>
      <c r="E102" s="11" t="s">
        <v>2479</v>
      </c>
    </row>
    <row r="103" spans="1:5" x14ac:dyDescent="0.25">
      <c r="A103" s="12">
        <v>150</v>
      </c>
      <c r="B103" s="12">
        <v>168</v>
      </c>
      <c r="C103" s="11">
        <v>14</v>
      </c>
      <c r="D103" s="12">
        <v>225</v>
      </c>
      <c r="E103" s="11">
        <v>19</v>
      </c>
    </row>
    <row r="104" spans="1:5" x14ac:dyDescent="0.25">
      <c r="A104" s="11">
        <v>200</v>
      </c>
      <c r="B104" s="11">
        <v>219</v>
      </c>
      <c r="C104" s="11">
        <v>5</v>
      </c>
      <c r="D104" s="11">
        <v>300</v>
      </c>
      <c r="E104" s="11">
        <v>13</v>
      </c>
    </row>
    <row r="105" spans="1:5" x14ac:dyDescent="0.25">
      <c r="A105" s="12">
        <v>200</v>
      </c>
      <c r="B105" s="12">
        <v>219</v>
      </c>
      <c r="C105" s="11">
        <v>6</v>
      </c>
      <c r="D105" s="12">
        <v>300</v>
      </c>
      <c r="E105" s="11">
        <v>15</v>
      </c>
    </row>
    <row r="106" spans="1:5" x14ac:dyDescent="0.25">
      <c r="A106" s="12">
        <v>200</v>
      </c>
      <c r="B106" s="12">
        <v>219</v>
      </c>
      <c r="C106" s="11">
        <v>7</v>
      </c>
      <c r="D106" s="12">
        <v>300</v>
      </c>
      <c r="E106" s="11">
        <v>17</v>
      </c>
    </row>
    <row r="107" spans="1:5" x14ac:dyDescent="0.25">
      <c r="A107" s="12">
        <v>200</v>
      </c>
      <c r="B107" s="12">
        <v>219</v>
      </c>
      <c r="C107" s="11">
        <v>8</v>
      </c>
      <c r="D107" s="12">
        <v>300</v>
      </c>
      <c r="E107" s="11">
        <v>20</v>
      </c>
    </row>
    <row r="108" spans="1:5" x14ac:dyDescent="0.25">
      <c r="A108" s="12">
        <v>200</v>
      </c>
      <c r="B108" s="12">
        <v>219</v>
      </c>
      <c r="C108" s="11">
        <v>9</v>
      </c>
      <c r="D108" s="12">
        <v>300</v>
      </c>
      <c r="E108" s="11">
        <v>22</v>
      </c>
    </row>
    <row r="109" spans="1:5" x14ac:dyDescent="0.25">
      <c r="A109" s="12">
        <v>200</v>
      </c>
      <c r="B109" s="12">
        <v>219</v>
      </c>
      <c r="C109" s="11">
        <v>10</v>
      </c>
      <c r="D109" s="12">
        <v>300</v>
      </c>
      <c r="E109" s="11">
        <v>25</v>
      </c>
    </row>
    <row r="110" spans="1:5" x14ac:dyDescent="0.25">
      <c r="A110" s="12">
        <v>200</v>
      </c>
      <c r="B110" s="12">
        <v>219</v>
      </c>
      <c r="C110" s="11">
        <v>11</v>
      </c>
      <c r="D110" s="12">
        <v>300</v>
      </c>
      <c r="E110" s="11">
        <v>27</v>
      </c>
    </row>
    <row r="111" spans="1:5" x14ac:dyDescent="0.25">
      <c r="A111" s="12">
        <v>200</v>
      </c>
      <c r="B111" s="12">
        <v>219</v>
      </c>
      <c r="C111" s="11">
        <v>12</v>
      </c>
      <c r="D111" s="12">
        <v>300</v>
      </c>
      <c r="E111" s="11">
        <v>29</v>
      </c>
    </row>
    <row r="112" spans="1:5" x14ac:dyDescent="0.25">
      <c r="A112" s="12">
        <v>200</v>
      </c>
      <c r="B112" s="12">
        <v>219</v>
      </c>
      <c r="C112" s="11">
        <v>13</v>
      </c>
      <c r="D112" s="12">
        <v>300</v>
      </c>
      <c r="E112" s="11">
        <v>32</v>
      </c>
    </row>
    <row r="113" spans="1:5" x14ac:dyDescent="0.25">
      <c r="A113" s="12">
        <v>200</v>
      </c>
      <c r="B113" s="12">
        <v>219</v>
      </c>
      <c r="C113" s="11">
        <v>14</v>
      </c>
      <c r="D113" s="12">
        <v>300</v>
      </c>
      <c r="E113" s="11">
        <v>34</v>
      </c>
    </row>
    <row r="114" spans="1:5" x14ac:dyDescent="0.25">
      <c r="A114" s="12">
        <v>200</v>
      </c>
      <c r="B114" s="12">
        <v>219</v>
      </c>
      <c r="C114" s="11">
        <v>15</v>
      </c>
      <c r="D114" s="12">
        <v>300</v>
      </c>
      <c r="E114" s="11">
        <v>37</v>
      </c>
    </row>
    <row r="115" spans="1:5" x14ac:dyDescent="0.25">
      <c r="A115" s="12">
        <v>200</v>
      </c>
      <c r="B115" s="12">
        <v>219</v>
      </c>
      <c r="C115" s="11">
        <v>16</v>
      </c>
      <c r="D115" s="12">
        <v>300</v>
      </c>
      <c r="E115" s="11">
        <v>39</v>
      </c>
    </row>
    <row r="116" spans="1:5" x14ac:dyDescent="0.25">
      <c r="A116" s="12">
        <v>200</v>
      </c>
      <c r="B116" s="12">
        <v>219</v>
      </c>
      <c r="C116" s="11">
        <v>17</v>
      </c>
      <c r="D116" s="12">
        <v>300</v>
      </c>
      <c r="E116" s="11">
        <v>42</v>
      </c>
    </row>
    <row r="117" spans="1:5" x14ac:dyDescent="0.25">
      <c r="A117" s="12">
        <v>200</v>
      </c>
      <c r="B117" s="12">
        <v>219</v>
      </c>
      <c r="C117" s="11">
        <v>18</v>
      </c>
      <c r="D117" s="12">
        <v>300</v>
      </c>
      <c r="E117" s="11">
        <v>44</v>
      </c>
    </row>
    <row r="118" spans="1:5" x14ac:dyDescent="0.25">
      <c r="A118" s="11">
        <v>250</v>
      </c>
      <c r="B118" s="11">
        <v>273</v>
      </c>
      <c r="C118" s="11">
        <v>6</v>
      </c>
      <c r="D118" s="11">
        <v>375</v>
      </c>
      <c r="E118" s="11">
        <v>23</v>
      </c>
    </row>
    <row r="119" spans="1:5" x14ac:dyDescent="0.25">
      <c r="A119" s="12">
        <v>250</v>
      </c>
      <c r="B119" s="12">
        <v>273</v>
      </c>
      <c r="C119" s="11">
        <v>7</v>
      </c>
      <c r="D119" s="12">
        <v>375</v>
      </c>
      <c r="E119" s="11">
        <v>27</v>
      </c>
    </row>
    <row r="120" spans="1:5" x14ac:dyDescent="0.25">
      <c r="A120" s="12">
        <v>250</v>
      </c>
      <c r="B120" s="12">
        <v>273</v>
      </c>
      <c r="C120" s="11">
        <v>8</v>
      </c>
      <c r="D120" s="12">
        <v>375</v>
      </c>
      <c r="E120" s="11">
        <v>31</v>
      </c>
    </row>
    <row r="121" spans="1:5" x14ac:dyDescent="0.25">
      <c r="A121" s="12">
        <v>250</v>
      </c>
      <c r="B121" s="12">
        <v>273</v>
      </c>
      <c r="C121" s="11">
        <v>9</v>
      </c>
      <c r="D121" s="12">
        <v>375</v>
      </c>
      <c r="E121" s="11">
        <v>35</v>
      </c>
    </row>
    <row r="122" spans="1:5" x14ac:dyDescent="0.25">
      <c r="A122" s="12">
        <v>250</v>
      </c>
      <c r="B122" s="12">
        <v>273</v>
      </c>
      <c r="C122" s="11">
        <v>10</v>
      </c>
      <c r="D122" s="12">
        <v>375</v>
      </c>
      <c r="E122" s="11">
        <v>39</v>
      </c>
    </row>
    <row r="123" spans="1:5" x14ac:dyDescent="0.25">
      <c r="A123" s="12">
        <v>250</v>
      </c>
      <c r="B123" s="12">
        <v>273</v>
      </c>
      <c r="C123" s="11">
        <v>11</v>
      </c>
      <c r="D123" s="12">
        <v>375</v>
      </c>
      <c r="E123" s="11">
        <v>43</v>
      </c>
    </row>
    <row r="124" spans="1:5" x14ac:dyDescent="0.25">
      <c r="A124" s="12">
        <v>250</v>
      </c>
      <c r="B124" s="12">
        <v>273</v>
      </c>
      <c r="C124" s="11">
        <v>12</v>
      </c>
      <c r="D124" s="12">
        <v>375</v>
      </c>
      <c r="E124" s="11">
        <v>46</v>
      </c>
    </row>
    <row r="125" spans="1:5" x14ac:dyDescent="0.25">
      <c r="A125" s="12">
        <v>250</v>
      </c>
      <c r="B125" s="12">
        <v>273</v>
      </c>
      <c r="C125" s="11">
        <v>13</v>
      </c>
      <c r="D125" s="12">
        <v>375</v>
      </c>
      <c r="E125" s="11">
        <v>50</v>
      </c>
    </row>
    <row r="126" spans="1:5" x14ac:dyDescent="0.25">
      <c r="A126" s="12">
        <v>250</v>
      </c>
      <c r="B126" s="12">
        <v>273</v>
      </c>
      <c r="C126" s="11">
        <v>14</v>
      </c>
      <c r="D126" s="12">
        <v>375</v>
      </c>
      <c r="E126" s="11">
        <v>54</v>
      </c>
    </row>
    <row r="127" spans="1:5" x14ac:dyDescent="0.25">
      <c r="A127" s="12">
        <v>250</v>
      </c>
      <c r="B127" s="12">
        <v>273</v>
      </c>
      <c r="C127" s="11">
        <v>15</v>
      </c>
      <c r="D127" s="12">
        <v>375</v>
      </c>
      <c r="E127" s="11">
        <v>58</v>
      </c>
    </row>
    <row r="128" spans="1:5" x14ac:dyDescent="0.25">
      <c r="A128" s="12">
        <v>250</v>
      </c>
      <c r="B128" s="12">
        <v>273</v>
      </c>
      <c r="C128" s="11">
        <v>16</v>
      </c>
      <c r="D128" s="12">
        <v>375</v>
      </c>
      <c r="E128" s="11">
        <v>61</v>
      </c>
    </row>
    <row r="129" spans="1:5" x14ac:dyDescent="0.25">
      <c r="A129" s="12">
        <v>250</v>
      </c>
      <c r="B129" s="12">
        <v>273</v>
      </c>
      <c r="C129" s="11">
        <v>17</v>
      </c>
      <c r="D129" s="12">
        <v>375</v>
      </c>
      <c r="E129" s="11">
        <v>66</v>
      </c>
    </row>
    <row r="130" spans="1:5" x14ac:dyDescent="0.25">
      <c r="A130" s="12">
        <v>250</v>
      </c>
      <c r="B130" s="12">
        <v>273</v>
      </c>
      <c r="C130" s="11">
        <v>18</v>
      </c>
      <c r="D130" s="12">
        <v>375</v>
      </c>
      <c r="E130" s="11">
        <v>70</v>
      </c>
    </row>
    <row r="131" spans="1:5" x14ac:dyDescent="0.25">
      <c r="A131" s="12">
        <v>250</v>
      </c>
      <c r="B131" s="12">
        <v>273</v>
      </c>
      <c r="C131" s="11">
        <v>20</v>
      </c>
      <c r="D131" s="12">
        <v>375</v>
      </c>
      <c r="E131" s="11">
        <v>78</v>
      </c>
    </row>
    <row r="132" spans="1:5" x14ac:dyDescent="0.25">
      <c r="A132" s="12">
        <v>250</v>
      </c>
      <c r="B132" s="12">
        <v>273</v>
      </c>
      <c r="C132" s="11">
        <v>22</v>
      </c>
      <c r="D132" s="12">
        <v>375</v>
      </c>
      <c r="E132" s="11">
        <v>85</v>
      </c>
    </row>
    <row r="133" spans="1:5" x14ac:dyDescent="0.25">
      <c r="A133" s="11">
        <v>300</v>
      </c>
      <c r="B133" s="11">
        <v>325</v>
      </c>
      <c r="C133" s="11">
        <v>7</v>
      </c>
      <c r="D133" s="11">
        <v>450</v>
      </c>
      <c r="E133" s="11">
        <v>39</v>
      </c>
    </row>
    <row r="134" spans="1:5" x14ac:dyDescent="0.25">
      <c r="A134" s="12">
        <v>300</v>
      </c>
      <c r="B134" s="12">
        <v>325</v>
      </c>
      <c r="C134" s="11">
        <v>8</v>
      </c>
      <c r="D134" s="12">
        <v>450</v>
      </c>
      <c r="E134" s="11">
        <v>45</v>
      </c>
    </row>
    <row r="135" spans="1:5" x14ac:dyDescent="0.25">
      <c r="A135" s="12">
        <v>300</v>
      </c>
      <c r="B135" s="12">
        <v>325</v>
      </c>
      <c r="C135" s="11">
        <v>9</v>
      </c>
      <c r="D135" s="12">
        <v>450</v>
      </c>
      <c r="E135" s="11">
        <v>50</v>
      </c>
    </row>
    <row r="136" spans="1:5" x14ac:dyDescent="0.25">
      <c r="A136" s="12">
        <v>300</v>
      </c>
      <c r="B136" s="12">
        <v>325</v>
      </c>
      <c r="C136" s="11">
        <v>10</v>
      </c>
      <c r="D136" s="12">
        <v>450</v>
      </c>
      <c r="E136" s="11">
        <v>56</v>
      </c>
    </row>
    <row r="137" spans="1:5" x14ac:dyDescent="0.25">
      <c r="A137" s="12">
        <v>300</v>
      </c>
      <c r="B137" s="12">
        <v>325</v>
      </c>
      <c r="C137" s="11">
        <v>11</v>
      </c>
      <c r="D137" s="12">
        <v>450</v>
      </c>
      <c r="E137" s="11">
        <v>61</v>
      </c>
    </row>
    <row r="138" spans="1:5" x14ac:dyDescent="0.25">
      <c r="A138" s="12">
        <v>300</v>
      </c>
      <c r="B138" s="12">
        <v>325</v>
      </c>
      <c r="C138" s="11">
        <v>12</v>
      </c>
      <c r="D138" s="12">
        <v>450</v>
      </c>
      <c r="E138" s="11">
        <v>66</v>
      </c>
    </row>
    <row r="139" spans="1:5" x14ac:dyDescent="0.25">
      <c r="A139" s="12">
        <v>300</v>
      </c>
      <c r="B139" s="12">
        <v>325</v>
      </c>
      <c r="C139" s="11">
        <v>13</v>
      </c>
      <c r="D139" s="12">
        <v>450</v>
      </c>
      <c r="E139" s="11">
        <v>72</v>
      </c>
    </row>
    <row r="140" spans="1:5" x14ac:dyDescent="0.25">
      <c r="A140" s="12">
        <v>300</v>
      </c>
      <c r="B140" s="12">
        <v>325</v>
      </c>
      <c r="C140" s="11">
        <v>14</v>
      </c>
      <c r="D140" s="12">
        <v>450</v>
      </c>
      <c r="E140" s="11">
        <v>77</v>
      </c>
    </row>
    <row r="141" spans="1:5" x14ac:dyDescent="0.25">
      <c r="A141" s="12">
        <v>300</v>
      </c>
      <c r="B141" s="12">
        <v>325</v>
      </c>
      <c r="C141" s="11">
        <v>15</v>
      </c>
      <c r="D141" s="12">
        <v>450</v>
      </c>
      <c r="E141" s="11">
        <v>82</v>
      </c>
    </row>
    <row r="142" spans="1:5" x14ac:dyDescent="0.25">
      <c r="A142" s="12">
        <v>300</v>
      </c>
      <c r="B142" s="12">
        <v>325</v>
      </c>
      <c r="C142" s="11">
        <v>16</v>
      </c>
      <c r="D142" s="12">
        <v>450</v>
      </c>
      <c r="E142" s="11">
        <v>87</v>
      </c>
    </row>
    <row r="143" spans="1:5" x14ac:dyDescent="0.25">
      <c r="A143" s="12">
        <v>300</v>
      </c>
      <c r="B143" s="12">
        <v>325</v>
      </c>
      <c r="C143" s="11">
        <v>17</v>
      </c>
      <c r="D143" s="12">
        <v>450</v>
      </c>
      <c r="E143" s="11">
        <v>92</v>
      </c>
    </row>
    <row r="144" spans="1:5" x14ac:dyDescent="0.25">
      <c r="A144" s="12">
        <v>300</v>
      </c>
      <c r="B144" s="12">
        <v>325</v>
      </c>
      <c r="C144" s="11">
        <v>18</v>
      </c>
      <c r="D144" s="12">
        <v>450</v>
      </c>
      <c r="E144" s="11">
        <v>96</v>
      </c>
    </row>
    <row r="145" spans="1:5" x14ac:dyDescent="0.25">
      <c r="A145" s="12">
        <v>300</v>
      </c>
      <c r="B145" s="12">
        <v>325</v>
      </c>
      <c r="C145" s="11">
        <v>20</v>
      </c>
      <c r="D145" s="12">
        <v>450</v>
      </c>
      <c r="E145" s="11">
        <v>107</v>
      </c>
    </row>
    <row r="146" spans="1:5" x14ac:dyDescent="0.25">
      <c r="A146" s="12">
        <v>300</v>
      </c>
      <c r="B146" s="12">
        <v>325</v>
      </c>
      <c r="C146" s="11">
        <v>22</v>
      </c>
      <c r="D146" s="12">
        <v>450</v>
      </c>
      <c r="E146" s="11">
        <v>118</v>
      </c>
    </row>
    <row r="147" spans="1:5" x14ac:dyDescent="0.25">
      <c r="A147" s="12">
        <v>300</v>
      </c>
      <c r="B147" s="12">
        <v>325</v>
      </c>
      <c r="C147" s="11">
        <v>24</v>
      </c>
      <c r="D147" s="12">
        <v>450</v>
      </c>
      <c r="E147" s="11">
        <v>130</v>
      </c>
    </row>
    <row r="148" spans="1:5" x14ac:dyDescent="0.25">
      <c r="A148" s="12">
        <v>300</v>
      </c>
      <c r="B148" s="12">
        <v>325</v>
      </c>
      <c r="C148" s="11">
        <v>26</v>
      </c>
      <c r="D148" s="12">
        <v>450</v>
      </c>
      <c r="E148" s="11">
        <v>141</v>
      </c>
    </row>
    <row r="149" spans="1:5" x14ac:dyDescent="0.25">
      <c r="A149" s="12">
        <v>300</v>
      </c>
      <c r="B149" s="12">
        <v>325</v>
      </c>
      <c r="C149" s="11">
        <v>28</v>
      </c>
      <c r="D149" s="12">
        <v>450</v>
      </c>
      <c r="E149" s="11">
        <v>150</v>
      </c>
    </row>
    <row r="150" spans="1:5" x14ac:dyDescent="0.25">
      <c r="A150" s="11">
        <v>350</v>
      </c>
      <c r="B150" s="11">
        <v>377</v>
      </c>
      <c r="C150" s="11">
        <v>9</v>
      </c>
      <c r="D150" s="11">
        <v>525</v>
      </c>
      <c r="E150" s="11">
        <v>68</v>
      </c>
    </row>
    <row r="151" spans="1:5" x14ac:dyDescent="0.25">
      <c r="A151" s="12">
        <v>350</v>
      </c>
      <c r="B151" s="12">
        <v>377</v>
      </c>
      <c r="C151" s="11">
        <v>10</v>
      </c>
      <c r="D151" s="12">
        <v>525</v>
      </c>
      <c r="E151" s="11">
        <v>75</v>
      </c>
    </row>
    <row r="152" spans="1:5" x14ac:dyDescent="0.25">
      <c r="A152" s="12">
        <v>350</v>
      </c>
      <c r="B152" s="12">
        <v>377</v>
      </c>
      <c r="C152" s="11">
        <v>11</v>
      </c>
      <c r="D152" s="12">
        <v>525</v>
      </c>
      <c r="E152" s="11">
        <v>83</v>
      </c>
    </row>
    <row r="153" spans="1:5" x14ac:dyDescent="0.25">
      <c r="A153" s="12">
        <v>350</v>
      </c>
      <c r="B153" s="12">
        <v>377</v>
      </c>
      <c r="C153" s="11">
        <v>12</v>
      </c>
      <c r="D153" s="12">
        <v>525</v>
      </c>
      <c r="E153" s="11">
        <v>90</v>
      </c>
    </row>
    <row r="154" spans="1:5" x14ac:dyDescent="0.25">
      <c r="A154" s="12">
        <v>350</v>
      </c>
      <c r="B154" s="12">
        <v>377</v>
      </c>
      <c r="C154" s="11">
        <v>13</v>
      </c>
      <c r="D154" s="12">
        <v>525</v>
      </c>
      <c r="E154" s="11">
        <v>97</v>
      </c>
    </row>
    <row r="155" spans="1:5" x14ac:dyDescent="0.25">
      <c r="A155" s="12">
        <v>350</v>
      </c>
      <c r="B155" s="12">
        <v>377</v>
      </c>
      <c r="C155" s="11">
        <v>14</v>
      </c>
      <c r="D155" s="12">
        <v>525</v>
      </c>
      <c r="E155" s="11">
        <v>104</v>
      </c>
    </row>
    <row r="156" spans="1:5" x14ac:dyDescent="0.25">
      <c r="A156" s="12">
        <v>350</v>
      </c>
      <c r="B156" s="12">
        <v>377</v>
      </c>
      <c r="C156" s="11">
        <v>15</v>
      </c>
      <c r="D156" s="12">
        <v>525</v>
      </c>
      <c r="E156" s="11">
        <v>112</v>
      </c>
    </row>
    <row r="157" spans="1:5" x14ac:dyDescent="0.25">
      <c r="A157" s="12">
        <v>350</v>
      </c>
      <c r="B157" s="12">
        <v>377</v>
      </c>
      <c r="C157" s="11">
        <v>16</v>
      </c>
      <c r="D157" s="12">
        <v>525</v>
      </c>
      <c r="E157" s="11">
        <v>119</v>
      </c>
    </row>
    <row r="158" spans="1:5" x14ac:dyDescent="0.25">
      <c r="A158" s="12">
        <v>350</v>
      </c>
      <c r="B158" s="12">
        <v>377</v>
      </c>
      <c r="C158" s="11">
        <v>18</v>
      </c>
      <c r="D158" s="12">
        <v>525</v>
      </c>
      <c r="E158" s="11">
        <v>133</v>
      </c>
    </row>
    <row r="159" spans="1:5" x14ac:dyDescent="0.25">
      <c r="A159" s="12">
        <v>350</v>
      </c>
      <c r="B159" s="12">
        <v>377</v>
      </c>
      <c r="C159" s="11">
        <v>20</v>
      </c>
      <c r="D159" s="12">
        <v>525</v>
      </c>
      <c r="E159" s="11">
        <v>147</v>
      </c>
    </row>
    <row r="160" spans="1:5" x14ac:dyDescent="0.25">
      <c r="A160" s="12">
        <v>350</v>
      </c>
      <c r="B160" s="12">
        <v>377</v>
      </c>
      <c r="C160" s="11">
        <v>22</v>
      </c>
      <c r="D160" s="12">
        <v>525</v>
      </c>
      <c r="E160" s="11">
        <v>161</v>
      </c>
    </row>
    <row r="161" spans="1:5" x14ac:dyDescent="0.25">
      <c r="A161" s="12">
        <v>350</v>
      </c>
      <c r="B161" s="12">
        <v>377</v>
      </c>
      <c r="C161" s="11">
        <v>24</v>
      </c>
      <c r="D161" s="12">
        <v>525</v>
      </c>
      <c r="E161" s="11">
        <v>175</v>
      </c>
    </row>
    <row r="162" spans="1:5" x14ac:dyDescent="0.25">
      <c r="A162" s="12">
        <v>350</v>
      </c>
      <c r="B162" s="12">
        <v>377</v>
      </c>
      <c r="C162" s="11">
        <v>26</v>
      </c>
      <c r="D162" s="12">
        <v>525</v>
      </c>
      <c r="E162" s="11">
        <v>188</v>
      </c>
    </row>
    <row r="163" spans="1:5" x14ac:dyDescent="0.25">
      <c r="A163" s="12">
        <v>350</v>
      </c>
      <c r="B163" s="12">
        <v>377</v>
      </c>
      <c r="C163" s="11">
        <v>28</v>
      </c>
      <c r="D163" s="12">
        <v>525</v>
      </c>
      <c r="E163" s="11">
        <v>201</v>
      </c>
    </row>
    <row r="164" spans="1:5" x14ac:dyDescent="0.25">
      <c r="A164" s="12">
        <v>350</v>
      </c>
      <c r="B164" s="12">
        <v>377</v>
      </c>
      <c r="C164" s="11">
        <v>30</v>
      </c>
      <c r="D164" s="12">
        <v>525</v>
      </c>
      <c r="E164" s="11">
        <v>214</v>
      </c>
    </row>
    <row r="165" spans="1:5" x14ac:dyDescent="0.25">
      <c r="A165" s="12">
        <v>350</v>
      </c>
      <c r="B165" s="12">
        <v>377</v>
      </c>
      <c r="C165" s="11">
        <v>32</v>
      </c>
      <c r="D165" s="12">
        <v>525</v>
      </c>
      <c r="E165" s="11">
        <v>228</v>
      </c>
    </row>
    <row r="166" spans="1:5" x14ac:dyDescent="0.25">
      <c r="A166" s="11">
        <v>400</v>
      </c>
      <c r="B166" s="11">
        <v>426</v>
      </c>
      <c r="C166" s="11">
        <v>8</v>
      </c>
      <c r="D166" s="11">
        <v>600</v>
      </c>
      <c r="E166" s="11">
        <v>78</v>
      </c>
    </row>
    <row r="167" spans="1:5" x14ac:dyDescent="0.25">
      <c r="A167" s="12">
        <v>400</v>
      </c>
      <c r="B167" s="12">
        <v>426</v>
      </c>
      <c r="C167" s="11">
        <v>9</v>
      </c>
      <c r="D167" s="12">
        <v>600</v>
      </c>
      <c r="E167" s="11">
        <v>87</v>
      </c>
    </row>
    <row r="168" spans="1:5" x14ac:dyDescent="0.25">
      <c r="A168" s="12">
        <v>400</v>
      </c>
      <c r="B168" s="12">
        <v>426</v>
      </c>
      <c r="C168" s="11">
        <v>10</v>
      </c>
      <c r="D168" s="12">
        <v>600</v>
      </c>
      <c r="E168" s="11">
        <v>97</v>
      </c>
    </row>
    <row r="169" spans="1:5" x14ac:dyDescent="0.25">
      <c r="A169" s="12">
        <v>400</v>
      </c>
      <c r="B169" s="12">
        <v>426</v>
      </c>
      <c r="C169" s="11">
        <v>11</v>
      </c>
      <c r="D169" s="12">
        <v>600</v>
      </c>
      <c r="E169" s="11">
        <v>107</v>
      </c>
    </row>
    <row r="170" spans="1:5" x14ac:dyDescent="0.25">
      <c r="A170" s="12">
        <v>400</v>
      </c>
      <c r="B170" s="12">
        <v>426</v>
      </c>
      <c r="C170" s="11">
        <v>12</v>
      </c>
      <c r="D170" s="12">
        <v>600</v>
      </c>
      <c r="E170" s="11">
        <v>117</v>
      </c>
    </row>
    <row r="171" spans="1:5" x14ac:dyDescent="0.25">
      <c r="A171" s="12">
        <v>400</v>
      </c>
      <c r="B171" s="12">
        <v>426</v>
      </c>
      <c r="C171" s="11">
        <v>13</v>
      </c>
      <c r="D171" s="12">
        <v>600</v>
      </c>
      <c r="E171" s="11">
        <v>126</v>
      </c>
    </row>
    <row r="172" spans="1:5" x14ac:dyDescent="0.25">
      <c r="A172" s="12">
        <v>400</v>
      </c>
      <c r="B172" s="12">
        <v>426</v>
      </c>
      <c r="C172" s="11">
        <v>14</v>
      </c>
      <c r="D172" s="12">
        <v>600</v>
      </c>
      <c r="E172" s="11">
        <v>135</v>
      </c>
    </row>
    <row r="173" spans="1:5" x14ac:dyDescent="0.25">
      <c r="A173" s="12">
        <v>400</v>
      </c>
      <c r="B173" s="12">
        <v>426</v>
      </c>
      <c r="C173" s="11">
        <v>15</v>
      </c>
      <c r="D173" s="12">
        <v>600</v>
      </c>
      <c r="E173" s="11">
        <v>145</v>
      </c>
    </row>
    <row r="174" spans="1:5" x14ac:dyDescent="0.25">
      <c r="A174" s="12">
        <v>400</v>
      </c>
      <c r="B174" s="12">
        <v>426</v>
      </c>
      <c r="C174" s="11">
        <v>16</v>
      </c>
      <c r="D174" s="12">
        <v>600</v>
      </c>
      <c r="E174" s="11">
        <v>154</v>
      </c>
    </row>
    <row r="175" spans="1:5" x14ac:dyDescent="0.25">
      <c r="A175" s="12">
        <v>400</v>
      </c>
      <c r="B175" s="12">
        <v>426</v>
      </c>
      <c r="C175" s="11">
        <v>17</v>
      </c>
      <c r="D175" s="12">
        <v>600</v>
      </c>
      <c r="E175" s="11">
        <v>164</v>
      </c>
    </row>
    <row r="176" spans="1:5" x14ac:dyDescent="0.25">
      <c r="A176" s="12">
        <v>400</v>
      </c>
      <c r="B176" s="12">
        <v>426</v>
      </c>
      <c r="C176" s="11">
        <v>18</v>
      </c>
      <c r="D176" s="12">
        <v>600</v>
      </c>
      <c r="E176" s="11">
        <v>173</v>
      </c>
    </row>
    <row r="177" spans="1:5" x14ac:dyDescent="0.25">
      <c r="A177" s="12">
        <v>400</v>
      </c>
      <c r="B177" s="12">
        <v>426</v>
      </c>
      <c r="C177" s="11">
        <v>20</v>
      </c>
      <c r="D177" s="12">
        <v>600</v>
      </c>
      <c r="E177" s="11">
        <v>192</v>
      </c>
    </row>
    <row r="178" spans="1:5" x14ac:dyDescent="0.25">
      <c r="A178" s="12">
        <v>400</v>
      </c>
      <c r="B178" s="12">
        <v>426</v>
      </c>
      <c r="C178" s="11">
        <v>22</v>
      </c>
      <c r="D178" s="12">
        <v>600</v>
      </c>
      <c r="E178" s="11">
        <v>210</v>
      </c>
    </row>
    <row r="179" spans="1:5" x14ac:dyDescent="0.25">
      <c r="A179" s="12">
        <v>400</v>
      </c>
      <c r="B179" s="12">
        <v>426</v>
      </c>
      <c r="C179" s="11">
        <v>24</v>
      </c>
      <c r="D179" s="12">
        <v>600</v>
      </c>
      <c r="E179" s="11">
        <v>230</v>
      </c>
    </row>
    <row r="180" spans="1:5" x14ac:dyDescent="0.25">
      <c r="A180" s="12">
        <v>400</v>
      </c>
      <c r="B180" s="12">
        <v>426</v>
      </c>
      <c r="C180" s="11">
        <v>26</v>
      </c>
      <c r="D180" s="12">
        <v>600</v>
      </c>
      <c r="E180" s="11">
        <v>249</v>
      </c>
    </row>
    <row r="181" spans="1:5" x14ac:dyDescent="0.25">
      <c r="A181" s="12">
        <v>400</v>
      </c>
      <c r="B181" s="12">
        <v>426</v>
      </c>
      <c r="C181" s="11">
        <v>28</v>
      </c>
      <c r="D181" s="12">
        <v>600</v>
      </c>
      <c r="E181" s="11">
        <v>268</v>
      </c>
    </row>
    <row r="182" spans="1:5" x14ac:dyDescent="0.25">
      <c r="A182" s="12">
        <v>400</v>
      </c>
      <c r="B182" s="12">
        <v>426</v>
      </c>
      <c r="C182" s="11">
        <v>30</v>
      </c>
      <c r="D182" s="12">
        <v>600</v>
      </c>
      <c r="E182" s="11">
        <v>286</v>
      </c>
    </row>
    <row r="183" spans="1:5" x14ac:dyDescent="0.25">
      <c r="A183" s="12">
        <v>400</v>
      </c>
      <c r="B183" s="12">
        <v>426</v>
      </c>
      <c r="C183" s="11">
        <v>32</v>
      </c>
      <c r="D183" s="12">
        <v>600</v>
      </c>
      <c r="E183" s="11">
        <v>306</v>
      </c>
    </row>
    <row r="184" spans="1:5" x14ac:dyDescent="0.25">
      <c r="A184" s="12">
        <v>400</v>
      </c>
      <c r="B184" s="12">
        <v>426</v>
      </c>
      <c r="C184" s="11">
        <v>34</v>
      </c>
      <c r="D184" s="12">
        <v>600</v>
      </c>
      <c r="E184" s="11">
        <v>324</v>
      </c>
    </row>
    <row r="185" spans="1:5" x14ac:dyDescent="0.25">
      <c r="A185" s="11">
        <v>500</v>
      </c>
      <c r="B185" s="11">
        <v>530</v>
      </c>
      <c r="C185" s="11">
        <v>9</v>
      </c>
      <c r="D185" s="11">
        <v>750</v>
      </c>
      <c r="E185" s="11">
        <v>138</v>
      </c>
    </row>
    <row r="186" spans="1:5" x14ac:dyDescent="0.25">
      <c r="A186" s="12">
        <v>500</v>
      </c>
      <c r="B186" s="12">
        <v>530</v>
      </c>
      <c r="C186" s="11">
        <v>10</v>
      </c>
      <c r="D186" s="12">
        <v>750</v>
      </c>
      <c r="E186" s="11">
        <v>153</v>
      </c>
    </row>
    <row r="187" spans="1:5" x14ac:dyDescent="0.25">
      <c r="A187" s="12">
        <v>500</v>
      </c>
      <c r="B187" s="12">
        <v>530</v>
      </c>
      <c r="C187" s="11">
        <v>11</v>
      </c>
      <c r="D187" s="12">
        <v>750</v>
      </c>
      <c r="E187" s="11">
        <v>168</v>
      </c>
    </row>
    <row r="188" spans="1:5" x14ac:dyDescent="0.25">
      <c r="A188" s="12">
        <v>500</v>
      </c>
      <c r="B188" s="12">
        <v>530</v>
      </c>
      <c r="C188" s="11">
        <v>12</v>
      </c>
      <c r="D188" s="12">
        <v>750</v>
      </c>
      <c r="E188" s="11">
        <v>183</v>
      </c>
    </row>
    <row r="189" spans="1:5" x14ac:dyDescent="0.25">
      <c r="A189" s="12">
        <v>500</v>
      </c>
      <c r="B189" s="12">
        <v>530</v>
      </c>
      <c r="C189" s="11">
        <v>13</v>
      </c>
      <c r="D189" s="12">
        <v>750</v>
      </c>
      <c r="E189" s="11">
        <v>198</v>
      </c>
    </row>
    <row r="190" spans="1:5" x14ac:dyDescent="0.25">
      <c r="A190" s="12">
        <v>500</v>
      </c>
      <c r="B190" s="12">
        <v>530</v>
      </c>
      <c r="C190" s="11">
        <v>14</v>
      </c>
      <c r="D190" s="12">
        <v>750</v>
      </c>
      <c r="E190" s="11">
        <v>212</v>
      </c>
    </row>
    <row r="191" spans="1:5" x14ac:dyDescent="0.25">
      <c r="A191" s="12">
        <v>500</v>
      </c>
      <c r="B191" s="12">
        <v>530</v>
      </c>
      <c r="C191" s="11">
        <v>15</v>
      </c>
      <c r="D191" s="12">
        <v>750</v>
      </c>
      <c r="E191" s="11">
        <v>227</v>
      </c>
    </row>
    <row r="192" spans="1:5" x14ac:dyDescent="0.25">
      <c r="A192" s="12">
        <v>500</v>
      </c>
      <c r="B192" s="12">
        <v>530</v>
      </c>
      <c r="C192" s="11">
        <v>16</v>
      </c>
      <c r="D192" s="12">
        <v>750</v>
      </c>
      <c r="E192" s="11">
        <v>242</v>
      </c>
    </row>
    <row r="193" spans="1:5" x14ac:dyDescent="0.25">
      <c r="A193" s="12">
        <v>500</v>
      </c>
      <c r="B193" s="12">
        <v>530</v>
      </c>
      <c r="C193" s="11">
        <v>17</v>
      </c>
      <c r="D193" s="12">
        <v>750</v>
      </c>
      <c r="E193" s="11">
        <v>256</v>
      </c>
    </row>
    <row r="194" spans="1:5" x14ac:dyDescent="0.25">
      <c r="A194" s="12">
        <v>500</v>
      </c>
      <c r="B194" s="12">
        <v>530</v>
      </c>
      <c r="C194" s="11">
        <v>18</v>
      </c>
      <c r="D194" s="12">
        <v>750</v>
      </c>
      <c r="E194" s="11">
        <v>270</v>
      </c>
    </row>
    <row r="195" spans="1:5" x14ac:dyDescent="0.25">
      <c r="A195" s="12">
        <v>500</v>
      </c>
      <c r="B195" s="12">
        <v>530</v>
      </c>
      <c r="C195" s="11">
        <v>20</v>
      </c>
      <c r="D195" s="12">
        <v>750</v>
      </c>
      <c r="E195" s="11">
        <v>298</v>
      </c>
    </row>
    <row r="196" spans="1:5" x14ac:dyDescent="0.25">
      <c r="A196" s="12">
        <v>500</v>
      </c>
      <c r="B196" s="12">
        <v>530</v>
      </c>
      <c r="C196" s="11">
        <v>22</v>
      </c>
      <c r="D196" s="12">
        <v>750</v>
      </c>
      <c r="E196" s="11">
        <v>327</v>
      </c>
    </row>
    <row r="197" spans="1:5" x14ac:dyDescent="0.25">
      <c r="A197" s="12">
        <v>500</v>
      </c>
      <c r="B197" s="12">
        <v>530</v>
      </c>
      <c r="C197" s="11">
        <v>24</v>
      </c>
      <c r="D197" s="12">
        <v>750</v>
      </c>
      <c r="E197" s="11">
        <v>356</v>
      </c>
    </row>
    <row r="198" spans="1:5" x14ac:dyDescent="0.25">
      <c r="A198" s="12">
        <v>500</v>
      </c>
      <c r="B198" s="12">
        <v>530</v>
      </c>
      <c r="C198" s="11">
        <v>26</v>
      </c>
      <c r="D198" s="12">
        <v>750</v>
      </c>
      <c r="E198" s="11">
        <v>385</v>
      </c>
    </row>
    <row r="199" spans="1:5" x14ac:dyDescent="0.25">
      <c r="A199" s="12">
        <v>500</v>
      </c>
      <c r="B199" s="12">
        <v>530</v>
      </c>
      <c r="C199" s="11">
        <v>28</v>
      </c>
      <c r="D199" s="12">
        <v>750</v>
      </c>
      <c r="E199" s="11">
        <v>413</v>
      </c>
    </row>
    <row r="200" spans="1:5" x14ac:dyDescent="0.25">
      <c r="A200" s="12">
        <v>500</v>
      </c>
      <c r="B200" s="12">
        <v>530</v>
      </c>
      <c r="C200" s="11">
        <v>30</v>
      </c>
      <c r="D200" s="12">
        <v>750</v>
      </c>
      <c r="E200" s="11">
        <v>440</v>
      </c>
    </row>
    <row r="201" spans="1:5" x14ac:dyDescent="0.25">
      <c r="A201" s="12">
        <v>500</v>
      </c>
      <c r="B201" s="12">
        <v>530</v>
      </c>
      <c r="C201" s="11">
        <v>32</v>
      </c>
      <c r="D201" s="12">
        <v>750</v>
      </c>
      <c r="E201" s="11">
        <v>467</v>
      </c>
    </row>
    <row r="202" spans="1:5" x14ac:dyDescent="0.25">
      <c r="A202" s="12">
        <v>500</v>
      </c>
      <c r="B202" s="12">
        <v>530</v>
      </c>
      <c r="C202" s="11">
        <v>34</v>
      </c>
      <c r="D202" s="12">
        <v>750</v>
      </c>
      <c r="E202" s="11">
        <v>494</v>
      </c>
    </row>
    <row r="203" spans="1:5" x14ac:dyDescent="0.25">
      <c r="A203" s="12">
        <v>500</v>
      </c>
      <c r="B203" s="12">
        <v>530</v>
      </c>
      <c r="C203" s="11">
        <v>36</v>
      </c>
      <c r="D203" s="12">
        <v>750</v>
      </c>
      <c r="E203" s="11">
        <v>520</v>
      </c>
    </row>
    <row r="204" spans="1:5" x14ac:dyDescent="0.25">
      <c r="A204" s="11">
        <v>600</v>
      </c>
      <c r="B204" s="11">
        <v>630</v>
      </c>
      <c r="C204" s="11">
        <v>9</v>
      </c>
      <c r="D204" s="11">
        <v>900</v>
      </c>
      <c r="E204" s="11">
        <v>198</v>
      </c>
    </row>
    <row r="205" spans="1:5" x14ac:dyDescent="0.25">
      <c r="A205" s="12">
        <v>600</v>
      </c>
      <c r="B205" s="12">
        <v>630</v>
      </c>
      <c r="C205" s="11">
        <v>10</v>
      </c>
      <c r="D205" s="12">
        <v>900</v>
      </c>
      <c r="E205" s="11">
        <v>219</v>
      </c>
    </row>
    <row r="206" spans="1:5" x14ac:dyDescent="0.25">
      <c r="A206" s="12">
        <v>600</v>
      </c>
      <c r="B206" s="12">
        <v>630</v>
      </c>
      <c r="C206" s="11">
        <v>11</v>
      </c>
      <c r="D206" s="12">
        <v>900</v>
      </c>
      <c r="E206" s="11">
        <v>245</v>
      </c>
    </row>
    <row r="207" spans="1:5" x14ac:dyDescent="0.25">
      <c r="A207" s="12">
        <v>600</v>
      </c>
      <c r="B207" s="12">
        <v>630</v>
      </c>
      <c r="C207" s="11">
        <v>12</v>
      </c>
      <c r="D207" s="12">
        <v>900</v>
      </c>
      <c r="E207" s="11">
        <v>261</v>
      </c>
    </row>
    <row r="208" spans="1:5" x14ac:dyDescent="0.25">
      <c r="A208" s="12">
        <v>600</v>
      </c>
      <c r="B208" s="12">
        <v>630</v>
      </c>
      <c r="C208" s="11">
        <v>13</v>
      </c>
      <c r="D208" s="12">
        <v>900</v>
      </c>
      <c r="E208" s="11">
        <v>282</v>
      </c>
    </row>
    <row r="209" spans="1:5" x14ac:dyDescent="0.25">
      <c r="A209" s="12">
        <v>600</v>
      </c>
      <c r="B209" s="12">
        <v>630</v>
      </c>
      <c r="C209" s="11">
        <v>14</v>
      </c>
      <c r="D209" s="12">
        <v>900</v>
      </c>
      <c r="E209" s="11">
        <v>302</v>
      </c>
    </row>
    <row r="210" spans="1:5" x14ac:dyDescent="0.25">
      <c r="A210" s="12">
        <v>600</v>
      </c>
      <c r="B210" s="12">
        <v>630</v>
      </c>
      <c r="C210" s="11">
        <v>15</v>
      </c>
      <c r="D210" s="12">
        <v>900</v>
      </c>
      <c r="E210" s="11">
        <v>324</v>
      </c>
    </row>
    <row r="211" spans="1:5" x14ac:dyDescent="0.25">
      <c r="A211" s="12">
        <v>600</v>
      </c>
      <c r="B211" s="12">
        <v>630</v>
      </c>
      <c r="C211" s="11">
        <v>16</v>
      </c>
      <c r="D211" s="12">
        <v>900</v>
      </c>
      <c r="E211" s="11">
        <v>345</v>
      </c>
    </row>
    <row r="212" spans="1:5" x14ac:dyDescent="0.25">
      <c r="A212" s="12">
        <v>600</v>
      </c>
      <c r="B212" s="12">
        <v>630</v>
      </c>
      <c r="C212" s="11">
        <v>17</v>
      </c>
      <c r="D212" s="12">
        <v>900</v>
      </c>
      <c r="E212" s="11">
        <v>366</v>
      </c>
    </row>
    <row r="213" spans="1:5" x14ac:dyDescent="0.25">
      <c r="A213" s="12">
        <v>600</v>
      </c>
      <c r="B213" s="12">
        <v>630</v>
      </c>
      <c r="C213" s="11">
        <v>18</v>
      </c>
      <c r="D213" s="12">
        <v>900</v>
      </c>
      <c r="E213" s="11">
        <v>387</v>
      </c>
    </row>
    <row r="214" spans="1:5" x14ac:dyDescent="0.25">
      <c r="A214" s="12">
        <v>600</v>
      </c>
      <c r="B214" s="12">
        <v>630</v>
      </c>
      <c r="C214" s="11">
        <v>20</v>
      </c>
      <c r="D214" s="12">
        <v>900</v>
      </c>
      <c r="E214" s="11">
        <v>429</v>
      </c>
    </row>
    <row r="215" spans="1:5" x14ac:dyDescent="0.25">
      <c r="A215" s="12">
        <v>600</v>
      </c>
      <c r="B215" s="12">
        <v>630</v>
      </c>
      <c r="C215" s="11">
        <v>22</v>
      </c>
      <c r="D215" s="12">
        <v>900</v>
      </c>
      <c r="E215" s="11">
        <v>471</v>
      </c>
    </row>
    <row r="216" spans="1:5" x14ac:dyDescent="0.25">
      <c r="A216" s="12">
        <v>600</v>
      </c>
      <c r="B216" s="12">
        <v>630</v>
      </c>
      <c r="C216" s="11">
        <v>24</v>
      </c>
      <c r="D216" s="12">
        <v>900</v>
      </c>
      <c r="E216" s="11">
        <v>513</v>
      </c>
    </row>
    <row r="217" spans="1:5" x14ac:dyDescent="0.25">
      <c r="A217" s="12">
        <v>600</v>
      </c>
      <c r="B217" s="12">
        <v>630</v>
      </c>
      <c r="C217" s="11">
        <v>26</v>
      </c>
      <c r="D217" s="12">
        <v>900</v>
      </c>
      <c r="E217" s="11">
        <v>554</v>
      </c>
    </row>
    <row r="218" spans="1:5" x14ac:dyDescent="0.25">
      <c r="A218" s="12">
        <v>600</v>
      </c>
      <c r="B218" s="12">
        <v>630</v>
      </c>
      <c r="C218" s="11">
        <v>28</v>
      </c>
      <c r="D218" s="12">
        <v>900</v>
      </c>
      <c r="E218" s="11">
        <v>595</v>
      </c>
    </row>
    <row r="219" spans="1:5" x14ac:dyDescent="0.25">
      <c r="A219" s="12">
        <v>600</v>
      </c>
      <c r="B219" s="12">
        <v>630</v>
      </c>
      <c r="C219" s="11">
        <v>30</v>
      </c>
      <c r="D219" s="12">
        <v>900</v>
      </c>
      <c r="E219" s="11">
        <v>636</v>
      </c>
    </row>
    <row r="220" spans="1:5" x14ac:dyDescent="0.25">
      <c r="A220" s="12">
        <v>600</v>
      </c>
      <c r="B220" s="12">
        <v>630</v>
      </c>
      <c r="C220" s="11">
        <v>32</v>
      </c>
      <c r="D220" s="12">
        <v>900</v>
      </c>
      <c r="E220" s="11">
        <v>678</v>
      </c>
    </row>
    <row r="221" spans="1:5" x14ac:dyDescent="0.25">
      <c r="A221" s="11">
        <v>700</v>
      </c>
      <c r="B221" s="11">
        <v>720</v>
      </c>
      <c r="C221" s="11">
        <v>9</v>
      </c>
      <c r="D221" s="11">
        <v>1000</v>
      </c>
      <c r="E221" s="11">
        <v>248</v>
      </c>
    </row>
    <row r="222" spans="1:5" x14ac:dyDescent="0.25">
      <c r="A222" s="12">
        <v>700</v>
      </c>
      <c r="B222" s="12">
        <v>720</v>
      </c>
      <c r="C222" s="11">
        <v>10</v>
      </c>
      <c r="D222" s="12">
        <v>1000</v>
      </c>
      <c r="E222" s="11">
        <v>275</v>
      </c>
    </row>
    <row r="223" spans="1:5" x14ac:dyDescent="0.25">
      <c r="A223" s="12">
        <v>700</v>
      </c>
      <c r="B223" s="12">
        <v>720</v>
      </c>
      <c r="C223" s="11">
        <v>11</v>
      </c>
      <c r="D223" s="12">
        <v>1000</v>
      </c>
      <c r="E223" s="11">
        <v>302</v>
      </c>
    </row>
    <row r="224" spans="1:5" x14ac:dyDescent="0.25">
      <c r="A224" s="12">
        <v>700</v>
      </c>
      <c r="B224" s="12">
        <v>720</v>
      </c>
      <c r="C224" s="11">
        <v>12</v>
      </c>
      <c r="D224" s="12">
        <v>1000</v>
      </c>
      <c r="E224" s="11">
        <v>329</v>
      </c>
    </row>
    <row r="225" spans="1:5" x14ac:dyDescent="0.25">
      <c r="A225" s="12">
        <v>700</v>
      </c>
      <c r="B225" s="12">
        <v>720</v>
      </c>
      <c r="C225" s="11">
        <v>13</v>
      </c>
      <c r="D225" s="12">
        <v>1000</v>
      </c>
      <c r="E225" s="11">
        <v>356</v>
      </c>
    </row>
    <row r="226" spans="1:5" x14ac:dyDescent="0.25">
      <c r="A226" s="12">
        <v>700</v>
      </c>
      <c r="B226" s="12">
        <v>720</v>
      </c>
      <c r="C226" s="11">
        <v>14</v>
      </c>
      <c r="D226" s="12">
        <v>1000</v>
      </c>
      <c r="E226" s="11">
        <v>383</v>
      </c>
    </row>
    <row r="227" spans="1:5" x14ac:dyDescent="0.25">
      <c r="A227" s="12">
        <v>700</v>
      </c>
      <c r="B227" s="12">
        <v>720</v>
      </c>
      <c r="C227" s="11">
        <v>15</v>
      </c>
      <c r="D227" s="12">
        <v>1000</v>
      </c>
      <c r="E227" s="11">
        <v>410</v>
      </c>
    </row>
    <row r="228" spans="1:5" x14ac:dyDescent="0.25">
      <c r="A228" s="12">
        <v>700</v>
      </c>
      <c r="B228" s="12">
        <v>720</v>
      </c>
      <c r="C228" s="11">
        <v>16</v>
      </c>
      <c r="D228" s="12">
        <v>1000</v>
      </c>
      <c r="E228" s="11">
        <v>436</v>
      </c>
    </row>
    <row r="229" spans="1:5" x14ac:dyDescent="0.25">
      <c r="A229" s="12">
        <v>700</v>
      </c>
      <c r="B229" s="12">
        <v>720</v>
      </c>
      <c r="C229" s="11">
        <v>17</v>
      </c>
      <c r="D229" s="12">
        <v>1000</v>
      </c>
      <c r="E229" s="11">
        <v>462</v>
      </c>
    </row>
    <row r="230" spans="1:5" x14ac:dyDescent="0.25">
      <c r="A230" s="12">
        <v>700</v>
      </c>
      <c r="B230" s="12">
        <v>720</v>
      </c>
      <c r="C230" s="11">
        <v>18</v>
      </c>
      <c r="D230" s="12">
        <v>1000</v>
      </c>
      <c r="E230" s="11">
        <v>489</v>
      </c>
    </row>
    <row r="231" spans="1:5" x14ac:dyDescent="0.25">
      <c r="A231" s="12">
        <v>700</v>
      </c>
      <c r="B231" s="12">
        <v>720</v>
      </c>
      <c r="C231" s="11">
        <v>20</v>
      </c>
      <c r="D231" s="12">
        <v>1000</v>
      </c>
      <c r="E231" s="11">
        <v>542</v>
      </c>
    </row>
    <row r="232" spans="1:5" x14ac:dyDescent="0.25">
      <c r="A232" s="12">
        <v>700</v>
      </c>
      <c r="B232" s="12">
        <v>720</v>
      </c>
      <c r="C232" s="11">
        <v>22</v>
      </c>
      <c r="D232" s="12">
        <v>1000</v>
      </c>
      <c r="E232" s="11">
        <v>595</v>
      </c>
    </row>
    <row r="233" spans="1:5" x14ac:dyDescent="0.25">
      <c r="A233" s="12">
        <v>700</v>
      </c>
      <c r="B233" s="12">
        <v>720</v>
      </c>
      <c r="C233" s="11">
        <v>24</v>
      </c>
      <c r="D233" s="12">
        <v>1000</v>
      </c>
      <c r="E233" s="11">
        <v>647</v>
      </c>
    </row>
    <row r="234" spans="1:5" x14ac:dyDescent="0.25">
      <c r="A234" s="12">
        <v>700</v>
      </c>
      <c r="B234" s="12">
        <v>720</v>
      </c>
      <c r="C234" s="11">
        <v>26</v>
      </c>
      <c r="D234" s="12">
        <v>1000</v>
      </c>
      <c r="E234" s="11">
        <v>698</v>
      </c>
    </row>
    <row r="235" spans="1:5" x14ac:dyDescent="0.25">
      <c r="A235" s="12">
        <v>700</v>
      </c>
      <c r="B235" s="12">
        <v>720</v>
      </c>
      <c r="C235" s="11">
        <v>28</v>
      </c>
      <c r="D235" s="12">
        <v>1000</v>
      </c>
      <c r="E235" s="11">
        <v>750</v>
      </c>
    </row>
    <row r="236" spans="1:5" x14ac:dyDescent="0.25">
      <c r="A236" s="12">
        <v>700</v>
      </c>
      <c r="B236" s="12">
        <v>720</v>
      </c>
      <c r="C236" s="11">
        <v>30</v>
      </c>
      <c r="D236" s="12">
        <v>1000</v>
      </c>
      <c r="E236" s="11">
        <v>801</v>
      </c>
    </row>
    <row r="237" spans="1:5" x14ac:dyDescent="0.25">
      <c r="A237" s="12">
        <v>700</v>
      </c>
      <c r="B237" s="12">
        <v>720</v>
      </c>
      <c r="C237" s="11">
        <v>32</v>
      </c>
      <c r="D237" s="12">
        <v>1000</v>
      </c>
      <c r="E237" s="11">
        <v>852</v>
      </c>
    </row>
    <row r="238" spans="1:5" x14ac:dyDescent="0.25">
      <c r="A238" s="11">
        <v>800</v>
      </c>
      <c r="B238" s="11">
        <v>820</v>
      </c>
      <c r="C238" s="11">
        <v>9</v>
      </c>
      <c r="D238" s="11">
        <v>1200</v>
      </c>
      <c r="E238" s="11">
        <v>339</v>
      </c>
    </row>
    <row r="239" spans="1:5" x14ac:dyDescent="0.25">
      <c r="A239" s="12">
        <v>800</v>
      </c>
      <c r="B239" s="12">
        <v>820</v>
      </c>
      <c r="C239" s="11">
        <v>10</v>
      </c>
      <c r="D239" s="12">
        <v>1200</v>
      </c>
      <c r="E239" s="11">
        <v>376</v>
      </c>
    </row>
    <row r="240" spans="1:5" x14ac:dyDescent="0.25">
      <c r="A240" s="12">
        <v>800</v>
      </c>
      <c r="B240" s="12">
        <v>820</v>
      </c>
      <c r="C240" s="11">
        <v>11</v>
      </c>
      <c r="D240" s="12">
        <v>1200</v>
      </c>
      <c r="E240" s="11">
        <v>413</v>
      </c>
    </row>
    <row r="241" spans="1:5" x14ac:dyDescent="0.25">
      <c r="A241" s="12">
        <v>800</v>
      </c>
      <c r="B241" s="12">
        <v>820</v>
      </c>
      <c r="C241" s="11">
        <v>12</v>
      </c>
      <c r="D241" s="12">
        <v>1200</v>
      </c>
      <c r="E241" s="11">
        <v>450</v>
      </c>
    </row>
    <row r="242" spans="1:5" x14ac:dyDescent="0.25">
      <c r="A242" s="12">
        <v>800</v>
      </c>
      <c r="B242" s="12">
        <v>820</v>
      </c>
      <c r="C242" s="11">
        <v>13</v>
      </c>
      <c r="D242" s="12">
        <v>1200</v>
      </c>
      <c r="E242" s="11">
        <v>487</v>
      </c>
    </row>
    <row r="243" spans="1:5" x14ac:dyDescent="0.25">
      <c r="A243" s="12">
        <v>800</v>
      </c>
      <c r="B243" s="12">
        <v>820</v>
      </c>
      <c r="C243" s="11">
        <v>14</v>
      </c>
      <c r="D243" s="12">
        <v>1200</v>
      </c>
      <c r="E243" s="11">
        <v>524</v>
      </c>
    </row>
    <row r="244" spans="1:5" x14ac:dyDescent="0.25">
      <c r="A244" s="12">
        <v>800</v>
      </c>
      <c r="B244" s="12">
        <v>820</v>
      </c>
      <c r="C244" s="11">
        <v>15</v>
      </c>
      <c r="D244" s="12">
        <v>1200</v>
      </c>
      <c r="E244" s="11">
        <v>561</v>
      </c>
    </row>
    <row r="245" spans="1:5" x14ac:dyDescent="0.25">
      <c r="A245" s="12">
        <v>800</v>
      </c>
      <c r="B245" s="12">
        <v>820</v>
      </c>
      <c r="C245" s="11">
        <v>16</v>
      </c>
      <c r="D245" s="12">
        <v>1200</v>
      </c>
      <c r="E245" s="11">
        <v>598</v>
      </c>
    </row>
    <row r="246" spans="1:5" x14ac:dyDescent="0.25">
      <c r="A246" s="12">
        <v>800</v>
      </c>
      <c r="B246" s="12">
        <v>820</v>
      </c>
      <c r="C246" s="11">
        <v>17</v>
      </c>
      <c r="D246" s="12">
        <v>1200</v>
      </c>
      <c r="E246" s="11">
        <v>636</v>
      </c>
    </row>
    <row r="247" spans="1:5" x14ac:dyDescent="0.25">
      <c r="A247" s="12">
        <v>800</v>
      </c>
      <c r="B247" s="12">
        <v>820</v>
      </c>
      <c r="C247" s="11">
        <v>18</v>
      </c>
      <c r="D247" s="12">
        <v>1200</v>
      </c>
      <c r="E247" s="11">
        <v>670</v>
      </c>
    </row>
    <row r="248" spans="1:5" x14ac:dyDescent="0.25">
      <c r="A248" s="12">
        <v>800</v>
      </c>
      <c r="B248" s="12">
        <v>820</v>
      </c>
      <c r="C248" s="11">
        <v>20</v>
      </c>
      <c r="D248" s="12">
        <v>1200</v>
      </c>
      <c r="E248" s="11">
        <v>743</v>
      </c>
    </row>
    <row r="249" spans="1:5" x14ac:dyDescent="0.25">
      <c r="A249" s="12">
        <v>800</v>
      </c>
      <c r="B249" s="12">
        <v>820</v>
      </c>
      <c r="C249" s="11">
        <v>22</v>
      </c>
      <c r="D249" s="12">
        <v>1200</v>
      </c>
      <c r="E249" s="11">
        <v>815</v>
      </c>
    </row>
    <row r="250" spans="1:5" x14ac:dyDescent="0.25">
      <c r="A250" s="12">
        <v>800</v>
      </c>
      <c r="B250" s="12">
        <v>820</v>
      </c>
      <c r="C250" s="11">
        <v>24</v>
      </c>
      <c r="D250" s="12">
        <v>1200</v>
      </c>
      <c r="E250" s="11">
        <v>887</v>
      </c>
    </row>
    <row r="251" spans="1:5" x14ac:dyDescent="0.25">
      <c r="A251" s="12">
        <v>800</v>
      </c>
      <c r="B251" s="12">
        <v>820</v>
      </c>
      <c r="C251" s="11">
        <v>26</v>
      </c>
      <c r="D251" s="12">
        <v>1200</v>
      </c>
      <c r="E251" s="11">
        <v>959</v>
      </c>
    </row>
    <row r="252" spans="1:5" x14ac:dyDescent="0.25">
      <c r="A252" s="12">
        <v>800</v>
      </c>
      <c r="B252" s="12">
        <v>820</v>
      </c>
      <c r="C252" s="11">
        <v>28</v>
      </c>
      <c r="D252" s="12">
        <v>1200</v>
      </c>
      <c r="E252" s="11">
        <v>1030</v>
      </c>
    </row>
    <row r="253" spans="1:5" x14ac:dyDescent="0.25">
      <c r="A253" s="12">
        <v>800</v>
      </c>
      <c r="B253" s="12">
        <v>820</v>
      </c>
      <c r="C253" s="11">
        <v>30</v>
      </c>
      <c r="D253" s="12">
        <v>1200</v>
      </c>
      <c r="E253" s="11">
        <v>1101</v>
      </c>
    </row>
    <row r="254" spans="1:5" x14ac:dyDescent="0.25">
      <c r="A254" s="12">
        <v>800</v>
      </c>
      <c r="B254" s="12">
        <v>820</v>
      </c>
      <c r="C254" s="11">
        <v>32</v>
      </c>
      <c r="D254" s="12">
        <v>1200</v>
      </c>
      <c r="E254" s="11">
        <v>1171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AF4B-FAFD-4694-94E8-97AB28EBCB3C}">
  <sheetPr codeName="Лист12"/>
  <dimension ref="A1:F254"/>
  <sheetViews>
    <sheetView workbookViewId="0">
      <selection activeCell="E43" sqref="E43"/>
    </sheetView>
  </sheetViews>
  <sheetFormatPr defaultRowHeight="15" x14ac:dyDescent="0.25"/>
  <sheetData>
    <row r="1" spans="1:6" ht="18.75" customHeight="1" x14ac:dyDescent="0.2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2982</v>
      </c>
      <c r="F1" s="11" t="s">
        <v>2387</v>
      </c>
    </row>
    <row r="2" spans="1:6" x14ac:dyDescent="0.25">
      <c r="A2" s="11">
        <v>40</v>
      </c>
      <c r="B2" s="11">
        <v>45</v>
      </c>
      <c r="C2" s="11">
        <v>2.5</v>
      </c>
      <c r="D2" s="11">
        <v>60</v>
      </c>
      <c r="E2">
        <v>4</v>
      </c>
      <c r="F2" s="11">
        <v>0.3</v>
      </c>
    </row>
    <row r="3" spans="1:6" x14ac:dyDescent="0.25">
      <c r="A3" s="12">
        <v>50</v>
      </c>
      <c r="B3" s="12">
        <v>57</v>
      </c>
      <c r="C3" s="11">
        <v>3</v>
      </c>
      <c r="D3" s="12">
        <v>75</v>
      </c>
      <c r="E3">
        <v>4</v>
      </c>
      <c r="F3" s="11">
        <v>0.5</v>
      </c>
    </row>
    <row r="4" spans="1:6" x14ac:dyDescent="0.25">
      <c r="A4" s="12">
        <v>65</v>
      </c>
      <c r="B4" s="12">
        <v>76</v>
      </c>
      <c r="C4" s="11">
        <v>3.5</v>
      </c>
      <c r="D4" s="12">
        <v>100</v>
      </c>
      <c r="E4">
        <v>4</v>
      </c>
      <c r="F4" s="11">
        <v>1</v>
      </c>
    </row>
    <row r="5" spans="1:6" x14ac:dyDescent="0.25">
      <c r="A5" s="12">
        <v>80</v>
      </c>
      <c r="B5" s="12">
        <v>89</v>
      </c>
      <c r="C5" s="11">
        <v>3.5</v>
      </c>
      <c r="D5" s="12">
        <v>120</v>
      </c>
      <c r="E5">
        <v>4</v>
      </c>
      <c r="F5" s="11">
        <v>1.4</v>
      </c>
    </row>
    <row r="6" spans="1:6" x14ac:dyDescent="0.25">
      <c r="A6" s="11">
        <v>100</v>
      </c>
      <c r="B6" s="11">
        <v>108</v>
      </c>
      <c r="C6" s="11">
        <v>4</v>
      </c>
      <c r="D6" s="11">
        <v>150</v>
      </c>
      <c r="E6">
        <v>4</v>
      </c>
      <c r="F6" s="11">
        <v>2.5</v>
      </c>
    </row>
    <row r="7" spans="1:6" x14ac:dyDescent="0.25">
      <c r="A7" s="12">
        <v>125</v>
      </c>
      <c r="B7" s="12">
        <v>133</v>
      </c>
      <c r="C7" s="11">
        <v>4</v>
      </c>
      <c r="D7" s="12">
        <v>190</v>
      </c>
      <c r="E7">
        <v>4</v>
      </c>
      <c r="F7" s="11">
        <v>3.8</v>
      </c>
    </row>
    <row r="8" spans="1:6" x14ac:dyDescent="0.25">
      <c r="A8" s="12">
        <v>150</v>
      </c>
      <c r="B8" s="12">
        <v>159</v>
      </c>
      <c r="C8" s="11">
        <v>6</v>
      </c>
      <c r="D8" s="12">
        <v>225</v>
      </c>
      <c r="E8">
        <v>4</v>
      </c>
      <c r="F8" s="11">
        <v>8.4</v>
      </c>
    </row>
    <row r="9" spans="1:6" x14ac:dyDescent="0.25">
      <c r="A9" s="12">
        <v>200</v>
      </c>
      <c r="B9" s="12">
        <v>219</v>
      </c>
      <c r="C9" s="11">
        <v>8</v>
      </c>
      <c r="D9" s="12">
        <v>300</v>
      </c>
      <c r="E9">
        <v>4</v>
      </c>
      <c r="F9" s="11">
        <v>19.899999999999999</v>
      </c>
    </row>
    <row r="10" spans="1:6" x14ac:dyDescent="0.25">
      <c r="A10" s="12">
        <v>250</v>
      </c>
      <c r="B10" s="12">
        <v>273</v>
      </c>
      <c r="C10" s="11">
        <v>10</v>
      </c>
      <c r="D10" s="12">
        <v>375</v>
      </c>
      <c r="E10">
        <v>4</v>
      </c>
      <c r="F10" s="11">
        <v>39.4</v>
      </c>
    </row>
    <row r="11" spans="1:6" x14ac:dyDescent="0.25">
      <c r="A11" s="11">
        <v>300</v>
      </c>
      <c r="B11" s="11">
        <v>325</v>
      </c>
      <c r="C11" s="11">
        <v>10</v>
      </c>
      <c r="D11" s="11">
        <v>450</v>
      </c>
      <c r="E11">
        <v>4</v>
      </c>
      <c r="F11" s="11">
        <v>54.9</v>
      </c>
    </row>
    <row r="12" spans="1:6" x14ac:dyDescent="0.25">
      <c r="A12" s="12">
        <v>350</v>
      </c>
      <c r="B12" s="12">
        <v>377</v>
      </c>
      <c r="C12" s="11">
        <v>10</v>
      </c>
      <c r="D12" s="12">
        <v>525</v>
      </c>
      <c r="E12">
        <v>4</v>
      </c>
      <c r="F12" s="11">
        <v>74.599999999999994</v>
      </c>
    </row>
    <row r="13" spans="1:6" x14ac:dyDescent="0.25">
      <c r="A13" s="12">
        <v>400</v>
      </c>
      <c r="B13" s="12">
        <v>426</v>
      </c>
      <c r="C13" s="11">
        <v>10</v>
      </c>
      <c r="D13" s="12">
        <v>600</v>
      </c>
      <c r="E13" s="12">
        <v>4</v>
      </c>
      <c r="F13" s="11">
        <v>121</v>
      </c>
    </row>
    <row r="14" spans="1:6" x14ac:dyDescent="0.25">
      <c r="A14" s="12">
        <v>500</v>
      </c>
      <c r="B14" s="12">
        <v>530</v>
      </c>
      <c r="C14" s="11">
        <v>12</v>
      </c>
      <c r="D14" s="12">
        <v>500</v>
      </c>
      <c r="E14">
        <v>2.5</v>
      </c>
      <c r="F14" s="11">
        <v>130</v>
      </c>
    </row>
    <row r="15" spans="1:6" x14ac:dyDescent="0.25">
      <c r="A15" s="12">
        <v>500</v>
      </c>
      <c r="B15" s="12">
        <v>530</v>
      </c>
      <c r="C15" s="11">
        <v>10</v>
      </c>
      <c r="D15" s="12">
        <v>500</v>
      </c>
      <c r="E15">
        <v>1.6</v>
      </c>
      <c r="F15" s="11">
        <v>120</v>
      </c>
    </row>
    <row r="16" spans="1:6" x14ac:dyDescent="0.25">
      <c r="A16" s="12">
        <v>600</v>
      </c>
      <c r="B16" s="12">
        <v>630</v>
      </c>
      <c r="C16" s="11">
        <v>12</v>
      </c>
      <c r="D16" s="12">
        <v>600</v>
      </c>
      <c r="E16">
        <v>2.5</v>
      </c>
      <c r="F16" s="11">
        <v>195.5</v>
      </c>
    </row>
    <row r="17" spans="1:6" x14ac:dyDescent="0.25">
      <c r="A17" s="12"/>
      <c r="B17" s="12"/>
      <c r="C17" s="11"/>
      <c r="D17" s="12"/>
      <c r="F17" s="11"/>
    </row>
    <row r="18" spans="1:6" x14ac:dyDescent="0.25">
      <c r="A18" s="12"/>
      <c r="B18" s="12"/>
      <c r="C18" s="11"/>
      <c r="D18" s="12"/>
      <c r="F18" s="11"/>
    </row>
    <row r="19" spans="1:6" x14ac:dyDescent="0.25">
      <c r="A19" s="12"/>
      <c r="B19" s="12"/>
      <c r="C19" s="11"/>
      <c r="D19" s="12"/>
      <c r="F19" s="11"/>
    </row>
    <row r="20" spans="1:6" x14ac:dyDescent="0.25">
      <c r="A20" s="12"/>
      <c r="B20" s="12"/>
      <c r="C20" s="11"/>
      <c r="D20" s="12"/>
      <c r="F20" s="11"/>
    </row>
    <row r="21" spans="1:6" x14ac:dyDescent="0.25">
      <c r="A21" s="12"/>
      <c r="B21" s="12"/>
      <c r="C21" s="11"/>
      <c r="D21" s="12"/>
      <c r="F21" s="11"/>
    </row>
    <row r="22" spans="1:6" x14ac:dyDescent="0.25">
      <c r="A22" s="12"/>
      <c r="B22" s="12"/>
      <c r="C22" s="11"/>
      <c r="D22" s="12"/>
      <c r="F22" s="11"/>
    </row>
    <row r="23" spans="1:6" x14ac:dyDescent="0.25">
      <c r="A23" s="12"/>
      <c r="B23" s="12"/>
      <c r="C23" s="11"/>
      <c r="D23" s="12"/>
      <c r="F23" s="11"/>
    </row>
    <row r="24" spans="1:6" x14ac:dyDescent="0.25">
      <c r="A24" s="11"/>
      <c r="B24" s="11"/>
      <c r="C24" s="11"/>
      <c r="D24" s="11"/>
      <c r="F24" s="11"/>
    </row>
    <row r="25" spans="1:6" x14ac:dyDescent="0.25">
      <c r="A25" s="12"/>
      <c r="B25" s="12"/>
      <c r="C25" s="11"/>
      <c r="D25" s="12"/>
      <c r="F25" s="11"/>
    </row>
    <row r="26" spans="1:6" x14ac:dyDescent="0.25">
      <c r="A26" s="12"/>
      <c r="B26" s="12"/>
      <c r="C26" s="11"/>
      <c r="D26" s="12"/>
      <c r="F26" s="11"/>
    </row>
    <row r="27" spans="1:6" x14ac:dyDescent="0.25">
      <c r="A27" s="12"/>
      <c r="B27" s="12"/>
      <c r="C27" s="11"/>
      <c r="D27" s="12"/>
      <c r="F27" s="11"/>
    </row>
    <row r="28" spans="1:6" x14ac:dyDescent="0.25">
      <c r="A28" s="12"/>
      <c r="B28" s="12"/>
      <c r="C28" s="11"/>
      <c r="D28" s="12"/>
      <c r="F28" s="11"/>
    </row>
    <row r="29" spans="1:6" x14ac:dyDescent="0.25">
      <c r="A29" s="12"/>
      <c r="B29" s="12"/>
      <c r="C29" s="11"/>
      <c r="D29" s="12"/>
      <c r="F29" s="11"/>
    </row>
    <row r="30" spans="1:6" x14ac:dyDescent="0.25">
      <c r="A30" s="12"/>
      <c r="B30" s="12"/>
      <c r="C30" s="11"/>
      <c r="D30" s="12"/>
      <c r="F30" s="11"/>
    </row>
    <row r="31" spans="1:6" x14ac:dyDescent="0.25">
      <c r="A31" s="12"/>
      <c r="B31" s="12"/>
      <c r="C31" s="11"/>
      <c r="D31" s="12"/>
      <c r="F31" s="11"/>
    </row>
    <row r="32" spans="1:6" x14ac:dyDescent="0.25">
      <c r="A32" s="12"/>
      <c r="B32" s="12"/>
      <c r="C32" s="11"/>
      <c r="D32" s="12"/>
      <c r="F32" s="11"/>
    </row>
    <row r="33" spans="1:6" x14ac:dyDescent="0.25">
      <c r="A33" s="11"/>
      <c r="B33" s="11"/>
      <c r="C33" s="11"/>
      <c r="D33" s="11"/>
      <c r="F33" s="11"/>
    </row>
    <row r="34" spans="1:6" x14ac:dyDescent="0.25">
      <c r="A34" s="12"/>
      <c r="B34" s="12"/>
      <c r="C34" s="11"/>
      <c r="D34" s="12"/>
      <c r="F34" s="11"/>
    </row>
    <row r="35" spans="1:6" x14ac:dyDescent="0.25">
      <c r="A35" s="12"/>
      <c r="B35" s="12"/>
      <c r="C35" s="11"/>
      <c r="D35" s="12"/>
      <c r="F35" s="11"/>
    </row>
    <row r="36" spans="1:6" x14ac:dyDescent="0.25">
      <c r="A36" s="12"/>
      <c r="B36" s="12"/>
      <c r="C36" s="11"/>
      <c r="D36" s="12"/>
      <c r="F36" s="11"/>
    </row>
    <row r="37" spans="1:6" x14ac:dyDescent="0.25">
      <c r="A37" s="12"/>
      <c r="B37" s="12"/>
      <c r="C37" s="11"/>
      <c r="D37" s="12"/>
      <c r="F37" s="11"/>
    </row>
    <row r="38" spans="1:6" x14ac:dyDescent="0.25">
      <c r="A38" s="12"/>
      <c r="B38" s="12"/>
      <c r="C38" s="11"/>
      <c r="D38" s="12"/>
      <c r="F38" s="11"/>
    </row>
    <row r="39" spans="1:6" x14ac:dyDescent="0.25">
      <c r="A39" s="12"/>
      <c r="B39" s="12"/>
      <c r="C39" s="11"/>
      <c r="D39" s="12"/>
      <c r="F39" s="11"/>
    </row>
    <row r="40" spans="1:6" x14ac:dyDescent="0.25">
      <c r="A40" s="12"/>
      <c r="B40" s="12"/>
      <c r="C40" s="11"/>
      <c r="D40" s="12"/>
      <c r="F40" s="11"/>
    </row>
    <row r="41" spans="1:6" x14ac:dyDescent="0.25">
      <c r="A41" s="12"/>
      <c r="B41" s="12"/>
      <c r="C41" s="11"/>
      <c r="D41" s="12"/>
      <c r="F41" s="11"/>
    </row>
    <row r="42" spans="1:6" x14ac:dyDescent="0.25">
      <c r="A42" s="11"/>
      <c r="B42" s="11"/>
      <c r="C42" s="11"/>
      <c r="D42" s="11"/>
      <c r="F42" s="11"/>
    </row>
    <row r="43" spans="1:6" x14ac:dyDescent="0.25">
      <c r="A43" s="12"/>
      <c r="B43" s="12"/>
      <c r="C43" s="11"/>
      <c r="D43" s="12"/>
      <c r="F43" s="11"/>
    </row>
    <row r="44" spans="1:6" x14ac:dyDescent="0.25">
      <c r="A44" s="12"/>
      <c r="B44" s="12"/>
      <c r="C44" s="11"/>
      <c r="D44" s="12"/>
      <c r="F44" s="11"/>
    </row>
    <row r="45" spans="1:6" x14ac:dyDescent="0.25">
      <c r="A45" s="12"/>
      <c r="B45" s="12"/>
      <c r="C45" s="11"/>
      <c r="D45" s="12"/>
      <c r="F45" s="11"/>
    </row>
    <row r="46" spans="1:6" x14ac:dyDescent="0.25">
      <c r="A46" s="12"/>
      <c r="B46" s="12"/>
      <c r="C46" s="11"/>
      <c r="D46" s="12"/>
      <c r="F46" s="11"/>
    </row>
    <row r="47" spans="1:6" x14ac:dyDescent="0.25">
      <c r="A47" s="12"/>
      <c r="B47" s="12"/>
      <c r="C47" s="11"/>
      <c r="D47" s="12"/>
      <c r="F47" s="11"/>
    </row>
    <row r="48" spans="1:6" x14ac:dyDescent="0.25">
      <c r="A48" s="12"/>
      <c r="B48" s="12"/>
      <c r="C48" s="11"/>
      <c r="D48" s="12"/>
      <c r="F48" s="11"/>
    </row>
    <row r="49" spans="1:6" x14ac:dyDescent="0.25">
      <c r="A49" s="12"/>
      <c r="B49" s="12"/>
      <c r="C49" s="11"/>
      <c r="D49" s="12"/>
      <c r="F49" s="11"/>
    </row>
    <row r="50" spans="1:6" x14ac:dyDescent="0.25">
      <c r="A50" s="12"/>
      <c r="B50" s="12"/>
      <c r="C50" s="11"/>
      <c r="D50" s="12"/>
      <c r="F50" s="11"/>
    </row>
    <row r="51" spans="1:6" x14ac:dyDescent="0.25">
      <c r="A51" s="12"/>
      <c r="B51" s="11"/>
      <c r="C51" s="11"/>
      <c r="D51" s="12"/>
      <c r="F51" s="11"/>
    </row>
    <row r="52" spans="1:6" x14ac:dyDescent="0.25">
      <c r="A52" s="12"/>
      <c r="B52" s="12"/>
      <c r="C52" s="11"/>
      <c r="D52" s="12"/>
      <c r="F52" s="11"/>
    </row>
    <row r="53" spans="1:6" x14ac:dyDescent="0.25">
      <c r="A53" s="12"/>
      <c r="B53" s="12"/>
      <c r="C53" s="11"/>
      <c r="D53" s="12"/>
      <c r="F53" s="11"/>
    </row>
    <row r="54" spans="1:6" x14ac:dyDescent="0.25">
      <c r="A54" s="12"/>
      <c r="B54" s="12"/>
      <c r="C54" s="11"/>
      <c r="D54" s="12"/>
      <c r="F54" s="11"/>
    </row>
    <row r="55" spans="1:6" x14ac:dyDescent="0.25">
      <c r="A55" s="12"/>
      <c r="B55" s="12"/>
      <c r="C55" s="11"/>
      <c r="D55" s="12"/>
      <c r="F55" s="11"/>
    </row>
    <row r="56" spans="1:6" x14ac:dyDescent="0.25">
      <c r="A56" s="12"/>
      <c r="B56" s="12"/>
      <c r="C56" s="11"/>
      <c r="D56" s="12"/>
      <c r="F56" s="11"/>
    </row>
    <row r="57" spans="1:6" x14ac:dyDescent="0.25">
      <c r="A57" s="12"/>
      <c r="B57" s="12"/>
      <c r="C57" s="11"/>
      <c r="D57" s="12"/>
      <c r="F57" s="11"/>
    </row>
    <row r="58" spans="1:6" x14ac:dyDescent="0.25">
      <c r="A58" s="12"/>
      <c r="B58" s="12"/>
      <c r="C58" s="11"/>
      <c r="D58" s="12"/>
      <c r="F58" s="11"/>
    </row>
    <row r="59" spans="1:6" x14ac:dyDescent="0.25">
      <c r="A59" s="12"/>
      <c r="B59" s="12"/>
      <c r="C59" s="11"/>
      <c r="D59" s="12"/>
      <c r="F59" s="11"/>
    </row>
    <row r="60" spans="1:6" x14ac:dyDescent="0.25">
      <c r="A60" s="12"/>
      <c r="B60" s="11"/>
      <c r="C60" s="11"/>
      <c r="D60" s="12"/>
      <c r="F60" s="11"/>
    </row>
    <row r="61" spans="1:6" x14ac:dyDescent="0.25">
      <c r="A61" s="12"/>
      <c r="B61" s="12"/>
      <c r="C61" s="11"/>
      <c r="D61" s="12"/>
      <c r="F61" s="11"/>
    </row>
    <row r="62" spans="1:6" x14ac:dyDescent="0.25">
      <c r="A62" s="12"/>
      <c r="B62" s="12"/>
      <c r="C62" s="11"/>
      <c r="D62" s="12"/>
      <c r="F62" s="11"/>
    </row>
    <row r="63" spans="1:6" x14ac:dyDescent="0.25">
      <c r="A63" s="12"/>
      <c r="B63" s="12"/>
      <c r="C63" s="11"/>
      <c r="D63" s="12"/>
      <c r="F63" s="11"/>
    </row>
    <row r="64" spans="1:6" x14ac:dyDescent="0.25">
      <c r="A64" s="12"/>
      <c r="B64" s="12"/>
      <c r="C64" s="11"/>
      <c r="D64" s="12"/>
      <c r="F64" s="11"/>
    </row>
    <row r="65" spans="1:6" x14ac:dyDescent="0.25">
      <c r="A65" s="12"/>
      <c r="B65" s="12"/>
      <c r="C65" s="11"/>
      <c r="D65" s="12"/>
      <c r="F65" s="11"/>
    </row>
    <row r="66" spans="1:6" x14ac:dyDescent="0.25">
      <c r="A66" s="12"/>
      <c r="B66" s="12"/>
      <c r="C66" s="11"/>
      <c r="D66" s="12"/>
      <c r="F66" s="11"/>
    </row>
    <row r="67" spans="1:6" x14ac:dyDescent="0.25">
      <c r="A67" s="12"/>
      <c r="B67" s="12"/>
      <c r="C67" s="11"/>
      <c r="D67" s="12"/>
      <c r="F67" s="11"/>
    </row>
    <row r="68" spans="1:6" x14ac:dyDescent="0.25">
      <c r="A68" s="12"/>
      <c r="B68" s="12"/>
      <c r="C68" s="11"/>
      <c r="D68" s="12"/>
      <c r="F68" s="11"/>
    </row>
    <row r="69" spans="1:6" x14ac:dyDescent="0.25">
      <c r="A69" s="11"/>
      <c r="B69" s="11"/>
      <c r="C69" s="11"/>
      <c r="D69" s="11"/>
      <c r="F69" s="11"/>
    </row>
    <row r="70" spans="1:6" x14ac:dyDescent="0.25">
      <c r="A70" s="12"/>
      <c r="B70" s="12"/>
      <c r="C70" s="11"/>
      <c r="D70" s="12"/>
      <c r="F70" s="11"/>
    </row>
    <row r="71" spans="1:6" x14ac:dyDescent="0.25">
      <c r="A71" s="12"/>
      <c r="B71" s="12"/>
      <c r="C71" s="11"/>
      <c r="D71" s="12"/>
      <c r="F71" s="11"/>
    </row>
    <row r="72" spans="1:6" x14ac:dyDescent="0.25">
      <c r="A72" s="12"/>
      <c r="B72" s="12"/>
      <c r="C72" s="11"/>
      <c r="D72" s="12"/>
      <c r="F72" s="11"/>
    </row>
    <row r="73" spans="1:6" x14ac:dyDescent="0.25">
      <c r="A73" s="12"/>
      <c r="B73" s="12"/>
      <c r="C73" s="11"/>
      <c r="D73" s="12"/>
      <c r="F73" s="11"/>
    </row>
    <row r="74" spans="1:6" x14ac:dyDescent="0.25">
      <c r="A74" s="12"/>
      <c r="B74" s="12"/>
      <c r="C74" s="11"/>
      <c r="D74" s="12"/>
      <c r="F74" s="11"/>
    </row>
    <row r="75" spans="1:6" x14ac:dyDescent="0.25">
      <c r="A75" s="12"/>
      <c r="B75" s="12"/>
      <c r="C75" s="11"/>
      <c r="D75" s="12"/>
      <c r="F75" s="11"/>
    </row>
    <row r="76" spans="1:6" x14ac:dyDescent="0.25">
      <c r="A76" s="12"/>
      <c r="B76" s="12"/>
      <c r="C76" s="11"/>
      <c r="D76" s="12"/>
      <c r="F76" s="11"/>
    </row>
    <row r="77" spans="1:6" x14ac:dyDescent="0.25">
      <c r="A77" s="12"/>
      <c r="B77" s="12"/>
      <c r="C77" s="11"/>
      <c r="D77" s="12"/>
      <c r="F77" s="11"/>
    </row>
    <row r="78" spans="1:6" x14ac:dyDescent="0.25">
      <c r="A78" s="12"/>
      <c r="B78" s="12"/>
      <c r="C78" s="11"/>
      <c r="D78" s="12"/>
      <c r="F78" s="11"/>
    </row>
    <row r="79" spans="1:6" x14ac:dyDescent="0.25">
      <c r="A79" s="12"/>
      <c r="B79" s="12"/>
      <c r="C79" s="11"/>
      <c r="D79" s="12"/>
      <c r="F79" s="11"/>
    </row>
    <row r="80" spans="1:6" x14ac:dyDescent="0.25">
      <c r="A80" s="11"/>
      <c r="B80" s="11"/>
      <c r="C80" s="11"/>
      <c r="D80" s="11"/>
      <c r="F80" s="11"/>
    </row>
    <row r="81" spans="1:6" x14ac:dyDescent="0.25">
      <c r="A81" s="12"/>
      <c r="B81" s="12"/>
      <c r="C81" s="11"/>
      <c r="D81" s="12"/>
      <c r="F81" s="11"/>
    </row>
    <row r="82" spans="1:6" x14ac:dyDescent="0.25">
      <c r="A82" s="12"/>
      <c r="B82" s="12"/>
      <c r="C82" s="11"/>
      <c r="D82" s="12"/>
      <c r="F82" s="11"/>
    </row>
    <row r="83" spans="1:6" x14ac:dyDescent="0.25">
      <c r="A83" s="12"/>
      <c r="B83" s="12"/>
      <c r="C83" s="11"/>
      <c r="D83" s="12"/>
      <c r="F83" s="11"/>
    </row>
    <row r="84" spans="1:6" x14ac:dyDescent="0.25">
      <c r="A84" s="12"/>
      <c r="B84" s="12"/>
      <c r="C84" s="11"/>
      <c r="D84" s="12"/>
      <c r="F84" s="11"/>
    </row>
    <row r="85" spans="1:6" x14ac:dyDescent="0.25">
      <c r="A85" s="12"/>
      <c r="B85" s="12"/>
      <c r="C85" s="11"/>
      <c r="D85" s="12"/>
      <c r="F85" s="11"/>
    </row>
    <row r="86" spans="1:6" x14ac:dyDescent="0.25">
      <c r="A86" s="12"/>
      <c r="B86" s="12"/>
      <c r="C86" s="11"/>
      <c r="D86" s="12"/>
      <c r="F86" s="11"/>
    </row>
    <row r="87" spans="1:6" x14ac:dyDescent="0.25">
      <c r="A87" s="12"/>
      <c r="B87" s="12"/>
      <c r="C87" s="11"/>
      <c r="D87" s="12"/>
      <c r="F87" s="11"/>
    </row>
    <row r="88" spans="1:6" x14ac:dyDescent="0.25">
      <c r="A88" s="12"/>
      <c r="B88" s="12"/>
      <c r="C88" s="11"/>
      <c r="D88" s="12"/>
      <c r="F88" s="11"/>
    </row>
    <row r="89" spans="1:6" x14ac:dyDescent="0.25">
      <c r="A89" s="12"/>
      <c r="B89" s="12"/>
      <c r="C89" s="11"/>
      <c r="D89" s="12"/>
      <c r="F89" s="11"/>
    </row>
    <row r="90" spans="1:6" x14ac:dyDescent="0.25">
      <c r="A90" s="12"/>
      <c r="B90" s="12"/>
      <c r="C90" s="11"/>
      <c r="D90" s="12"/>
      <c r="F90" s="11"/>
    </row>
    <row r="91" spans="1:6" x14ac:dyDescent="0.25">
      <c r="A91" s="12"/>
      <c r="B91" s="12"/>
      <c r="C91" s="11"/>
      <c r="D91" s="12"/>
      <c r="F91" s="11"/>
    </row>
    <row r="92" spans="1:6" x14ac:dyDescent="0.25">
      <c r="A92" s="12"/>
      <c r="B92" s="11"/>
      <c r="C92" s="11"/>
      <c r="D92" s="12"/>
      <c r="F92" s="11"/>
    </row>
    <row r="93" spans="1:6" x14ac:dyDescent="0.25">
      <c r="A93" s="12"/>
      <c r="B93" s="12"/>
      <c r="C93" s="11"/>
      <c r="D93" s="12"/>
      <c r="F93" s="11"/>
    </row>
    <row r="94" spans="1:6" x14ac:dyDescent="0.25">
      <c r="A94" s="12"/>
      <c r="B94" s="12"/>
      <c r="C94" s="11"/>
      <c r="D94" s="12"/>
      <c r="F94" s="11"/>
    </row>
    <row r="95" spans="1:6" x14ac:dyDescent="0.25">
      <c r="A95" s="12"/>
      <c r="B95" s="12"/>
      <c r="C95" s="11"/>
      <c r="D95" s="12"/>
      <c r="F95" s="11"/>
    </row>
    <row r="96" spans="1:6" x14ac:dyDescent="0.25">
      <c r="A96" s="12"/>
      <c r="B96" s="12"/>
      <c r="C96" s="11"/>
      <c r="D96" s="12"/>
      <c r="F96" s="11"/>
    </row>
    <row r="97" spans="1:6" x14ac:dyDescent="0.25">
      <c r="A97" s="12"/>
      <c r="B97" s="12"/>
      <c r="C97" s="11"/>
      <c r="D97" s="12"/>
      <c r="F97" s="11"/>
    </row>
    <row r="98" spans="1:6" x14ac:dyDescent="0.25">
      <c r="A98" s="12"/>
      <c r="B98" s="12"/>
      <c r="C98" s="11"/>
      <c r="D98" s="12"/>
      <c r="F98" s="11"/>
    </row>
    <row r="99" spans="1:6" x14ac:dyDescent="0.25">
      <c r="A99" s="12"/>
      <c r="B99" s="12"/>
      <c r="C99" s="11"/>
      <c r="D99" s="12"/>
      <c r="F99" s="11"/>
    </row>
    <row r="100" spans="1:6" x14ac:dyDescent="0.25">
      <c r="A100" s="12"/>
      <c r="B100" s="12"/>
      <c r="C100" s="11"/>
      <c r="D100" s="12"/>
      <c r="F100" s="11"/>
    </row>
    <row r="101" spans="1:6" x14ac:dyDescent="0.25">
      <c r="A101" s="12"/>
      <c r="B101" s="12"/>
      <c r="C101" s="11"/>
      <c r="D101" s="12"/>
      <c r="F101" s="11"/>
    </row>
    <row r="102" spans="1:6" x14ac:dyDescent="0.25">
      <c r="A102" s="12"/>
      <c r="B102" s="12"/>
      <c r="C102" s="11"/>
      <c r="D102" s="12"/>
      <c r="F102" s="11"/>
    </row>
    <row r="103" spans="1:6" x14ac:dyDescent="0.25">
      <c r="A103" s="12"/>
      <c r="B103" s="12"/>
      <c r="C103" s="11"/>
      <c r="D103" s="12"/>
      <c r="F103" s="11"/>
    </row>
    <row r="104" spans="1:6" x14ac:dyDescent="0.25">
      <c r="A104" s="11"/>
      <c r="B104" s="11"/>
      <c r="C104" s="11"/>
      <c r="D104" s="11"/>
      <c r="F104" s="11"/>
    </row>
    <row r="105" spans="1:6" x14ac:dyDescent="0.25">
      <c r="A105" s="12"/>
      <c r="B105" s="12"/>
      <c r="C105" s="11"/>
      <c r="D105" s="12"/>
      <c r="F105" s="11"/>
    </row>
    <row r="106" spans="1:6" x14ac:dyDescent="0.25">
      <c r="A106" s="12"/>
      <c r="B106" s="12"/>
      <c r="C106" s="11"/>
      <c r="D106" s="12"/>
      <c r="F106" s="11"/>
    </row>
    <row r="107" spans="1:6" x14ac:dyDescent="0.25">
      <c r="A107" s="12"/>
      <c r="B107" s="12"/>
      <c r="C107" s="11"/>
      <c r="D107" s="12"/>
      <c r="F107" s="11"/>
    </row>
    <row r="108" spans="1:6" x14ac:dyDescent="0.25">
      <c r="A108" s="12"/>
      <c r="B108" s="12"/>
      <c r="C108" s="11"/>
      <c r="D108" s="12"/>
      <c r="F108" s="11"/>
    </row>
    <row r="109" spans="1:6" x14ac:dyDescent="0.25">
      <c r="A109" s="12"/>
      <c r="B109" s="12"/>
      <c r="C109" s="11"/>
      <c r="D109" s="12"/>
      <c r="F109" s="11"/>
    </row>
    <row r="110" spans="1:6" x14ac:dyDescent="0.25">
      <c r="A110" s="12"/>
      <c r="B110" s="12"/>
      <c r="C110" s="11"/>
      <c r="D110" s="12"/>
      <c r="F110" s="11"/>
    </row>
    <row r="111" spans="1:6" x14ac:dyDescent="0.25">
      <c r="A111" s="12"/>
      <c r="B111" s="12"/>
      <c r="C111" s="11"/>
      <c r="D111" s="12"/>
      <c r="F111" s="11"/>
    </row>
    <row r="112" spans="1:6" x14ac:dyDescent="0.25">
      <c r="A112" s="12"/>
      <c r="B112" s="12"/>
      <c r="C112" s="11"/>
      <c r="D112" s="12"/>
      <c r="F112" s="11"/>
    </row>
    <row r="113" spans="1:6" x14ac:dyDescent="0.25">
      <c r="A113" s="12"/>
      <c r="B113" s="12"/>
      <c r="C113" s="11"/>
      <c r="D113" s="12"/>
      <c r="F113" s="11"/>
    </row>
    <row r="114" spans="1:6" x14ac:dyDescent="0.25">
      <c r="A114" s="12"/>
      <c r="B114" s="12"/>
      <c r="C114" s="11"/>
      <c r="D114" s="12"/>
      <c r="F114" s="11"/>
    </row>
    <row r="115" spans="1:6" x14ac:dyDescent="0.25">
      <c r="A115" s="12"/>
      <c r="B115" s="12"/>
      <c r="C115" s="11"/>
      <c r="D115" s="12"/>
      <c r="F115" s="11"/>
    </row>
    <row r="116" spans="1:6" x14ac:dyDescent="0.25">
      <c r="A116" s="12"/>
      <c r="B116" s="12"/>
      <c r="C116" s="11"/>
      <c r="D116" s="12"/>
      <c r="F116" s="11"/>
    </row>
    <row r="117" spans="1:6" x14ac:dyDescent="0.25">
      <c r="A117" s="12"/>
      <c r="B117" s="12"/>
      <c r="C117" s="11"/>
      <c r="D117" s="12"/>
      <c r="F117" s="11"/>
    </row>
    <row r="118" spans="1:6" x14ac:dyDescent="0.25">
      <c r="A118" s="11"/>
      <c r="B118" s="11"/>
      <c r="C118" s="11"/>
      <c r="D118" s="11"/>
      <c r="F118" s="11"/>
    </row>
    <row r="119" spans="1:6" x14ac:dyDescent="0.25">
      <c r="A119" s="12"/>
      <c r="B119" s="12"/>
      <c r="C119" s="11"/>
      <c r="D119" s="12"/>
      <c r="F119" s="11"/>
    </row>
    <row r="120" spans="1:6" x14ac:dyDescent="0.25">
      <c r="A120" s="12"/>
      <c r="B120" s="12"/>
      <c r="C120" s="11"/>
      <c r="D120" s="12"/>
      <c r="F120" s="11"/>
    </row>
    <row r="121" spans="1:6" x14ac:dyDescent="0.25">
      <c r="A121" s="12"/>
      <c r="B121" s="12"/>
      <c r="C121" s="11"/>
      <c r="D121" s="12"/>
      <c r="F121" s="11"/>
    </row>
    <row r="122" spans="1:6" x14ac:dyDescent="0.25">
      <c r="A122" s="12"/>
      <c r="B122" s="12"/>
      <c r="C122" s="11"/>
      <c r="D122" s="12"/>
      <c r="F122" s="11"/>
    </row>
    <row r="123" spans="1:6" x14ac:dyDescent="0.25">
      <c r="A123" s="12"/>
      <c r="B123" s="12"/>
      <c r="C123" s="11"/>
      <c r="D123" s="12"/>
      <c r="F123" s="11"/>
    </row>
    <row r="124" spans="1:6" x14ac:dyDescent="0.25">
      <c r="A124" s="12"/>
      <c r="B124" s="12"/>
      <c r="C124" s="11"/>
      <c r="D124" s="12"/>
      <c r="F124" s="11"/>
    </row>
    <row r="125" spans="1:6" x14ac:dyDescent="0.25">
      <c r="A125" s="12"/>
      <c r="B125" s="12"/>
      <c r="C125" s="11"/>
      <c r="D125" s="12"/>
      <c r="F125" s="11"/>
    </row>
    <row r="126" spans="1:6" x14ac:dyDescent="0.25">
      <c r="A126" s="12"/>
      <c r="B126" s="12"/>
      <c r="C126" s="11"/>
      <c r="D126" s="12"/>
      <c r="F126" s="11"/>
    </row>
    <row r="127" spans="1:6" x14ac:dyDescent="0.25">
      <c r="A127" s="12"/>
      <c r="B127" s="12"/>
      <c r="C127" s="11"/>
      <c r="D127" s="12"/>
      <c r="F127" s="11"/>
    </row>
    <row r="128" spans="1:6" x14ac:dyDescent="0.25">
      <c r="A128" s="12"/>
      <c r="B128" s="12"/>
      <c r="C128" s="11"/>
      <c r="D128" s="12"/>
      <c r="F128" s="11"/>
    </row>
    <row r="129" spans="1:6" x14ac:dyDescent="0.25">
      <c r="A129" s="12"/>
      <c r="B129" s="12"/>
      <c r="C129" s="11"/>
      <c r="D129" s="12"/>
      <c r="F129" s="11"/>
    </row>
    <row r="130" spans="1:6" x14ac:dyDescent="0.25">
      <c r="A130" s="12"/>
      <c r="B130" s="12"/>
      <c r="C130" s="11"/>
      <c r="D130" s="12"/>
      <c r="F130" s="11"/>
    </row>
    <row r="131" spans="1:6" x14ac:dyDescent="0.25">
      <c r="A131" s="12"/>
      <c r="B131" s="12"/>
      <c r="C131" s="11"/>
      <c r="D131" s="12"/>
      <c r="F131" s="11"/>
    </row>
    <row r="132" spans="1:6" x14ac:dyDescent="0.25">
      <c r="A132" s="12"/>
      <c r="B132" s="12"/>
      <c r="C132" s="11"/>
      <c r="D132" s="12"/>
      <c r="F132" s="11"/>
    </row>
    <row r="133" spans="1:6" x14ac:dyDescent="0.25">
      <c r="A133" s="11"/>
      <c r="B133" s="11"/>
      <c r="C133" s="11"/>
      <c r="D133" s="11"/>
      <c r="F133" s="11"/>
    </row>
    <row r="134" spans="1:6" x14ac:dyDescent="0.25">
      <c r="A134" s="12"/>
      <c r="B134" s="12"/>
      <c r="C134" s="11"/>
      <c r="D134" s="12"/>
      <c r="F134" s="11"/>
    </row>
    <row r="135" spans="1:6" x14ac:dyDescent="0.25">
      <c r="A135" s="12"/>
      <c r="B135" s="12"/>
      <c r="C135" s="11"/>
      <c r="D135" s="12"/>
      <c r="F135" s="11"/>
    </row>
    <row r="136" spans="1:6" x14ac:dyDescent="0.25">
      <c r="A136" s="12"/>
      <c r="B136" s="12"/>
      <c r="C136" s="11"/>
      <c r="D136" s="12"/>
      <c r="F136" s="11"/>
    </row>
    <row r="137" spans="1:6" x14ac:dyDescent="0.25">
      <c r="A137" s="12"/>
      <c r="B137" s="12"/>
      <c r="C137" s="11"/>
      <c r="D137" s="12"/>
      <c r="F137" s="11"/>
    </row>
    <row r="138" spans="1:6" x14ac:dyDescent="0.25">
      <c r="A138" s="12"/>
      <c r="B138" s="12"/>
      <c r="C138" s="11"/>
      <c r="D138" s="12"/>
      <c r="F138" s="11"/>
    </row>
    <row r="139" spans="1:6" x14ac:dyDescent="0.25">
      <c r="A139" s="12"/>
      <c r="B139" s="12"/>
      <c r="C139" s="11"/>
      <c r="D139" s="12"/>
      <c r="F139" s="11"/>
    </row>
    <row r="140" spans="1:6" x14ac:dyDescent="0.25">
      <c r="A140" s="12"/>
      <c r="B140" s="12"/>
      <c r="C140" s="11"/>
      <c r="D140" s="12"/>
      <c r="F140" s="11"/>
    </row>
    <row r="141" spans="1:6" x14ac:dyDescent="0.25">
      <c r="A141" s="12"/>
      <c r="B141" s="12"/>
      <c r="C141" s="11"/>
      <c r="D141" s="12"/>
      <c r="F141" s="11"/>
    </row>
    <row r="142" spans="1:6" x14ac:dyDescent="0.25">
      <c r="A142" s="12"/>
      <c r="B142" s="12"/>
      <c r="C142" s="11"/>
      <c r="D142" s="12"/>
      <c r="F142" s="11"/>
    </row>
    <row r="143" spans="1:6" x14ac:dyDescent="0.25">
      <c r="A143" s="12"/>
      <c r="B143" s="12"/>
      <c r="C143" s="11"/>
      <c r="D143" s="12"/>
      <c r="F143" s="11"/>
    </row>
    <row r="144" spans="1:6" x14ac:dyDescent="0.25">
      <c r="A144" s="12"/>
      <c r="B144" s="12"/>
      <c r="C144" s="11"/>
      <c r="D144" s="12"/>
      <c r="F144" s="11"/>
    </row>
    <row r="145" spans="1:6" x14ac:dyDescent="0.25">
      <c r="A145" s="12"/>
      <c r="B145" s="12"/>
      <c r="C145" s="11"/>
      <c r="D145" s="12"/>
      <c r="F145" s="11"/>
    </row>
    <row r="146" spans="1:6" x14ac:dyDescent="0.25">
      <c r="A146" s="12"/>
      <c r="B146" s="12"/>
      <c r="C146" s="11"/>
      <c r="D146" s="12"/>
      <c r="F146" s="11"/>
    </row>
    <row r="147" spans="1:6" x14ac:dyDescent="0.25">
      <c r="A147" s="12"/>
      <c r="B147" s="12"/>
      <c r="C147" s="11"/>
      <c r="D147" s="12"/>
      <c r="F147" s="11"/>
    </row>
    <row r="148" spans="1:6" x14ac:dyDescent="0.25">
      <c r="A148" s="12"/>
      <c r="B148" s="12"/>
      <c r="C148" s="11"/>
      <c r="D148" s="12"/>
      <c r="F148" s="11"/>
    </row>
    <row r="149" spans="1:6" x14ac:dyDescent="0.25">
      <c r="A149" s="12"/>
      <c r="B149" s="12"/>
      <c r="C149" s="11"/>
      <c r="D149" s="12"/>
      <c r="F149" s="11"/>
    </row>
    <row r="150" spans="1:6" x14ac:dyDescent="0.25">
      <c r="A150" s="11"/>
      <c r="B150" s="11"/>
      <c r="C150" s="11"/>
      <c r="D150" s="11"/>
      <c r="F150" s="11"/>
    </row>
    <row r="151" spans="1:6" x14ac:dyDescent="0.25">
      <c r="A151" s="12"/>
      <c r="B151" s="12"/>
      <c r="C151" s="11"/>
      <c r="D151" s="12"/>
      <c r="F151" s="11"/>
    </row>
    <row r="152" spans="1:6" x14ac:dyDescent="0.25">
      <c r="A152" s="12"/>
      <c r="B152" s="12"/>
      <c r="C152" s="11"/>
      <c r="D152" s="12"/>
      <c r="F152" s="11"/>
    </row>
    <row r="153" spans="1:6" x14ac:dyDescent="0.25">
      <c r="A153" s="12"/>
      <c r="B153" s="12"/>
      <c r="C153" s="11"/>
      <c r="D153" s="12"/>
      <c r="F153" s="11"/>
    </row>
    <row r="154" spans="1:6" x14ac:dyDescent="0.25">
      <c r="A154" s="12"/>
      <c r="B154" s="12"/>
      <c r="C154" s="11"/>
      <c r="D154" s="12"/>
      <c r="F154" s="11"/>
    </row>
    <row r="155" spans="1:6" x14ac:dyDescent="0.25">
      <c r="A155" s="12"/>
      <c r="B155" s="12"/>
      <c r="C155" s="11"/>
      <c r="D155" s="12"/>
      <c r="F155" s="11"/>
    </row>
    <row r="156" spans="1:6" x14ac:dyDescent="0.25">
      <c r="A156" s="12"/>
      <c r="B156" s="12"/>
      <c r="C156" s="11"/>
      <c r="D156" s="12"/>
      <c r="F156" s="11"/>
    </row>
    <row r="157" spans="1:6" x14ac:dyDescent="0.25">
      <c r="A157" s="12"/>
      <c r="B157" s="12"/>
      <c r="C157" s="11"/>
      <c r="D157" s="12"/>
      <c r="F157" s="11"/>
    </row>
    <row r="158" spans="1:6" x14ac:dyDescent="0.25">
      <c r="A158" s="12"/>
      <c r="B158" s="12"/>
      <c r="C158" s="11"/>
      <c r="D158" s="12"/>
      <c r="F158" s="11"/>
    </row>
    <row r="159" spans="1:6" x14ac:dyDescent="0.25">
      <c r="A159" s="12"/>
      <c r="B159" s="12"/>
      <c r="C159" s="11"/>
      <c r="D159" s="12"/>
      <c r="F159" s="11"/>
    </row>
    <row r="160" spans="1:6" x14ac:dyDescent="0.25">
      <c r="A160" s="12"/>
      <c r="B160" s="12"/>
      <c r="C160" s="11"/>
      <c r="D160" s="12"/>
      <c r="F160" s="11"/>
    </row>
    <row r="161" spans="1:6" x14ac:dyDescent="0.25">
      <c r="A161" s="12"/>
      <c r="B161" s="12"/>
      <c r="C161" s="11"/>
      <c r="D161" s="12"/>
      <c r="F161" s="11"/>
    </row>
    <row r="162" spans="1:6" x14ac:dyDescent="0.25">
      <c r="A162" s="12"/>
      <c r="B162" s="12"/>
      <c r="C162" s="11"/>
      <c r="D162" s="12"/>
      <c r="F162" s="11"/>
    </row>
    <row r="163" spans="1:6" x14ac:dyDescent="0.25">
      <c r="A163" s="12"/>
      <c r="B163" s="12"/>
      <c r="C163" s="11"/>
      <c r="D163" s="12"/>
      <c r="F163" s="11"/>
    </row>
    <row r="164" spans="1:6" x14ac:dyDescent="0.25">
      <c r="A164" s="12"/>
      <c r="B164" s="12"/>
      <c r="C164" s="11"/>
      <c r="D164" s="12"/>
      <c r="F164" s="11"/>
    </row>
    <row r="165" spans="1:6" x14ac:dyDescent="0.25">
      <c r="A165" s="12"/>
      <c r="B165" s="12"/>
      <c r="C165" s="11"/>
      <c r="D165" s="12"/>
      <c r="F165" s="11"/>
    </row>
    <row r="166" spans="1:6" x14ac:dyDescent="0.25">
      <c r="A166" s="11"/>
      <c r="B166" s="11"/>
      <c r="C166" s="11"/>
      <c r="D166" s="11"/>
      <c r="F166" s="11"/>
    </row>
    <row r="167" spans="1:6" x14ac:dyDescent="0.25">
      <c r="A167" s="12"/>
      <c r="B167" s="12"/>
      <c r="C167" s="11"/>
      <c r="D167" s="12"/>
      <c r="F167" s="11"/>
    </row>
    <row r="168" spans="1:6" x14ac:dyDescent="0.25">
      <c r="A168" s="12"/>
      <c r="B168" s="12"/>
      <c r="C168" s="11"/>
      <c r="D168" s="12"/>
      <c r="F168" s="11"/>
    </row>
    <row r="169" spans="1:6" x14ac:dyDescent="0.25">
      <c r="A169" s="12"/>
      <c r="B169" s="12"/>
      <c r="C169" s="11"/>
      <c r="D169" s="12"/>
      <c r="F169" s="11"/>
    </row>
    <row r="170" spans="1:6" x14ac:dyDescent="0.25">
      <c r="A170" s="12"/>
      <c r="B170" s="12"/>
      <c r="C170" s="11"/>
      <c r="D170" s="12"/>
      <c r="F170" s="11"/>
    </row>
    <row r="171" spans="1:6" x14ac:dyDescent="0.25">
      <c r="A171" s="12"/>
      <c r="B171" s="12"/>
      <c r="C171" s="11"/>
      <c r="D171" s="12"/>
      <c r="F171" s="11"/>
    </row>
    <row r="172" spans="1:6" x14ac:dyDescent="0.25">
      <c r="A172" s="12"/>
      <c r="B172" s="12"/>
      <c r="C172" s="11"/>
      <c r="D172" s="12"/>
      <c r="F172" s="11"/>
    </row>
    <row r="173" spans="1:6" x14ac:dyDescent="0.25">
      <c r="A173" s="12"/>
      <c r="B173" s="12"/>
      <c r="C173" s="11"/>
      <c r="D173" s="12"/>
      <c r="F173" s="11"/>
    </row>
    <row r="174" spans="1:6" x14ac:dyDescent="0.25">
      <c r="A174" s="12"/>
      <c r="B174" s="12"/>
      <c r="C174" s="11"/>
      <c r="D174" s="12"/>
      <c r="F174" s="11"/>
    </row>
    <row r="175" spans="1:6" x14ac:dyDescent="0.25">
      <c r="A175" s="12"/>
      <c r="B175" s="12"/>
      <c r="C175" s="11"/>
      <c r="D175" s="12"/>
      <c r="F175" s="11"/>
    </row>
    <row r="176" spans="1:6" x14ac:dyDescent="0.25">
      <c r="A176" s="12"/>
      <c r="B176" s="12"/>
      <c r="C176" s="11"/>
      <c r="D176" s="12"/>
      <c r="F176" s="11"/>
    </row>
    <row r="177" spans="1:6" x14ac:dyDescent="0.25">
      <c r="A177" s="12"/>
      <c r="B177" s="12"/>
      <c r="C177" s="11"/>
      <c r="D177" s="12"/>
      <c r="F177" s="11"/>
    </row>
    <row r="178" spans="1:6" x14ac:dyDescent="0.25">
      <c r="A178" s="12"/>
      <c r="B178" s="12"/>
      <c r="C178" s="11"/>
      <c r="D178" s="12"/>
      <c r="F178" s="11"/>
    </row>
    <row r="179" spans="1:6" x14ac:dyDescent="0.25">
      <c r="A179" s="12"/>
      <c r="B179" s="12"/>
      <c r="C179" s="11"/>
      <c r="D179" s="12"/>
      <c r="F179" s="11"/>
    </row>
    <row r="180" spans="1:6" x14ac:dyDescent="0.25">
      <c r="A180" s="12"/>
      <c r="B180" s="12"/>
      <c r="C180" s="11"/>
      <c r="D180" s="12"/>
      <c r="F180" s="11"/>
    </row>
    <row r="181" spans="1:6" x14ac:dyDescent="0.25">
      <c r="A181" s="12"/>
      <c r="B181" s="12"/>
      <c r="C181" s="11"/>
      <c r="D181" s="12"/>
      <c r="F181" s="11"/>
    </row>
    <row r="182" spans="1:6" x14ac:dyDescent="0.25">
      <c r="A182" s="12"/>
      <c r="B182" s="12"/>
      <c r="C182" s="11"/>
      <c r="D182" s="12"/>
      <c r="F182" s="11"/>
    </row>
    <row r="183" spans="1:6" x14ac:dyDescent="0.25">
      <c r="A183" s="12"/>
      <c r="B183" s="12"/>
      <c r="C183" s="11"/>
      <c r="D183" s="12"/>
      <c r="F183" s="11"/>
    </row>
    <row r="184" spans="1:6" x14ac:dyDescent="0.25">
      <c r="A184" s="12"/>
      <c r="B184" s="12"/>
      <c r="C184" s="11"/>
      <c r="D184" s="12"/>
      <c r="F184" s="11"/>
    </row>
    <row r="185" spans="1:6" x14ac:dyDescent="0.25">
      <c r="A185" s="11"/>
      <c r="B185" s="11"/>
      <c r="C185" s="11"/>
      <c r="D185" s="11"/>
      <c r="F185" s="11"/>
    </row>
    <row r="186" spans="1:6" x14ac:dyDescent="0.25">
      <c r="A186" s="12"/>
      <c r="B186" s="12"/>
      <c r="C186" s="11"/>
      <c r="D186" s="12"/>
      <c r="F186" s="11"/>
    </row>
    <row r="187" spans="1:6" x14ac:dyDescent="0.25">
      <c r="A187" s="12"/>
      <c r="B187" s="12"/>
      <c r="C187" s="11"/>
      <c r="D187" s="12"/>
      <c r="F187" s="11"/>
    </row>
    <row r="188" spans="1:6" x14ac:dyDescent="0.25">
      <c r="A188" s="12"/>
      <c r="B188" s="12"/>
      <c r="C188" s="11"/>
      <c r="D188" s="12"/>
      <c r="F188" s="11"/>
    </row>
    <row r="189" spans="1:6" x14ac:dyDescent="0.25">
      <c r="A189" s="12"/>
      <c r="B189" s="12"/>
      <c r="C189" s="11"/>
      <c r="D189" s="12"/>
      <c r="F189" s="11"/>
    </row>
    <row r="190" spans="1:6" x14ac:dyDescent="0.25">
      <c r="A190" s="12"/>
      <c r="B190" s="12"/>
      <c r="C190" s="11"/>
      <c r="D190" s="12"/>
      <c r="F190" s="11"/>
    </row>
    <row r="191" spans="1:6" x14ac:dyDescent="0.25">
      <c r="A191" s="12"/>
      <c r="B191" s="12"/>
      <c r="C191" s="11"/>
      <c r="D191" s="12"/>
      <c r="F191" s="11"/>
    </row>
    <row r="192" spans="1:6" x14ac:dyDescent="0.25">
      <c r="A192" s="12"/>
      <c r="B192" s="12"/>
      <c r="C192" s="11"/>
      <c r="D192" s="12"/>
      <c r="F192" s="11"/>
    </row>
    <row r="193" spans="1:6" x14ac:dyDescent="0.25">
      <c r="A193" s="12"/>
      <c r="B193" s="12"/>
      <c r="C193" s="11"/>
      <c r="D193" s="12"/>
      <c r="F193" s="11"/>
    </row>
    <row r="194" spans="1:6" x14ac:dyDescent="0.25">
      <c r="A194" s="12"/>
      <c r="B194" s="12"/>
      <c r="C194" s="11"/>
      <c r="D194" s="12"/>
      <c r="F194" s="11"/>
    </row>
    <row r="195" spans="1:6" x14ac:dyDescent="0.25">
      <c r="A195" s="12"/>
      <c r="B195" s="12"/>
      <c r="C195" s="11"/>
      <c r="D195" s="12"/>
      <c r="F195" s="11"/>
    </row>
    <row r="196" spans="1:6" x14ac:dyDescent="0.25">
      <c r="A196" s="12"/>
      <c r="B196" s="12"/>
      <c r="C196" s="11"/>
      <c r="D196" s="12"/>
      <c r="F196" s="11"/>
    </row>
    <row r="197" spans="1:6" x14ac:dyDescent="0.25">
      <c r="A197" s="12"/>
      <c r="B197" s="12"/>
      <c r="C197" s="11"/>
      <c r="D197" s="12"/>
      <c r="F197" s="11"/>
    </row>
    <row r="198" spans="1:6" x14ac:dyDescent="0.25">
      <c r="A198" s="12"/>
      <c r="B198" s="12"/>
      <c r="C198" s="11"/>
      <c r="D198" s="12"/>
      <c r="F198" s="11"/>
    </row>
    <row r="199" spans="1:6" x14ac:dyDescent="0.25">
      <c r="A199" s="12"/>
      <c r="B199" s="12"/>
      <c r="C199" s="11"/>
      <c r="D199" s="12"/>
      <c r="F199" s="11"/>
    </row>
    <row r="200" spans="1:6" x14ac:dyDescent="0.25">
      <c r="A200" s="12"/>
      <c r="B200" s="12"/>
      <c r="C200" s="11"/>
      <c r="D200" s="12"/>
      <c r="F200" s="11"/>
    </row>
    <row r="201" spans="1:6" x14ac:dyDescent="0.25">
      <c r="A201" s="12"/>
      <c r="B201" s="12"/>
      <c r="C201" s="11"/>
      <c r="D201" s="12"/>
      <c r="F201" s="11"/>
    </row>
    <row r="202" spans="1:6" x14ac:dyDescent="0.25">
      <c r="A202" s="12"/>
      <c r="B202" s="12"/>
      <c r="C202" s="11"/>
      <c r="D202" s="12"/>
      <c r="F202" s="11"/>
    </row>
    <row r="203" spans="1:6" x14ac:dyDescent="0.25">
      <c r="A203" s="12"/>
      <c r="B203" s="12"/>
      <c r="C203" s="11"/>
      <c r="D203" s="12"/>
      <c r="F203" s="11"/>
    </row>
    <row r="204" spans="1:6" x14ac:dyDescent="0.25">
      <c r="A204" s="11"/>
      <c r="B204" s="11"/>
      <c r="C204" s="11"/>
      <c r="D204" s="11"/>
      <c r="F204" s="11"/>
    </row>
    <row r="205" spans="1:6" x14ac:dyDescent="0.25">
      <c r="A205" s="12"/>
      <c r="B205" s="12"/>
      <c r="C205" s="11"/>
      <c r="D205" s="12"/>
      <c r="F205" s="11"/>
    </row>
    <row r="206" spans="1:6" x14ac:dyDescent="0.25">
      <c r="A206" s="12"/>
      <c r="B206" s="12"/>
      <c r="C206" s="11"/>
      <c r="D206" s="12"/>
      <c r="F206" s="11"/>
    </row>
    <row r="207" spans="1:6" x14ac:dyDescent="0.25">
      <c r="A207" s="12"/>
      <c r="B207" s="12"/>
      <c r="C207" s="11"/>
      <c r="D207" s="12"/>
      <c r="F207" s="11"/>
    </row>
    <row r="208" spans="1:6" x14ac:dyDescent="0.25">
      <c r="A208" s="12"/>
      <c r="B208" s="12"/>
      <c r="C208" s="11"/>
      <c r="D208" s="12"/>
      <c r="F208" s="11"/>
    </row>
    <row r="209" spans="1:6" x14ac:dyDescent="0.25">
      <c r="A209" s="12"/>
      <c r="B209" s="12"/>
      <c r="C209" s="11"/>
      <c r="D209" s="12"/>
      <c r="F209" s="11"/>
    </row>
    <row r="210" spans="1:6" x14ac:dyDescent="0.25">
      <c r="A210" s="12"/>
      <c r="B210" s="12"/>
      <c r="C210" s="11"/>
      <c r="D210" s="12"/>
      <c r="F210" s="11"/>
    </row>
    <row r="211" spans="1:6" x14ac:dyDescent="0.25">
      <c r="A211" s="12"/>
      <c r="B211" s="12"/>
      <c r="C211" s="11"/>
      <c r="D211" s="12"/>
      <c r="F211" s="11"/>
    </row>
    <row r="212" spans="1:6" x14ac:dyDescent="0.25">
      <c r="A212" s="12"/>
      <c r="B212" s="12"/>
      <c r="C212" s="11"/>
      <c r="D212" s="12"/>
      <c r="F212" s="11"/>
    </row>
    <row r="213" spans="1:6" x14ac:dyDescent="0.25">
      <c r="A213" s="12"/>
      <c r="B213" s="12"/>
      <c r="C213" s="11"/>
      <c r="D213" s="12"/>
      <c r="F213" s="11"/>
    </row>
    <row r="214" spans="1:6" x14ac:dyDescent="0.25">
      <c r="A214" s="12"/>
      <c r="B214" s="12"/>
      <c r="C214" s="11"/>
      <c r="D214" s="12"/>
      <c r="F214" s="11"/>
    </row>
    <row r="215" spans="1:6" x14ac:dyDescent="0.25">
      <c r="A215" s="12"/>
      <c r="B215" s="12"/>
      <c r="C215" s="11"/>
      <c r="D215" s="12"/>
      <c r="F215" s="11"/>
    </row>
    <row r="216" spans="1:6" x14ac:dyDescent="0.25">
      <c r="A216" s="12"/>
      <c r="B216" s="12"/>
      <c r="C216" s="11"/>
      <c r="D216" s="12"/>
      <c r="F216" s="11"/>
    </row>
    <row r="217" spans="1:6" x14ac:dyDescent="0.25">
      <c r="A217" s="12"/>
      <c r="B217" s="12"/>
      <c r="C217" s="11"/>
      <c r="D217" s="12"/>
      <c r="F217" s="11"/>
    </row>
    <row r="218" spans="1:6" x14ac:dyDescent="0.25">
      <c r="A218" s="12"/>
      <c r="B218" s="12"/>
      <c r="C218" s="11"/>
      <c r="D218" s="12"/>
      <c r="F218" s="11"/>
    </row>
    <row r="219" spans="1:6" x14ac:dyDescent="0.25">
      <c r="A219" s="12"/>
      <c r="B219" s="12"/>
      <c r="C219" s="11"/>
      <c r="D219" s="12"/>
      <c r="F219" s="11"/>
    </row>
    <row r="220" spans="1:6" x14ac:dyDescent="0.25">
      <c r="A220" s="12"/>
      <c r="B220" s="12"/>
      <c r="C220" s="11"/>
      <c r="D220" s="12"/>
      <c r="F220" s="11"/>
    </row>
    <row r="221" spans="1:6" x14ac:dyDescent="0.25">
      <c r="A221" s="11"/>
      <c r="B221" s="11"/>
      <c r="C221" s="11"/>
      <c r="D221" s="11"/>
      <c r="F221" s="11"/>
    </row>
    <row r="222" spans="1:6" x14ac:dyDescent="0.25">
      <c r="A222" s="12"/>
      <c r="B222" s="12"/>
      <c r="C222" s="11"/>
      <c r="D222" s="12"/>
      <c r="F222" s="11"/>
    </row>
    <row r="223" spans="1:6" x14ac:dyDescent="0.25">
      <c r="A223" s="12"/>
      <c r="B223" s="12"/>
      <c r="C223" s="11"/>
      <c r="D223" s="12"/>
      <c r="F223" s="11"/>
    </row>
    <row r="224" spans="1:6" x14ac:dyDescent="0.25">
      <c r="A224" s="12"/>
      <c r="B224" s="12"/>
      <c r="C224" s="11"/>
      <c r="D224" s="12"/>
      <c r="F224" s="11"/>
    </row>
    <row r="225" spans="1:6" x14ac:dyDescent="0.25">
      <c r="A225" s="12"/>
      <c r="B225" s="12"/>
      <c r="C225" s="11"/>
      <c r="D225" s="12"/>
      <c r="F225" s="11"/>
    </row>
    <row r="226" spans="1:6" x14ac:dyDescent="0.25">
      <c r="A226" s="12"/>
      <c r="B226" s="12"/>
      <c r="C226" s="11"/>
      <c r="D226" s="12"/>
      <c r="F226" s="11"/>
    </row>
    <row r="227" spans="1:6" x14ac:dyDescent="0.25">
      <c r="A227" s="12"/>
      <c r="B227" s="12"/>
      <c r="C227" s="11"/>
      <c r="D227" s="12"/>
      <c r="F227" s="11"/>
    </row>
    <row r="228" spans="1:6" x14ac:dyDescent="0.25">
      <c r="A228" s="12"/>
      <c r="B228" s="12"/>
      <c r="C228" s="11"/>
      <c r="D228" s="12"/>
      <c r="F228" s="11"/>
    </row>
    <row r="229" spans="1:6" x14ac:dyDescent="0.25">
      <c r="A229" s="12"/>
      <c r="B229" s="12"/>
      <c r="C229" s="11"/>
      <c r="D229" s="12"/>
      <c r="F229" s="11"/>
    </row>
    <row r="230" spans="1:6" x14ac:dyDescent="0.25">
      <c r="A230" s="12"/>
      <c r="B230" s="12"/>
      <c r="C230" s="11"/>
      <c r="D230" s="12"/>
      <c r="F230" s="11"/>
    </row>
    <row r="231" spans="1:6" x14ac:dyDescent="0.25">
      <c r="A231" s="12"/>
      <c r="B231" s="12"/>
      <c r="C231" s="11"/>
      <c r="D231" s="12"/>
      <c r="F231" s="11"/>
    </row>
    <row r="232" spans="1:6" x14ac:dyDescent="0.25">
      <c r="A232" s="12"/>
      <c r="B232" s="12"/>
      <c r="C232" s="11"/>
      <c r="D232" s="12"/>
      <c r="F232" s="11"/>
    </row>
    <row r="233" spans="1:6" x14ac:dyDescent="0.25">
      <c r="A233" s="12"/>
      <c r="B233" s="12"/>
      <c r="C233" s="11"/>
      <c r="D233" s="12"/>
      <c r="F233" s="11"/>
    </row>
    <row r="234" spans="1:6" x14ac:dyDescent="0.25">
      <c r="A234" s="12"/>
      <c r="B234" s="12"/>
      <c r="C234" s="11"/>
      <c r="D234" s="12"/>
      <c r="F234" s="11"/>
    </row>
    <row r="235" spans="1:6" x14ac:dyDescent="0.25">
      <c r="A235" s="12"/>
      <c r="B235" s="12"/>
      <c r="C235" s="11"/>
      <c r="D235" s="12"/>
      <c r="F235" s="11"/>
    </row>
    <row r="236" spans="1:6" x14ac:dyDescent="0.25">
      <c r="A236" s="12"/>
      <c r="B236" s="12"/>
      <c r="C236" s="11"/>
      <c r="D236" s="12"/>
      <c r="F236" s="11"/>
    </row>
    <row r="237" spans="1:6" x14ac:dyDescent="0.25">
      <c r="A237" s="12"/>
      <c r="B237" s="12"/>
      <c r="C237" s="11"/>
      <c r="D237" s="12"/>
      <c r="F237" s="11"/>
    </row>
    <row r="238" spans="1:6" x14ac:dyDescent="0.25">
      <c r="A238" s="11"/>
      <c r="B238" s="11"/>
      <c r="C238" s="11"/>
      <c r="D238" s="11"/>
      <c r="F238" s="11"/>
    </row>
    <row r="239" spans="1:6" x14ac:dyDescent="0.25">
      <c r="A239" s="12"/>
      <c r="B239" s="12"/>
      <c r="C239" s="11"/>
      <c r="D239" s="12"/>
      <c r="F239" s="11"/>
    </row>
    <row r="240" spans="1:6" x14ac:dyDescent="0.25">
      <c r="A240" s="12"/>
      <c r="B240" s="12"/>
      <c r="C240" s="11"/>
      <c r="D240" s="12"/>
      <c r="F240" s="11"/>
    </row>
    <row r="241" spans="1:6" x14ac:dyDescent="0.25">
      <c r="A241" s="12"/>
      <c r="B241" s="12"/>
      <c r="C241" s="11"/>
      <c r="D241" s="12"/>
      <c r="F241" s="11"/>
    </row>
    <row r="242" spans="1:6" x14ac:dyDescent="0.25">
      <c r="A242" s="12"/>
      <c r="B242" s="12"/>
      <c r="C242" s="11"/>
      <c r="D242" s="12"/>
      <c r="F242" s="11"/>
    </row>
    <row r="243" spans="1:6" x14ac:dyDescent="0.25">
      <c r="A243" s="12"/>
      <c r="B243" s="12"/>
      <c r="C243" s="11"/>
      <c r="D243" s="12"/>
      <c r="F243" s="11"/>
    </row>
    <row r="244" spans="1:6" x14ac:dyDescent="0.25">
      <c r="A244" s="12"/>
      <c r="B244" s="12"/>
      <c r="C244" s="11"/>
      <c r="D244" s="12"/>
      <c r="F244" s="11"/>
    </row>
    <row r="245" spans="1:6" x14ac:dyDescent="0.25">
      <c r="A245" s="12"/>
      <c r="B245" s="12"/>
      <c r="C245" s="11"/>
      <c r="D245" s="12"/>
      <c r="F245" s="11"/>
    </row>
    <row r="246" spans="1:6" x14ac:dyDescent="0.25">
      <c r="A246" s="12"/>
      <c r="B246" s="12"/>
      <c r="C246" s="11"/>
      <c r="D246" s="12"/>
      <c r="F246" s="11"/>
    </row>
    <row r="247" spans="1:6" x14ac:dyDescent="0.25">
      <c r="A247" s="12"/>
      <c r="B247" s="12"/>
      <c r="C247" s="11"/>
      <c r="D247" s="12"/>
      <c r="F247" s="11"/>
    </row>
    <row r="248" spans="1:6" x14ac:dyDescent="0.25">
      <c r="A248" s="12"/>
      <c r="B248" s="12"/>
      <c r="C248" s="11"/>
      <c r="D248" s="12"/>
      <c r="F248" s="11"/>
    </row>
    <row r="249" spans="1:6" x14ac:dyDescent="0.25">
      <c r="A249" s="12"/>
      <c r="B249" s="12"/>
      <c r="C249" s="11"/>
      <c r="D249" s="12"/>
      <c r="F249" s="11"/>
    </row>
    <row r="250" spans="1:6" x14ac:dyDescent="0.25">
      <c r="A250" s="12"/>
      <c r="B250" s="12"/>
      <c r="C250" s="11"/>
      <c r="D250" s="12"/>
      <c r="F250" s="11"/>
    </row>
    <row r="251" spans="1:6" x14ac:dyDescent="0.25">
      <c r="A251" s="12"/>
      <c r="B251" s="12"/>
      <c r="C251" s="11"/>
      <c r="D251" s="12"/>
      <c r="F251" s="11"/>
    </row>
    <row r="252" spans="1:6" x14ac:dyDescent="0.25">
      <c r="A252" s="12"/>
      <c r="B252" s="12"/>
      <c r="C252" s="11"/>
      <c r="D252" s="12"/>
      <c r="F252" s="11"/>
    </row>
    <row r="253" spans="1:6" x14ac:dyDescent="0.25">
      <c r="A253" s="12"/>
      <c r="B253" s="12"/>
      <c r="C253" s="11"/>
      <c r="D253" s="12"/>
      <c r="F253" s="11"/>
    </row>
    <row r="254" spans="1:6" x14ac:dyDescent="0.25">
      <c r="A254" s="12"/>
      <c r="B254" s="12"/>
      <c r="C254" s="11"/>
      <c r="D254" s="12"/>
      <c r="F254" s="11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2A51-D266-4E67-BE36-684846C31116}">
  <sheetPr codeName="Лист30"/>
  <dimension ref="A1:O215"/>
  <sheetViews>
    <sheetView workbookViewId="0">
      <pane ySplit="1" topLeftCell="A2" activePane="bottomLeft" state="frozen"/>
      <selection pane="bottomLeft" activeCell="R17" sqref="R17"/>
    </sheetView>
  </sheetViews>
  <sheetFormatPr defaultRowHeight="15" x14ac:dyDescent="0.25"/>
  <cols>
    <col min="12" max="13" width="9.140625" style="20"/>
  </cols>
  <sheetData>
    <row r="1" spans="1:15" x14ac:dyDescent="0.25">
      <c r="A1" t="s">
        <v>3151</v>
      </c>
      <c r="B1" t="s">
        <v>3152</v>
      </c>
      <c r="C1" t="s">
        <v>3153</v>
      </c>
      <c r="D1" t="s">
        <v>3154</v>
      </c>
      <c r="E1" t="s">
        <v>3155</v>
      </c>
      <c r="F1" t="s">
        <v>3156</v>
      </c>
      <c r="G1" t="s">
        <v>3157</v>
      </c>
      <c r="H1" t="s">
        <v>3158</v>
      </c>
      <c r="I1" t="s">
        <v>3159</v>
      </c>
      <c r="J1" t="s">
        <v>3160</v>
      </c>
      <c r="K1" t="s">
        <v>2387</v>
      </c>
      <c r="L1" s="20" t="s">
        <v>3161</v>
      </c>
      <c r="M1" s="20" t="s">
        <v>3162</v>
      </c>
      <c r="N1" t="s">
        <v>3163</v>
      </c>
      <c r="O1" t="s">
        <v>3168</v>
      </c>
    </row>
    <row r="2" spans="1:15" x14ac:dyDescent="0.25">
      <c r="A2" s="11">
        <v>315723110102</v>
      </c>
      <c r="B2" s="11">
        <v>3</v>
      </c>
      <c r="C2" s="11" t="s">
        <v>2397</v>
      </c>
      <c r="D2" s="11">
        <v>600</v>
      </c>
      <c r="E2" s="11">
        <v>1260</v>
      </c>
      <c r="F2" s="11">
        <v>630</v>
      </c>
      <c r="G2" s="11">
        <v>1200</v>
      </c>
      <c r="H2" s="11">
        <v>350</v>
      </c>
      <c r="I2" s="11" t="s">
        <v>2487</v>
      </c>
      <c r="J2" s="11" t="s">
        <v>2458</v>
      </c>
      <c r="K2" s="11" t="s">
        <v>3169</v>
      </c>
      <c r="L2" s="20">
        <v>1</v>
      </c>
      <c r="M2" s="20">
        <v>6</v>
      </c>
      <c r="N2" s="11">
        <v>1</v>
      </c>
      <c r="O2" s="11">
        <v>4</v>
      </c>
    </row>
    <row r="3" spans="1:15" x14ac:dyDescent="0.25">
      <c r="A3" s="11">
        <v>315723110201</v>
      </c>
      <c r="B3" s="12">
        <v>3</v>
      </c>
      <c r="C3" s="11" t="s">
        <v>2400</v>
      </c>
      <c r="D3" s="12">
        <v>600</v>
      </c>
      <c r="E3" s="12">
        <v>1260</v>
      </c>
      <c r="F3" s="12">
        <v>630</v>
      </c>
      <c r="G3" s="12">
        <v>1200</v>
      </c>
      <c r="H3" s="12">
        <v>350</v>
      </c>
      <c r="I3" s="12" t="s">
        <v>2487</v>
      </c>
      <c r="J3" s="12" t="s">
        <v>2458</v>
      </c>
      <c r="K3" s="12" t="s">
        <v>3169</v>
      </c>
      <c r="L3" s="20">
        <v>1</v>
      </c>
      <c r="M3" s="20">
        <v>6</v>
      </c>
      <c r="N3">
        <v>1</v>
      </c>
      <c r="O3">
        <v>4</v>
      </c>
    </row>
    <row r="4" spans="1:15" x14ac:dyDescent="0.25">
      <c r="A4" s="11">
        <v>315723110300</v>
      </c>
      <c r="B4" s="11" t="s">
        <v>3170</v>
      </c>
      <c r="C4" s="11" t="s">
        <v>2397</v>
      </c>
      <c r="D4" s="12">
        <v>600</v>
      </c>
      <c r="E4" s="12">
        <v>1260</v>
      </c>
      <c r="F4" s="12">
        <v>630</v>
      </c>
      <c r="G4" s="12">
        <v>1200</v>
      </c>
      <c r="H4" s="12">
        <v>350</v>
      </c>
      <c r="I4" s="12" t="s">
        <v>2487</v>
      </c>
      <c r="J4" s="12" t="s">
        <v>2458</v>
      </c>
      <c r="K4" s="12" t="s">
        <v>3169</v>
      </c>
      <c r="L4" s="20">
        <v>1</v>
      </c>
      <c r="M4" s="20">
        <v>6</v>
      </c>
      <c r="N4">
        <v>1</v>
      </c>
      <c r="O4">
        <v>4</v>
      </c>
    </row>
    <row r="5" spans="1:15" x14ac:dyDescent="0.25">
      <c r="A5" s="11">
        <v>315723110410</v>
      </c>
      <c r="B5" s="12" t="s">
        <v>3170</v>
      </c>
      <c r="C5" s="11" t="s">
        <v>2400</v>
      </c>
      <c r="D5" s="12">
        <v>600</v>
      </c>
      <c r="E5" s="12">
        <v>1260</v>
      </c>
      <c r="F5" s="12">
        <v>630</v>
      </c>
      <c r="G5" s="12">
        <v>1200</v>
      </c>
      <c r="H5" s="12">
        <v>350</v>
      </c>
      <c r="I5" s="12" t="s">
        <v>2487</v>
      </c>
      <c r="J5" s="12" t="s">
        <v>2458</v>
      </c>
      <c r="K5" s="12" t="s">
        <v>3169</v>
      </c>
      <c r="L5" s="20">
        <v>1</v>
      </c>
      <c r="M5" s="20">
        <v>6</v>
      </c>
      <c r="N5">
        <v>1</v>
      </c>
      <c r="O5">
        <v>4</v>
      </c>
    </row>
    <row r="6" spans="1:15" x14ac:dyDescent="0.25">
      <c r="A6" s="11">
        <v>315723110509</v>
      </c>
      <c r="B6" s="11">
        <v>6</v>
      </c>
      <c r="C6" s="11" t="s">
        <v>2397</v>
      </c>
      <c r="D6" s="12">
        <v>600</v>
      </c>
      <c r="E6" s="11">
        <v>1460</v>
      </c>
      <c r="F6" s="11">
        <v>730</v>
      </c>
      <c r="G6" s="12">
        <v>1200</v>
      </c>
      <c r="H6" s="12">
        <v>350</v>
      </c>
      <c r="I6" s="11" t="s">
        <v>2466</v>
      </c>
      <c r="J6" s="11" t="s">
        <v>2412</v>
      </c>
      <c r="K6" s="11" t="s">
        <v>2512</v>
      </c>
      <c r="L6" s="20">
        <v>1</v>
      </c>
      <c r="M6" s="20">
        <v>6</v>
      </c>
      <c r="N6">
        <v>1</v>
      </c>
      <c r="O6">
        <v>4</v>
      </c>
    </row>
    <row r="7" spans="1:15" x14ac:dyDescent="0.25">
      <c r="A7" s="11">
        <v>315723110608</v>
      </c>
      <c r="B7" s="12">
        <v>6</v>
      </c>
      <c r="C7" s="11" t="s">
        <v>2400</v>
      </c>
      <c r="D7" s="12">
        <v>600</v>
      </c>
      <c r="E7" s="12">
        <v>1460</v>
      </c>
      <c r="F7" s="12">
        <v>730</v>
      </c>
      <c r="G7" s="12">
        <v>1200</v>
      </c>
      <c r="H7" s="12">
        <v>350</v>
      </c>
      <c r="I7" s="12" t="s">
        <v>2466</v>
      </c>
      <c r="J7" s="12" t="s">
        <v>2412</v>
      </c>
      <c r="K7" s="12" t="s">
        <v>2512</v>
      </c>
      <c r="L7" s="20">
        <v>1</v>
      </c>
      <c r="M7" s="20">
        <v>6</v>
      </c>
      <c r="N7">
        <v>1</v>
      </c>
      <c r="O7">
        <v>4</v>
      </c>
    </row>
    <row r="8" spans="1:15" x14ac:dyDescent="0.25">
      <c r="A8" s="11">
        <v>315723110707</v>
      </c>
      <c r="B8" s="12">
        <v>6</v>
      </c>
      <c r="C8" s="11" t="s">
        <v>2444</v>
      </c>
      <c r="D8" s="12">
        <v>600</v>
      </c>
      <c r="E8" s="12">
        <v>1460</v>
      </c>
      <c r="F8" s="12">
        <v>730</v>
      </c>
      <c r="G8" s="12">
        <v>1200</v>
      </c>
      <c r="H8" s="12">
        <v>350</v>
      </c>
      <c r="I8" s="12" t="s">
        <v>2466</v>
      </c>
      <c r="J8" s="12" t="s">
        <v>2412</v>
      </c>
      <c r="K8" s="12" t="s">
        <v>2512</v>
      </c>
      <c r="L8" s="20">
        <v>1</v>
      </c>
      <c r="M8" s="20">
        <v>6</v>
      </c>
      <c r="N8">
        <v>1</v>
      </c>
      <c r="O8">
        <v>4</v>
      </c>
    </row>
    <row r="9" spans="1:15" x14ac:dyDescent="0.25">
      <c r="A9" s="11">
        <v>315723110905</v>
      </c>
      <c r="B9" s="11">
        <v>9</v>
      </c>
      <c r="C9" s="11" t="s">
        <v>2400</v>
      </c>
      <c r="D9" s="12">
        <v>600</v>
      </c>
      <c r="E9" s="12">
        <v>1460</v>
      </c>
      <c r="F9" s="12">
        <v>730</v>
      </c>
      <c r="G9" s="12">
        <v>1200</v>
      </c>
      <c r="H9" s="12">
        <v>350</v>
      </c>
      <c r="I9" s="11" t="s">
        <v>3171</v>
      </c>
      <c r="J9" s="11" t="s">
        <v>2455</v>
      </c>
      <c r="K9" s="11" t="s">
        <v>3172</v>
      </c>
      <c r="L9" s="20">
        <v>1</v>
      </c>
      <c r="M9" s="20">
        <v>6</v>
      </c>
      <c r="N9">
        <v>1</v>
      </c>
      <c r="O9">
        <v>4</v>
      </c>
    </row>
    <row r="10" spans="1:15" x14ac:dyDescent="0.25">
      <c r="A10" s="11">
        <v>315723111100</v>
      </c>
      <c r="B10" s="12">
        <v>9</v>
      </c>
      <c r="C10" s="11" t="s">
        <v>2444</v>
      </c>
      <c r="D10" s="12">
        <v>600</v>
      </c>
      <c r="E10" s="12">
        <v>1460</v>
      </c>
      <c r="F10" s="12">
        <v>730</v>
      </c>
      <c r="G10" s="12">
        <v>1200</v>
      </c>
      <c r="H10" s="12">
        <v>350</v>
      </c>
      <c r="I10" s="12" t="s">
        <v>3171</v>
      </c>
      <c r="J10" s="12" t="s">
        <v>2455</v>
      </c>
      <c r="K10" s="12" t="s">
        <v>3172</v>
      </c>
      <c r="L10" s="20">
        <v>1</v>
      </c>
      <c r="M10" s="20">
        <v>6</v>
      </c>
      <c r="N10">
        <v>1</v>
      </c>
      <c r="O10">
        <v>4</v>
      </c>
    </row>
    <row r="11" spans="1:15" x14ac:dyDescent="0.25">
      <c r="A11" s="11">
        <v>315723111210</v>
      </c>
      <c r="B11" s="12">
        <v>9</v>
      </c>
      <c r="C11" s="11" t="s">
        <v>2448</v>
      </c>
      <c r="D11" s="12">
        <v>600</v>
      </c>
      <c r="E11" s="12">
        <v>1460</v>
      </c>
      <c r="F11" s="12">
        <v>730</v>
      </c>
      <c r="G11" s="12">
        <v>1200</v>
      </c>
      <c r="H11" s="12">
        <v>350</v>
      </c>
      <c r="I11" s="12" t="s">
        <v>3171</v>
      </c>
      <c r="J11" s="12" t="s">
        <v>2455</v>
      </c>
      <c r="K11" s="12" t="s">
        <v>3172</v>
      </c>
      <c r="L11" s="20">
        <v>1</v>
      </c>
      <c r="M11" s="20">
        <v>6</v>
      </c>
      <c r="N11">
        <v>1</v>
      </c>
      <c r="O11">
        <v>4</v>
      </c>
    </row>
    <row r="12" spans="1:15" x14ac:dyDescent="0.25">
      <c r="A12" s="11">
        <v>315723111309</v>
      </c>
      <c r="B12" s="12">
        <v>9</v>
      </c>
      <c r="C12" s="11" t="s">
        <v>2406</v>
      </c>
      <c r="D12" s="12">
        <v>600</v>
      </c>
      <c r="E12" s="12">
        <v>1460</v>
      </c>
      <c r="F12" s="12">
        <v>730</v>
      </c>
      <c r="G12" s="12">
        <v>1200</v>
      </c>
      <c r="H12" s="12">
        <v>350</v>
      </c>
      <c r="I12" s="12" t="s">
        <v>3171</v>
      </c>
      <c r="J12" s="12" t="s">
        <v>2455</v>
      </c>
      <c r="K12" s="12" t="s">
        <v>3172</v>
      </c>
      <c r="L12" s="20">
        <v>1</v>
      </c>
      <c r="M12" s="20">
        <v>6</v>
      </c>
      <c r="N12">
        <v>1</v>
      </c>
      <c r="O12">
        <v>4</v>
      </c>
    </row>
    <row r="13" spans="1:15" x14ac:dyDescent="0.25">
      <c r="A13" s="11">
        <v>315723111408</v>
      </c>
      <c r="B13" s="11">
        <v>12</v>
      </c>
      <c r="C13" s="11" t="s">
        <v>2400</v>
      </c>
      <c r="D13" s="12">
        <v>600</v>
      </c>
      <c r="E13" s="11">
        <v>1710</v>
      </c>
      <c r="F13" s="11">
        <v>855</v>
      </c>
      <c r="G13" s="11">
        <v>1280</v>
      </c>
      <c r="H13" s="11">
        <v>430</v>
      </c>
      <c r="I13" s="11" t="s">
        <v>2476</v>
      </c>
      <c r="J13" s="11" t="s">
        <v>2594</v>
      </c>
      <c r="K13" s="11" t="s">
        <v>2546</v>
      </c>
      <c r="L13" s="20">
        <v>1</v>
      </c>
      <c r="M13" s="20">
        <v>6</v>
      </c>
      <c r="N13">
        <v>1</v>
      </c>
      <c r="O13">
        <v>4</v>
      </c>
    </row>
    <row r="14" spans="1:15" x14ac:dyDescent="0.25">
      <c r="A14" s="11">
        <v>315723111507</v>
      </c>
      <c r="B14" s="12">
        <v>12</v>
      </c>
      <c r="C14" s="11" t="s">
        <v>2444</v>
      </c>
      <c r="D14" s="12">
        <v>600</v>
      </c>
      <c r="E14" s="12">
        <v>1710</v>
      </c>
      <c r="F14" s="12">
        <v>855</v>
      </c>
      <c r="G14" s="12">
        <v>1280</v>
      </c>
      <c r="H14" s="12">
        <v>430</v>
      </c>
      <c r="I14" s="12" t="s">
        <v>2476</v>
      </c>
      <c r="J14" s="12" t="s">
        <v>2594</v>
      </c>
      <c r="K14" s="12" t="s">
        <v>2546</v>
      </c>
      <c r="L14" s="20">
        <v>1</v>
      </c>
      <c r="M14" s="20">
        <v>6</v>
      </c>
      <c r="N14">
        <v>1</v>
      </c>
      <c r="O14">
        <v>4</v>
      </c>
    </row>
    <row r="15" spans="1:15" x14ac:dyDescent="0.25">
      <c r="A15" s="11">
        <v>315723111606</v>
      </c>
      <c r="B15" s="12">
        <v>12</v>
      </c>
      <c r="C15" s="11" t="s">
        <v>2448</v>
      </c>
      <c r="D15" s="12">
        <v>600</v>
      </c>
      <c r="E15" s="12">
        <v>1710</v>
      </c>
      <c r="F15" s="12">
        <v>855</v>
      </c>
      <c r="G15" s="12">
        <v>1280</v>
      </c>
      <c r="H15" s="12">
        <v>430</v>
      </c>
      <c r="I15" s="12" t="s">
        <v>2476</v>
      </c>
      <c r="J15" s="12" t="s">
        <v>2594</v>
      </c>
      <c r="K15" s="12" t="s">
        <v>2546</v>
      </c>
      <c r="L15" s="20">
        <v>1</v>
      </c>
      <c r="M15" s="20">
        <v>6</v>
      </c>
      <c r="N15">
        <v>1</v>
      </c>
      <c r="O15">
        <v>4</v>
      </c>
    </row>
    <row r="16" spans="1:15" x14ac:dyDescent="0.25">
      <c r="A16" s="11">
        <v>315723111705</v>
      </c>
      <c r="B16" s="12">
        <v>12</v>
      </c>
      <c r="C16" s="11" t="s">
        <v>2406</v>
      </c>
      <c r="D16" s="12">
        <v>600</v>
      </c>
      <c r="E16" s="12">
        <v>1710</v>
      </c>
      <c r="F16" s="12">
        <v>855</v>
      </c>
      <c r="G16" s="12">
        <v>1280</v>
      </c>
      <c r="H16" s="12">
        <v>430</v>
      </c>
      <c r="I16" s="12" t="s">
        <v>2476</v>
      </c>
      <c r="J16" s="12" t="s">
        <v>2594</v>
      </c>
      <c r="K16" s="12" t="s">
        <v>2546</v>
      </c>
      <c r="L16" s="20">
        <v>1</v>
      </c>
      <c r="M16" s="20">
        <v>6</v>
      </c>
      <c r="N16">
        <v>1</v>
      </c>
      <c r="O16">
        <v>4</v>
      </c>
    </row>
    <row r="17" spans="1:15" x14ac:dyDescent="0.25">
      <c r="A17" s="11">
        <v>315723111804</v>
      </c>
      <c r="B17" s="11">
        <v>15</v>
      </c>
      <c r="C17" s="11" t="s">
        <v>2400</v>
      </c>
      <c r="D17" s="12">
        <v>600</v>
      </c>
      <c r="E17" s="12">
        <v>1710</v>
      </c>
      <c r="F17" s="12">
        <v>855</v>
      </c>
      <c r="G17" s="11">
        <v>1360</v>
      </c>
      <c r="H17" s="11">
        <v>510</v>
      </c>
      <c r="I17" s="11" t="s">
        <v>3173</v>
      </c>
      <c r="J17" s="11" t="s">
        <v>2485</v>
      </c>
      <c r="K17" s="11" t="s">
        <v>3174</v>
      </c>
      <c r="L17" s="20">
        <v>1</v>
      </c>
      <c r="M17" s="20">
        <v>6</v>
      </c>
      <c r="N17">
        <v>1</v>
      </c>
      <c r="O17">
        <v>4</v>
      </c>
    </row>
    <row r="18" spans="1:15" x14ac:dyDescent="0.25">
      <c r="A18" s="11">
        <v>315723111903</v>
      </c>
      <c r="B18" s="12">
        <v>15</v>
      </c>
      <c r="C18" s="11" t="s">
        <v>2444</v>
      </c>
      <c r="D18" s="12">
        <v>600</v>
      </c>
      <c r="E18" s="12">
        <v>1710</v>
      </c>
      <c r="F18" s="12">
        <v>855</v>
      </c>
      <c r="G18" s="12">
        <v>1360</v>
      </c>
      <c r="H18" s="12">
        <v>510</v>
      </c>
      <c r="I18" s="12" t="s">
        <v>3173</v>
      </c>
      <c r="J18" s="12" t="s">
        <v>2485</v>
      </c>
      <c r="K18" s="12" t="s">
        <v>3174</v>
      </c>
      <c r="L18" s="20">
        <v>1</v>
      </c>
      <c r="M18" s="20">
        <v>6</v>
      </c>
      <c r="N18">
        <v>1</v>
      </c>
      <c r="O18">
        <v>4</v>
      </c>
    </row>
    <row r="19" spans="1:15" x14ac:dyDescent="0.25">
      <c r="A19" s="11">
        <v>315723112109</v>
      </c>
      <c r="B19" s="12">
        <v>15</v>
      </c>
      <c r="C19" s="11" t="s">
        <v>2448</v>
      </c>
      <c r="D19" s="12">
        <v>600</v>
      </c>
      <c r="E19" s="12">
        <v>1710</v>
      </c>
      <c r="F19" s="12">
        <v>855</v>
      </c>
      <c r="G19" s="12">
        <v>1360</v>
      </c>
      <c r="H19" s="12">
        <v>510</v>
      </c>
      <c r="I19" s="12" t="s">
        <v>3173</v>
      </c>
      <c r="J19" s="12" t="s">
        <v>2485</v>
      </c>
      <c r="K19" s="12" t="s">
        <v>3174</v>
      </c>
      <c r="L19" s="20">
        <v>1</v>
      </c>
      <c r="M19" s="20">
        <v>6</v>
      </c>
      <c r="N19">
        <v>1</v>
      </c>
      <c r="O19">
        <v>4</v>
      </c>
    </row>
    <row r="20" spans="1:15" x14ac:dyDescent="0.25">
      <c r="A20" s="11">
        <v>315723112208</v>
      </c>
      <c r="B20" s="12">
        <v>15</v>
      </c>
      <c r="C20" s="11" t="s">
        <v>2406</v>
      </c>
      <c r="D20" s="12">
        <v>600</v>
      </c>
      <c r="E20" s="12">
        <v>1710</v>
      </c>
      <c r="F20" s="12">
        <v>855</v>
      </c>
      <c r="G20" s="12">
        <v>1360</v>
      </c>
      <c r="H20" s="12">
        <v>510</v>
      </c>
      <c r="I20" s="12" t="s">
        <v>3173</v>
      </c>
      <c r="J20" s="12" t="s">
        <v>2485</v>
      </c>
      <c r="K20" s="12" t="s">
        <v>3174</v>
      </c>
      <c r="L20" s="20">
        <v>1</v>
      </c>
      <c r="M20" s="20">
        <v>6</v>
      </c>
      <c r="N20">
        <v>1</v>
      </c>
      <c r="O20">
        <v>4</v>
      </c>
    </row>
    <row r="21" spans="1:15" x14ac:dyDescent="0.25">
      <c r="A21">
        <v>315724110108</v>
      </c>
      <c r="B21">
        <v>3</v>
      </c>
      <c r="C21" t="s">
        <v>2397</v>
      </c>
      <c r="D21">
        <v>600</v>
      </c>
      <c r="E21">
        <v>1260</v>
      </c>
      <c r="F21">
        <v>630</v>
      </c>
      <c r="G21">
        <v>1580</v>
      </c>
      <c r="H21">
        <v>430</v>
      </c>
      <c r="I21" t="s">
        <v>2795</v>
      </c>
      <c r="J21" t="s">
        <v>3175</v>
      </c>
      <c r="K21" s="20" t="s">
        <v>3176</v>
      </c>
      <c r="L21" s="20">
        <v>2</v>
      </c>
      <c r="M21" s="20">
        <v>6</v>
      </c>
      <c r="N21">
        <v>1</v>
      </c>
      <c r="O21">
        <v>4</v>
      </c>
    </row>
    <row r="22" spans="1:15" x14ac:dyDescent="0.25">
      <c r="A22">
        <v>315724110207</v>
      </c>
      <c r="B22">
        <v>3</v>
      </c>
      <c r="C22" t="s">
        <v>2400</v>
      </c>
      <c r="D22">
        <v>600</v>
      </c>
      <c r="E22">
        <v>1260</v>
      </c>
      <c r="F22">
        <v>630</v>
      </c>
      <c r="G22">
        <v>1580</v>
      </c>
      <c r="H22">
        <v>430</v>
      </c>
      <c r="I22" t="s">
        <v>2795</v>
      </c>
      <c r="J22" t="s">
        <v>3175</v>
      </c>
      <c r="K22" s="20" t="s">
        <v>3176</v>
      </c>
      <c r="L22" s="20">
        <v>2</v>
      </c>
      <c r="M22" s="20">
        <v>6</v>
      </c>
      <c r="N22">
        <v>1</v>
      </c>
      <c r="O22">
        <v>4</v>
      </c>
    </row>
    <row r="23" spans="1:15" x14ac:dyDescent="0.25">
      <c r="A23">
        <v>315724110306</v>
      </c>
      <c r="B23" t="s">
        <v>3170</v>
      </c>
      <c r="C23" t="s">
        <v>2397</v>
      </c>
      <c r="D23">
        <v>600</v>
      </c>
      <c r="E23">
        <v>1260</v>
      </c>
      <c r="F23">
        <v>630</v>
      </c>
      <c r="G23">
        <v>1580</v>
      </c>
      <c r="H23">
        <v>430</v>
      </c>
      <c r="I23" t="s">
        <v>2795</v>
      </c>
      <c r="J23" t="s">
        <v>3175</v>
      </c>
      <c r="K23" s="20" t="s">
        <v>3176</v>
      </c>
      <c r="L23" s="20">
        <v>2</v>
      </c>
      <c r="M23" s="20">
        <v>6</v>
      </c>
      <c r="N23">
        <v>1</v>
      </c>
      <c r="O23">
        <v>4</v>
      </c>
    </row>
    <row r="24" spans="1:15" x14ac:dyDescent="0.25">
      <c r="A24">
        <v>315724110405</v>
      </c>
      <c r="B24" t="s">
        <v>3170</v>
      </c>
      <c r="C24" t="s">
        <v>2400</v>
      </c>
      <c r="D24">
        <v>600</v>
      </c>
      <c r="E24">
        <v>1260</v>
      </c>
      <c r="F24">
        <v>630</v>
      </c>
      <c r="G24">
        <v>1580</v>
      </c>
      <c r="H24">
        <v>430</v>
      </c>
      <c r="I24" t="s">
        <v>2795</v>
      </c>
      <c r="J24" t="s">
        <v>3175</v>
      </c>
      <c r="K24" s="20" t="s">
        <v>3176</v>
      </c>
      <c r="L24" s="20">
        <v>2</v>
      </c>
      <c r="M24" s="20">
        <v>6</v>
      </c>
      <c r="N24">
        <v>1</v>
      </c>
      <c r="O24">
        <v>4</v>
      </c>
    </row>
    <row r="25" spans="1:15" x14ac:dyDescent="0.25">
      <c r="A25">
        <v>315724110504</v>
      </c>
      <c r="B25">
        <v>6</v>
      </c>
      <c r="C25" t="s">
        <v>2397</v>
      </c>
      <c r="D25">
        <v>600</v>
      </c>
      <c r="E25">
        <v>1460</v>
      </c>
      <c r="F25">
        <v>730</v>
      </c>
      <c r="G25">
        <v>1580</v>
      </c>
      <c r="H25">
        <v>430</v>
      </c>
      <c r="I25" t="s">
        <v>3177</v>
      </c>
      <c r="J25" t="s">
        <v>3178</v>
      </c>
      <c r="K25" s="20" t="s">
        <v>2531</v>
      </c>
      <c r="L25" s="20">
        <v>2</v>
      </c>
      <c r="M25" s="20">
        <v>6</v>
      </c>
      <c r="N25">
        <v>1</v>
      </c>
      <c r="O25">
        <v>4</v>
      </c>
    </row>
    <row r="26" spans="1:15" x14ac:dyDescent="0.25">
      <c r="A26">
        <v>315724110603</v>
      </c>
      <c r="B26">
        <v>6</v>
      </c>
      <c r="C26" t="s">
        <v>2400</v>
      </c>
      <c r="D26">
        <v>600</v>
      </c>
      <c r="E26">
        <v>1460</v>
      </c>
      <c r="F26">
        <v>730</v>
      </c>
      <c r="G26">
        <v>1580</v>
      </c>
      <c r="H26">
        <v>430</v>
      </c>
      <c r="I26" t="s">
        <v>3177</v>
      </c>
      <c r="J26" t="s">
        <v>3178</v>
      </c>
      <c r="K26" s="20" t="s">
        <v>2531</v>
      </c>
      <c r="L26" s="20">
        <v>2</v>
      </c>
      <c r="M26" s="20">
        <v>6</v>
      </c>
      <c r="N26">
        <v>1</v>
      </c>
      <c r="O26">
        <v>4</v>
      </c>
    </row>
    <row r="27" spans="1:15" x14ac:dyDescent="0.25">
      <c r="A27">
        <v>315724110702</v>
      </c>
      <c r="B27">
        <v>6</v>
      </c>
      <c r="C27" t="s">
        <v>2444</v>
      </c>
      <c r="D27">
        <v>600</v>
      </c>
      <c r="E27">
        <v>1460</v>
      </c>
      <c r="F27">
        <v>730</v>
      </c>
      <c r="G27">
        <v>1580</v>
      </c>
      <c r="H27">
        <v>430</v>
      </c>
      <c r="I27" t="s">
        <v>3177</v>
      </c>
      <c r="J27" t="s">
        <v>3178</v>
      </c>
      <c r="K27" s="20" t="s">
        <v>2531</v>
      </c>
      <c r="L27" s="20">
        <v>2</v>
      </c>
      <c r="M27" s="20">
        <v>6</v>
      </c>
      <c r="N27">
        <v>1</v>
      </c>
      <c r="O27">
        <v>4</v>
      </c>
    </row>
    <row r="28" spans="1:15" x14ac:dyDescent="0.25">
      <c r="A28">
        <v>315724110900</v>
      </c>
      <c r="B28">
        <v>9</v>
      </c>
      <c r="C28" t="s">
        <v>2400</v>
      </c>
      <c r="D28">
        <v>600</v>
      </c>
      <c r="E28">
        <v>1460</v>
      </c>
      <c r="F28">
        <v>730</v>
      </c>
      <c r="G28">
        <v>1660</v>
      </c>
      <c r="H28">
        <v>510</v>
      </c>
      <c r="I28" t="s">
        <v>2424</v>
      </c>
      <c r="J28" t="s">
        <v>3179</v>
      </c>
      <c r="K28" s="20" t="s">
        <v>3180</v>
      </c>
      <c r="L28" s="20">
        <v>2</v>
      </c>
      <c r="M28" s="20">
        <v>6</v>
      </c>
      <c r="N28">
        <v>1</v>
      </c>
      <c r="O28">
        <v>4</v>
      </c>
    </row>
    <row r="29" spans="1:15" x14ac:dyDescent="0.25">
      <c r="A29">
        <v>315724111106</v>
      </c>
      <c r="B29">
        <v>9</v>
      </c>
      <c r="C29" t="s">
        <v>2444</v>
      </c>
      <c r="D29">
        <v>600</v>
      </c>
      <c r="E29">
        <v>1460</v>
      </c>
      <c r="F29">
        <v>730</v>
      </c>
      <c r="G29">
        <v>1660</v>
      </c>
      <c r="H29">
        <v>510</v>
      </c>
      <c r="I29" t="s">
        <v>2424</v>
      </c>
      <c r="J29" t="s">
        <v>3179</v>
      </c>
      <c r="K29" s="20" t="s">
        <v>3180</v>
      </c>
      <c r="L29" s="20">
        <v>2</v>
      </c>
      <c r="M29" s="20">
        <v>6</v>
      </c>
      <c r="N29">
        <v>1</v>
      </c>
      <c r="O29">
        <v>4</v>
      </c>
    </row>
    <row r="30" spans="1:15" x14ac:dyDescent="0.25">
      <c r="A30">
        <v>315724111205</v>
      </c>
      <c r="B30">
        <v>9</v>
      </c>
      <c r="C30" t="s">
        <v>2448</v>
      </c>
      <c r="D30">
        <v>600</v>
      </c>
      <c r="E30">
        <v>1460</v>
      </c>
      <c r="F30">
        <v>730</v>
      </c>
      <c r="G30">
        <v>1660</v>
      </c>
      <c r="H30">
        <v>510</v>
      </c>
      <c r="I30" t="s">
        <v>2424</v>
      </c>
      <c r="J30" t="s">
        <v>3179</v>
      </c>
      <c r="K30" s="20" t="s">
        <v>3180</v>
      </c>
      <c r="L30" s="20">
        <v>2</v>
      </c>
      <c r="M30" s="20">
        <v>6</v>
      </c>
      <c r="N30">
        <v>1</v>
      </c>
      <c r="O30">
        <v>4</v>
      </c>
    </row>
    <row r="31" spans="1:15" x14ac:dyDescent="0.25">
      <c r="A31">
        <v>315724111304</v>
      </c>
      <c r="B31">
        <v>9</v>
      </c>
      <c r="C31" t="s">
        <v>2406</v>
      </c>
      <c r="D31">
        <v>600</v>
      </c>
      <c r="E31">
        <v>1460</v>
      </c>
      <c r="F31">
        <v>730</v>
      </c>
      <c r="G31">
        <v>1660</v>
      </c>
      <c r="H31">
        <v>510</v>
      </c>
      <c r="I31" t="s">
        <v>2424</v>
      </c>
      <c r="J31" t="s">
        <v>3179</v>
      </c>
      <c r="K31" s="20" t="s">
        <v>3180</v>
      </c>
      <c r="L31" s="20">
        <v>2</v>
      </c>
      <c r="M31" s="20">
        <v>6</v>
      </c>
      <c r="N31">
        <v>1</v>
      </c>
      <c r="O31">
        <v>4</v>
      </c>
    </row>
    <row r="32" spans="1:15" x14ac:dyDescent="0.25">
      <c r="A32">
        <v>315724111403</v>
      </c>
      <c r="B32">
        <v>12</v>
      </c>
      <c r="C32" t="s">
        <v>2400</v>
      </c>
      <c r="D32">
        <v>600</v>
      </c>
      <c r="E32">
        <v>1710</v>
      </c>
      <c r="F32">
        <v>855</v>
      </c>
      <c r="G32">
        <v>1660</v>
      </c>
      <c r="H32">
        <v>510</v>
      </c>
      <c r="I32" t="s">
        <v>2654</v>
      </c>
      <c r="J32" t="s">
        <v>3181</v>
      </c>
      <c r="K32" s="20" t="s">
        <v>3182</v>
      </c>
      <c r="L32" s="20">
        <v>2</v>
      </c>
      <c r="M32" s="20">
        <v>6</v>
      </c>
      <c r="N32">
        <v>1</v>
      </c>
      <c r="O32">
        <v>4</v>
      </c>
    </row>
    <row r="33" spans="1:15" x14ac:dyDescent="0.25">
      <c r="A33">
        <v>315724111502</v>
      </c>
      <c r="B33">
        <v>12</v>
      </c>
      <c r="C33" t="s">
        <v>2444</v>
      </c>
      <c r="D33">
        <v>600</v>
      </c>
      <c r="E33">
        <v>1710</v>
      </c>
      <c r="F33">
        <v>855</v>
      </c>
      <c r="G33">
        <v>1660</v>
      </c>
      <c r="H33">
        <v>510</v>
      </c>
      <c r="I33" t="s">
        <v>2654</v>
      </c>
      <c r="J33" t="s">
        <v>3181</v>
      </c>
      <c r="K33" s="20" t="s">
        <v>3182</v>
      </c>
      <c r="L33" s="20">
        <v>2</v>
      </c>
      <c r="M33" s="20">
        <v>6</v>
      </c>
      <c r="N33">
        <v>1</v>
      </c>
      <c r="O33">
        <v>4</v>
      </c>
    </row>
    <row r="34" spans="1:15" x14ac:dyDescent="0.25">
      <c r="A34">
        <v>315724111601</v>
      </c>
      <c r="B34">
        <v>12</v>
      </c>
      <c r="C34" t="s">
        <v>2448</v>
      </c>
      <c r="D34">
        <v>600</v>
      </c>
      <c r="E34">
        <v>1710</v>
      </c>
      <c r="F34">
        <v>855</v>
      </c>
      <c r="G34">
        <v>1660</v>
      </c>
      <c r="H34">
        <v>510</v>
      </c>
      <c r="I34" t="s">
        <v>2654</v>
      </c>
      <c r="J34" t="s">
        <v>3181</v>
      </c>
      <c r="K34" s="20" t="s">
        <v>3182</v>
      </c>
      <c r="L34" s="20">
        <v>2</v>
      </c>
      <c r="M34" s="20">
        <v>6</v>
      </c>
      <c r="N34">
        <v>1</v>
      </c>
      <c r="O34">
        <v>4</v>
      </c>
    </row>
    <row r="35" spans="1:15" x14ac:dyDescent="0.25">
      <c r="A35">
        <v>315724111700</v>
      </c>
      <c r="B35">
        <v>12</v>
      </c>
      <c r="C35" t="s">
        <v>2406</v>
      </c>
      <c r="D35">
        <v>600</v>
      </c>
      <c r="E35">
        <v>1710</v>
      </c>
      <c r="F35">
        <v>855</v>
      </c>
      <c r="G35">
        <v>1660</v>
      </c>
      <c r="H35">
        <v>510</v>
      </c>
      <c r="I35" t="s">
        <v>2654</v>
      </c>
      <c r="J35" t="s">
        <v>3181</v>
      </c>
      <c r="K35" s="20" t="s">
        <v>3182</v>
      </c>
      <c r="L35" s="20">
        <v>2</v>
      </c>
      <c r="M35" s="20">
        <v>6</v>
      </c>
      <c r="N35">
        <v>1</v>
      </c>
      <c r="O35">
        <v>4</v>
      </c>
    </row>
    <row r="36" spans="1:15" x14ac:dyDescent="0.25">
      <c r="A36">
        <v>315724111810</v>
      </c>
      <c r="B36">
        <v>15</v>
      </c>
      <c r="C36" t="s">
        <v>2400</v>
      </c>
      <c r="D36">
        <v>600</v>
      </c>
      <c r="E36">
        <v>1710</v>
      </c>
      <c r="F36">
        <v>855</v>
      </c>
      <c r="G36">
        <v>1740</v>
      </c>
      <c r="H36">
        <v>590</v>
      </c>
      <c r="I36" t="s">
        <v>3183</v>
      </c>
      <c r="J36" t="s">
        <v>3184</v>
      </c>
      <c r="K36" s="20" t="s">
        <v>3185</v>
      </c>
      <c r="L36" s="20">
        <v>2</v>
      </c>
      <c r="M36" s="20">
        <v>6</v>
      </c>
      <c r="N36">
        <v>1</v>
      </c>
      <c r="O36">
        <v>4</v>
      </c>
    </row>
    <row r="37" spans="1:15" x14ac:dyDescent="0.25">
      <c r="A37">
        <v>315724111909</v>
      </c>
      <c r="B37">
        <v>15</v>
      </c>
      <c r="C37" t="s">
        <v>2444</v>
      </c>
      <c r="D37">
        <v>600</v>
      </c>
      <c r="E37">
        <v>1710</v>
      </c>
      <c r="F37">
        <v>855</v>
      </c>
      <c r="G37">
        <v>1740</v>
      </c>
      <c r="H37">
        <v>590</v>
      </c>
      <c r="I37" t="s">
        <v>3183</v>
      </c>
      <c r="J37" t="s">
        <v>3184</v>
      </c>
      <c r="K37" t="s">
        <v>3185</v>
      </c>
      <c r="L37" s="20">
        <v>2</v>
      </c>
      <c r="M37" s="20">
        <v>6</v>
      </c>
      <c r="N37">
        <v>1</v>
      </c>
      <c r="O37">
        <v>4</v>
      </c>
    </row>
    <row r="38" spans="1:15" x14ac:dyDescent="0.25">
      <c r="A38">
        <v>315724112104</v>
      </c>
      <c r="B38">
        <v>15</v>
      </c>
      <c r="C38" t="s">
        <v>2448</v>
      </c>
      <c r="D38">
        <v>600</v>
      </c>
      <c r="E38">
        <v>1710</v>
      </c>
      <c r="F38">
        <v>855</v>
      </c>
      <c r="G38">
        <v>1740</v>
      </c>
      <c r="H38">
        <v>590</v>
      </c>
      <c r="I38" t="s">
        <v>3183</v>
      </c>
      <c r="J38" t="s">
        <v>3184</v>
      </c>
      <c r="K38" t="s">
        <v>3185</v>
      </c>
      <c r="L38" s="20">
        <v>2</v>
      </c>
      <c r="M38" s="20">
        <v>6</v>
      </c>
      <c r="N38">
        <v>1</v>
      </c>
      <c r="O38">
        <v>4</v>
      </c>
    </row>
    <row r="39" spans="1:15" x14ac:dyDescent="0.25">
      <c r="A39">
        <v>315724112203</v>
      </c>
      <c r="B39">
        <v>15</v>
      </c>
      <c r="C39" t="s">
        <v>2406</v>
      </c>
      <c r="D39">
        <v>600</v>
      </c>
      <c r="E39">
        <v>1710</v>
      </c>
      <c r="F39">
        <v>855</v>
      </c>
      <c r="G39">
        <v>1740</v>
      </c>
      <c r="H39">
        <v>590</v>
      </c>
      <c r="I39" t="s">
        <v>3183</v>
      </c>
      <c r="J39" t="s">
        <v>3184</v>
      </c>
      <c r="K39" t="s">
        <v>3185</v>
      </c>
      <c r="L39" s="20">
        <v>2</v>
      </c>
      <c r="M39" s="20">
        <v>6</v>
      </c>
      <c r="N39">
        <v>1</v>
      </c>
      <c r="O39">
        <v>4</v>
      </c>
    </row>
    <row r="40" spans="1:15" x14ac:dyDescent="0.25">
      <c r="A40">
        <v>315725110103</v>
      </c>
      <c r="B40">
        <v>3</v>
      </c>
      <c r="C40" t="s">
        <v>2397</v>
      </c>
      <c r="D40">
        <v>600</v>
      </c>
      <c r="E40">
        <v>1260</v>
      </c>
      <c r="F40">
        <v>630</v>
      </c>
      <c r="G40">
        <v>1810</v>
      </c>
      <c r="H40">
        <v>500</v>
      </c>
      <c r="I40" t="s">
        <v>3186</v>
      </c>
      <c r="J40" t="s">
        <v>2806</v>
      </c>
      <c r="K40" t="s">
        <v>2535</v>
      </c>
      <c r="L40" s="20" t="s">
        <v>2481</v>
      </c>
      <c r="M40" s="20">
        <v>6</v>
      </c>
      <c r="N40">
        <v>1</v>
      </c>
      <c r="O40">
        <v>4</v>
      </c>
    </row>
    <row r="41" spans="1:15" x14ac:dyDescent="0.25">
      <c r="A41">
        <v>315725110202</v>
      </c>
      <c r="B41">
        <v>3</v>
      </c>
      <c r="C41" t="s">
        <v>2400</v>
      </c>
      <c r="D41">
        <v>600</v>
      </c>
      <c r="E41">
        <v>1260</v>
      </c>
      <c r="F41">
        <v>630</v>
      </c>
      <c r="G41">
        <v>1810</v>
      </c>
      <c r="H41">
        <v>500</v>
      </c>
      <c r="I41" t="s">
        <v>3186</v>
      </c>
      <c r="J41" t="s">
        <v>2806</v>
      </c>
      <c r="K41" t="s">
        <v>2535</v>
      </c>
      <c r="L41" s="20" t="s">
        <v>2481</v>
      </c>
      <c r="M41" s="20">
        <v>6</v>
      </c>
      <c r="N41">
        <v>1</v>
      </c>
      <c r="O41">
        <v>4</v>
      </c>
    </row>
    <row r="42" spans="1:15" x14ac:dyDescent="0.25">
      <c r="A42">
        <v>315725110301</v>
      </c>
      <c r="B42" t="s">
        <v>3170</v>
      </c>
      <c r="C42" t="s">
        <v>2397</v>
      </c>
      <c r="D42">
        <v>600</v>
      </c>
      <c r="E42">
        <v>1260</v>
      </c>
      <c r="F42">
        <v>630</v>
      </c>
      <c r="G42">
        <v>1810</v>
      </c>
      <c r="H42">
        <v>500</v>
      </c>
      <c r="I42" t="s">
        <v>3186</v>
      </c>
      <c r="J42" t="s">
        <v>2806</v>
      </c>
      <c r="K42" t="s">
        <v>2535</v>
      </c>
      <c r="L42" s="20" t="s">
        <v>2481</v>
      </c>
      <c r="M42" s="20">
        <v>6</v>
      </c>
      <c r="N42">
        <v>1</v>
      </c>
      <c r="O42">
        <v>4</v>
      </c>
    </row>
    <row r="43" spans="1:15" x14ac:dyDescent="0.25">
      <c r="A43">
        <v>315725110400</v>
      </c>
      <c r="B43" t="s">
        <v>3170</v>
      </c>
      <c r="C43" t="s">
        <v>2400</v>
      </c>
      <c r="D43">
        <v>600</v>
      </c>
      <c r="E43">
        <v>1260</v>
      </c>
      <c r="F43">
        <v>630</v>
      </c>
      <c r="G43">
        <v>1810</v>
      </c>
      <c r="H43">
        <v>500</v>
      </c>
      <c r="I43" t="s">
        <v>3186</v>
      </c>
      <c r="J43" t="s">
        <v>2806</v>
      </c>
      <c r="K43" t="s">
        <v>2535</v>
      </c>
      <c r="L43" s="20" t="s">
        <v>2481</v>
      </c>
      <c r="M43" s="20">
        <v>6</v>
      </c>
      <c r="N43">
        <v>1</v>
      </c>
      <c r="O43">
        <v>4</v>
      </c>
    </row>
    <row r="44" spans="1:15" x14ac:dyDescent="0.25">
      <c r="A44">
        <v>315725110510</v>
      </c>
      <c r="B44">
        <v>6</v>
      </c>
      <c r="C44" t="s">
        <v>2397</v>
      </c>
      <c r="D44">
        <v>600</v>
      </c>
      <c r="E44">
        <v>1460</v>
      </c>
      <c r="F44">
        <v>730</v>
      </c>
      <c r="G44">
        <v>1810</v>
      </c>
      <c r="H44">
        <v>500</v>
      </c>
      <c r="I44" t="s">
        <v>2812</v>
      </c>
      <c r="J44" t="s">
        <v>3187</v>
      </c>
      <c r="K44" t="s">
        <v>3188</v>
      </c>
      <c r="L44" s="20" t="s">
        <v>2481</v>
      </c>
      <c r="M44" s="20">
        <v>6</v>
      </c>
      <c r="N44">
        <v>1</v>
      </c>
      <c r="O44">
        <v>4</v>
      </c>
    </row>
    <row r="45" spans="1:15" x14ac:dyDescent="0.25">
      <c r="A45">
        <v>315725110609</v>
      </c>
      <c r="B45">
        <v>6</v>
      </c>
      <c r="C45" t="s">
        <v>2400</v>
      </c>
      <c r="D45">
        <v>600</v>
      </c>
      <c r="E45">
        <v>1460</v>
      </c>
      <c r="F45">
        <v>730</v>
      </c>
      <c r="G45">
        <v>1810</v>
      </c>
      <c r="H45">
        <v>500</v>
      </c>
      <c r="I45" t="s">
        <v>2812</v>
      </c>
      <c r="J45" t="s">
        <v>3187</v>
      </c>
      <c r="K45" t="s">
        <v>3188</v>
      </c>
      <c r="L45" s="20" t="s">
        <v>2481</v>
      </c>
      <c r="M45" s="20">
        <v>6</v>
      </c>
      <c r="N45">
        <v>1</v>
      </c>
      <c r="O45">
        <v>4</v>
      </c>
    </row>
    <row r="46" spans="1:15" x14ac:dyDescent="0.25">
      <c r="A46">
        <v>315725110708</v>
      </c>
      <c r="B46">
        <v>6</v>
      </c>
      <c r="C46" t="s">
        <v>2444</v>
      </c>
      <c r="D46">
        <v>600</v>
      </c>
      <c r="E46">
        <v>1460</v>
      </c>
      <c r="F46">
        <v>730</v>
      </c>
      <c r="G46">
        <v>1810</v>
      </c>
      <c r="H46">
        <v>500</v>
      </c>
      <c r="I46" t="s">
        <v>2812</v>
      </c>
      <c r="J46" t="s">
        <v>3187</v>
      </c>
      <c r="K46" t="s">
        <v>3188</v>
      </c>
      <c r="L46" s="20" t="s">
        <v>2481</v>
      </c>
      <c r="M46" s="20">
        <v>6</v>
      </c>
      <c r="N46">
        <v>1</v>
      </c>
      <c r="O46">
        <v>4</v>
      </c>
    </row>
    <row r="47" spans="1:15" x14ac:dyDescent="0.25">
      <c r="A47">
        <v>315725110906</v>
      </c>
      <c r="B47">
        <v>9</v>
      </c>
      <c r="C47" t="s">
        <v>2400</v>
      </c>
      <c r="D47">
        <v>600</v>
      </c>
      <c r="E47">
        <v>1460</v>
      </c>
      <c r="F47">
        <v>730</v>
      </c>
      <c r="G47">
        <v>1890</v>
      </c>
      <c r="H47">
        <v>580</v>
      </c>
      <c r="I47" t="s">
        <v>2713</v>
      </c>
      <c r="J47" t="s">
        <v>2615</v>
      </c>
      <c r="K47" t="s">
        <v>3189</v>
      </c>
      <c r="L47" s="20" t="s">
        <v>2481</v>
      </c>
      <c r="M47" s="20">
        <v>6</v>
      </c>
      <c r="N47">
        <v>1</v>
      </c>
      <c r="O47">
        <v>4</v>
      </c>
    </row>
    <row r="48" spans="1:15" x14ac:dyDescent="0.25">
      <c r="A48">
        <v>315725111101</v>
      </c>
      <c r="B48">
        <v>9</v>
      </c>
      <c r="C48" t="s">
        <v>2444</v>
      </c>
      <c r="D48">
        <v>600</v>
      </c>
      <c r="E48">
        <v>1460</v>
      </c>
      <c r="F48">
        <v>730</v>
      </c>
      <c r="G48">
        <v>1890</v>
      </c>
      <c r="H48">
        <v>580</v>
      </c>
      <c r="I48" t="s">
        <v>2713</v>
      </c>
      <c r="J48" t="s">
        <v>2615</v>
      </c>
      <c r="K48" t="s">
        <v>3189</v>
      </c>
      <c r="L48" s="20" t="s">
        <v>2481</v>
      </c>
      <c r="M48" s="20">
        <v>6</v>
      </c>
      <c r="N48">
        <v>1</v>
      </c>
      <c r="O48">
        <v>4</v>
      </c>
    </row>
    <row r="49" spans="1:15" x14ac:dyDescent="0.25">
      <c r="A49">
        <v>315725111200</v>
      </c>
      <c r="B49">
        <v>9</v>
      </c>
      <c r="C49" t="s">
        <v>2448</v>
      </c>
      <c r="D49">
        <v>600</v>
      </c>
      <c r="E49">
        <v>1460</v>
      </c>
      <c r="F49">
        <v>730</v>
      </c>
      <c r="G49">
        <v>1890</v>
      </c>
      <c r="H49">
        <v>580</v>
      </c>
      <c r="I49" t="s">
        <v>2713</v>
      </c>
      <c r="J49" t="s">
        <v>2615</v>
      </c>
      <c r="K49" t="s">
        <v>3189</v>
      </c>
      <c r="L49" s="20" t="s">
        <v>2481</v>
      </c>
      <c r="M49" s="20">
        <v>6</v>
      </c>
      <c r="N49">
        <v>1</v>
      </c>
      <c r="O49">
        <v>4</v>
      </c>
    </row>
    <row r="50" spans="1:15" x14ac:dyDescent="0.25">
      <c r="A50">
        <v>315725111310</v>
      </c>
      <c r="B50">
        <v>9</v>
      </c>
      <c r="C50" t="s">
        <v>2406</v>
      </c>
      <c r="D50">
        <v>600</v>
      </c>
      <c r="E50">
        <v>1460</v>
      </c>
      <c r="F50">
        <v>730</v>
      </c>
      <c r="G50">
        <v>1890</v>
      </c>
      <c r="H50">
        <v>580</v>
      </c>
      <c r="I50" t="s">
        <v>2713</v>
      </c>
      <c r="J50" t="s">
        <v>2615</v>
      </c>
      <c r="K50" t="s">
        <v>3189</v>
      </c>
      <c r="L50" s="20" t="s">
        <v>2481</v>
      </c>
      <c r="M50" s="20">
        <v>6</v>
      </c>
      <c r="N50">
        <v>1</v>
      </c>
      <c r="O50">
        <v>4</v>
      </c>
    </row>
    <row r="51" spans="1:15" x14ac:dyDescent="0.25">
      <c r="A51">
        <v>315725111409</v>
      </c>
      <c r="B51">
        <v>12</v>
      </c>
      <c r="C51" t="s">
        <v>2400</v>
      </c>
      <c r="D51">
        <v>600</v>
      </c>
      <c r="E51">
        <v>1710</v>
      </c>
      <c r="F51">
        <v>855</v>
      </c>
      <c r="G51">
        <v>2010</v>
      </c>
      <c r="H51">
        <v>700</v>
      </c>
      <c r="I51">
        <v>22</v>
      </c>
      <c r="J51">
        <v>11</v>
      </c>
      <c r="K51" t="s">
        <v>3190</v>
      </c>
      <c r="L51" s="20" t="s">
        <v>2481</v>
      </c>
      <c r="M51" s="20">
        <v>6</v>
      </c>
      <c r="N51">
        <v>1</v>
      </c>
      <c r="O51">
        <v>4</v>
      </c>
    </row>
    <row r="52" spans="1:15" x14ac:dyDescent="0.25">
      <c r="A52">
        <v>315725111508</v>
      </c>
      <c r="B52">
        <v>12</v>
      </c>
      <c r="C52" t="s">
        <v>2444</v>
      </c>
      <c r="D52">
        <v>600</v>
      </c>
      <c r="E52">
        <v>1710</v>
      </c>
      <c r="F52">
        <v>855</v>
      </c>
      <c r="G52">
        <v>2010</v>
      </c>
      <c r="H52">
        <v>700</v>
      </c>
      <c r="I52">
        <v>22</v>
      </c>
      <c r="J52">
        <v>11</v>
      </c>
      <c r="K52" t="s">
        <v>3190</v>
      </c>
      <c r="L52" s="20" t="s">
        <v>2481</v>
      </c>
      <c r="M52" s="20">
        <v>6</v>
      </c>
      <c r="N52">
        <v>1</v>
      </c>
      <c r="O52">
        <v>4</v>
      </c>
    </row>
    <row r="53" spans="1:15" x14ac:dyDescent="0.25">
      <c r="A53">
        <v>315725111607</v>
      </c>
      <c r="B53">
        <v>12</v>
      </c>
      <c r="C53" t="s">
        <v>2448</v>
      </c>
      <c r="D53">
        <v>600</v>
      </c>
      <c r="E53">
        <v>1710</v>
      </c>
      <c r="F53">
        <v>855</v>
      </c>
      <c r="G53">
        <v>2010</v>
      </c>
      <c r="H53">
        <v>700</v>
      </c>
      <c r="I53">
        <v>22</v>
      </c>
      <c r="J53">
        <v>11</v>
      </c>
      <c r="K53" t="s">
        <v>3190</v>
      </c>
      <c r="L53" s="20" t="s">
        <v>2481</v>
      </c>
      <c r="M53" s="20">
        <v>6</v>
      </c>
      <c r="N53">
        <v>1</v>
      </c>
      <c r="O53">
        <v>4</v>
      </c>
    </row>
    <row r="54" spans="1:15" x14ac:dyDescent="0.25">
      <c r="A54">
        <v>315725111706</v>
      </c>
      <c r="B54">
        <v>12</v>
      </c>
      <c r="C54" t="s">
        <v>2406</v>
      </c>
      <c r="D54">
        <v>600</v>
      </c>
      <c r="E54">
        <v>1710</v>
      </c>
      <c r="F54">
        <v>855</v>
      </c>
      <c r="G54">
        <v>2010</v>
      </c>
      <c r="H54">
        <v>700</v>
      </c>
      <c r="I54">
        <v>22</v>
      </c>
      <c r="J54">
        <v>11</v>
      </c>
      <c r="K54" t="s">
        <v>3190</v>
      </c>
      <c r="L54" s="20" t="s">
        <v>2481</v>
      </c>
      <c r="M54" s="20">
        <v>6</v>
      </c>
      <c r="N54">
        <v>1</v>
      </c>
      <c r="O54">
        <v>4</v>
      </c>
    </row>
    <row r="55" spans="1:15" x14ac:dyDescent="0.25">
      <c r="A55">
        <v>315725111805</v>
      </c>
      <c r="B55">
        <v>15</v>
      </c>
      <c r="C55" t="s">
        <v>2400</v>
      </c>
      <c r="D55">
        <v>600</v>
      </c>
      <c r="E55">
        <v>1710</v>
      </c>
      <c r="F55">
        <v>855</v>
      </c>
      <c r="G55">
        <v>2010</v>
      </c>
      <c r="H55">
        <v>700</v>
      </c>
      <c r="I55" t="s">
        <v>3191</v>
      </c>
      <c r="J55" t="s">
        <v>3192</v>
      </c>
      <c r="K55" t="s">
        <v>3193</v>
      </c>
      <c r="L55" s="20" t="s">
        <v>2481</v>
      </c>
      <c r="M55" s="20">
        <v>6</v>
      </c>
      <c r="N55">
        <v>1</v>
      </c>
      <c r="O55">
        <v>4</v>
      </c>
    </row>
    <row r="56" spans="1:15" x14ac:dyDescent="0.25">
      <c r="A56">
        <v>315725111904</v>
      </c>
      <c r="B56">
        <v>15</v>
      </c>
      <c r="C56" t="s">
        <v>2444</v>
      </c>
      <c r="D56">
        <v>600</v>
      </c>
      <c r="E56">
        <v>1710</v>
      </c>
      <c r="F56">
        <v>855</v>
      </c>
      <c r="G56">
        <v>2010</v>
      </c>
      <c r="H56">
        <v>700</v>
      </c>
      <c r="I56" t="s">
        <v>3191</v>
      </c>
      <c r="J56" t="s">
        <v>3192</v>
      </c>
      <c r="K56" t="s">
        <v>3193</v>
      </c>
      <c r="L56" s="20" t="s">
        <v>2481</v>
      </c>
      <c r="M56" s="20">
        <v>6</v>
      </c>
      <c r="N56">
        <v>1</v>
      </c>
      <c r="O56">
        <v>4</v>
      </c>
    </row>
    <row r="57" spans="1:15" x14ac:dyDescent="0.25">
      <c r="A57">
        <v>315725112110</v>
      </c>
      <c r="B57">
        <v>15</v>
      </c>
      <c r="C57" t="s">
        <v>2448</v>
      </c>
      <c r="D57">
        <v>600</v>
      </c>
      <c r="E57">
        <v>1710</v>
      </c>
      <c r="F57">
        <v>855</v>
      </c>
      <c r="G57">
        <v>2010</v>
      </c>
      <c r="H57">
        <v>700</v>
      </c>
      <c r="I57" t="s">
        <v>3191</v>
      </c>
      <c r="J57" t="s">
        <v>3192</v>
      </c>
      <c r="K57" t="s">
        <v>3193</v>
      </c>
      <c r="L57" s="20" t="s">
        <v>2481</v>
      </c>
      <c r="M57" s="20">
        <v>6</v>
      </c>
      <c r="N57">
        <v>1</v>
      </c>
      <c r="O57">
        <v>4</v>
      </c>
    </row>
    <row r="58" spans="1:15" x14ac:dyDescent="0.25">
      <c r="A58">
        <v>315725112209</v>
      </c>
      <c r="B58">
        <v>15</v>
      </c>
      <c r="C58" t="s">
        <v>2406</v>
      </c>
      <c r="D58">
        <v>600</v>
      </c>
      <c r="E58">
        <v>1710</v>
      </c>
      <c r="F58">
        <v>855</v>
      </c>
      <c r="G58">
        <v>2010</v>
      </c>
      <c r="H58">
        <v>700</v>
      </c>
      <c r="I58" t="s">
        <v>3191</v>
      </c>
      <c r="J58" t="s">
        <v>3192</v>
      </c>
      <c r="K58" t="s">
        <v>3193</v>
      </c>
      <c r="L58" s="20" t="s">
        <v>2481</v>
      </c>
      <c r="M58" s="20">
        <v>6</v>
      </c>
      <c r="N58">
        <v>1</v>
      </c>
      <c r="O58">
        <v>4</v>
      </c>
    </row>
    <row r="59" spans="1:15" x14ac:dyDescent="0.25">
      <c r="A59">
        <v>315726110109</v>
      </c>
      <c r="B59">
        <v>3</v>
      </c>
      <c r="C59" t="s">
        <v>2397</v>
      </c>
      <c r="D59">
        <v>900</v>
      </c>
      <c r="E59">
        <v>1860</v>
      </c>
      <c r="F59">
        <v>930</v>
      </c>
      <c r="G59">
        <v>2040</v>
      </c>
      <c r="H59">
        <v>530</v>
      </c>
      <c r="I59" t="s">
        <v>3147</v>
      </c>
      <c r="J59" t="s">
        <v>3194</v>
      </c>
      <c r="K59" s="20" t="s">
        <v>3195</v>
      </c>
      <c r="L59" s="20">
        <v>5</v>
      </c>
      <c r="M59" s="20">
        <v>6</v>
      </c>
      <c r="N59">
        <v>1</v>
      </c>
      <c r="O59">
        <v>4</v>
      </c>
    </row>
    <row r="60" spans="1:15" x14ac:dyDescent="0.25">
      <c r="A60">
        <v>315726110208</v>
      </c>
      <c r="B60">
        <v>3</v>
      </c>
      <c r="C60" t="s">
        <v>2400</v>
      </c>
      <c r="D60">
        <v>900</v>
      </c>
      <c r="E60">
        <v>1860</v>
      </c>
      <c r="F60">
        <v>930</v>
      </c>
      <c r="G60">
        <v>2040</v>
      </c>
      <c r="H60">
        <v>530</v>
      </c>
      <c r="I60" t="s">
        <v>3147</v>
      </c>
      <c r="J60" t="s">
        <v>3194</v>
      </c>
      <c r="K60" s="20" t="s">
        <v>3195</v>
      </c>
      <c r="L60" s="20">
        <v>5</v>
      </c>
      <c r="M60" s="20">
        <v>6</v>
      </c>
      <c r="N60">
        <v>1</v>
      </c>
      <c r="O60">
        <v>4</v>
      </c>
    </row>
    <row r="61" spans="1:15" x14ac:dyDescent="0.25">
      <c r="A61">
        <v>315726110307</v>
      </c>
      <c r="B61" t="s">
        <v>3170</v>
      </c>
      <c r="C61" t="s">
        <v>2397</v>
      </c>
      <c r="D61">
        <v>900</v>
      </c>
      <c r="E61">
        <v>1860</v>
      </c>
      <c r="F61">
        <v>930</v>
      </c>
      <c r="G61">
        <v>2120</v>
      </c>
      <c r="H61">
        <v>600</v>
      </c>
      <c r="I61" t="s">
        <v>3147</v>
      </c>
      <c r="J61" t="s">
        <v>3194</v>
      </c>
      <c r="K61" s="20" t="s">
        <v>3195</v>
      </c>
      <c r="L61" s="20">
        <v>5</v>
      </c>
      <c r="M61" s="20">
        <v>6</v>
      </c>
      <c r="N61">
        <v>1</v>
      </c>
      <c r="O61">
        <v>4</v>
      </c>
    </row>
    <row r="62" spans="1:15" x14ac:dyDescent="0.25">
      <c r="A62">
        <v>315726110406</v>
      </c>
      <c r="B62" t="s">
        <v>3170</v>
      </c>
      <c r="C62" t="s">
        <v>2400</v>
      </c>
      <c r="D62">
        <v>900</v>
      </c>
      <c r="E62">
        <v>1860</v>
      </c>
      <c r="F62">
        <v>930</v>
      </c>
      <c r="G62">
        <v>2120</v>
      </c>
      <c r="H62">
        <v>600</v>
      </c>
      <c r="I62" t="s">
        <v>3147</v>
      </c>
      <c r="J62" t="s">
        <v>3194</v>
      </c>
      <c r="K62" s="20" t="s">
        <v>3195</v>
      </c>
      <c r="L62" s="20">
        <v>5</v>
      </c>
      <c r="M62" s="20">
        <v>6</v>
      </c>
      <c r="N62">
        <v>1</v>
      </c>
      <c r="O62">
        <v>4</v>
      </c>
    </row>
    <row r="63" spans="1:15" x14ac:dyDescent="0.25">
      <c r="A63">
        <v>315726110505</v>
      </c>
      <c r="B63">
        <v>6</v>
      </c>
      <c r="C63" t="s">
        <v>2397</v>
      </c>
      <c r="D63">
        <v>900</v>
      </c>
      <c r="E63">
        <v>2100</v>
      </c>
      <c r="F63">
        <v>1050</v>
      </c>
      <c r="G63">
        <v>2120</v>
      </c>
      <c r="H63">
        <v>600</v>
      </c>
      <c r="I63" t="s">
        <v>2794</v>
      </c>
      <c r="J63" t="s">
        <v>2467</v>
      </c>
      <c r="K63" s="20" t="s">
        <v>2561</v>
      </c>
      <c r="L63" s="20">
        <v>5</v>
      </c>
      <c r="M63" s="20">
        <v>6</v>
      </c>
      <c r="N63">
        <v>1</v>
      </c>
      <c r="O63">
        <v>4</v>
      </c>
    </row>
    <row r="64" spans="1:15" x14ac:dyDescent="0.25">
      <c r="A64">
        <v>315726110604</v>
      </c>
      <c r="B64">
        <v>6</v>
      </c>
      <c r="C64" t="s">
        <v>2400</v>
      </c>
      <c r="D64">
        <v>900</v>
      </c>
      <c r="E64">
        <v>2100</v>
      </c>
      <c r="F64">
        <v>1050</v>
      </c>
      <c r="G64">
        <v>2120</v>
      </c>
      <c r="H64">
        <v>600</v>
      </c>
      <c r="I64" t="s">
        <v>2794</v>
      </c>
      <c r="J64" t="s">
        <v>2467</v>
      </c>
      <c r="K64" s="20" t="s">
        <v>2561</v>
      </c>
      <c r="L64" s="20">
        <v>5</v>
      </c>
      <c r="M64" s="20">
        <v>6</v>
      </c>
      <c r="N64">
        <v>1</v>
      </c>
      <c r="O64">
        <v>4</v>
      </c>
    </row>
    <row r="65" spans="1:15" x14ac:dyDescent="0.25">
      <c r="A65">
        <v>315726110703</v>
      </c>
      <c r="B65">
        <v>6</v>
      </c>
      <c r="C65" t="s">
        <v>2444</v>
      </c>
      <c r="D65">
        <v>900</v>
      </c>
      <c r="E65">
        <v>2100</v>
      </c>
      <c r="F65">
        <v>1050</v>
      </c>
      <c r="G65">
        <v>2120</v>
      </c>
      <c r="H65">
        <v>600</v>
      </c>
      <c r="I65" t="s">
        <v>2794</v>
      </c>
      <c r="J65" t="s">
        <v>2467</v>
      </c>
      <c r="K65" s="20" t="s">
        <v>2561</v>
      </c>
      <c r="L65" s="20">
        <v>5</v>
      </c>
      <c r="M65" s="20">
        <v>6</v>
      </c>
      <c r="N65">
        <v>1</v>
      </c>
      <c r="O65">
        <v>4</v>
      </c>
    </row>
    <row r="66" spans="1:15" x14ac:dyDescent="0.25">
      <c r="A66">
        <v>315726110901</v>
      </c>
      <c r="B66">
        <v>9</v>
      </c>
      <c r="C66" t="s">
        <v>2400</v>
      </c>
      <c r="D66">
        <v>900</v>
      </c>
      <c r="E66">
        <v>2100</v>
      </c>
      <c r="F66">
        <v>1050</v>
      </c>
      <c r="G66">
        <v>2240</v>
      </c>
      <c r="H66">
        <v>720</v>
      </c>
      <c r="I66" t="s">
        <v>3196</v>
      </c>
      <c r="J66" t="s">
        <v>3197</v>
      </c>
      <c r="K66" s="20" t="s">
        <v>3198</v>
      </c>
      <c r="L66" s="20">
        <v>5</v>
      </c>
      <c r="M66" s="20">
        <v>6</v>
      </c>
      <c r="N66">
        <v>1</v>
      </c>
      <c r="O66">
        <v>4</v>
      </c>
    </row>
    <row r="67" spans="1:15" x14ac:dyDescent="0.25">
      <c r="A67">
        <v>315726111107</v>
      </c>
      <c r="B67">
        <v>9</v>
      </c>
      <c r="C67" t="s">
        <v>2444</v>
      </c>
      <c r="D67">
        <v>900</v>
      </c>
      <c r="E67">
        <v>2100</v>
      </c>
      <c r="F67">
        <v>1050</v>
      </c>
      <c r="G67">
        <v>2240</v>
      </c>
      <c r="H67">
        <v>720</v>
      </c>
      <c r="I67" t="s">
        <v>3196</v>
      </c>
      <c r="J67" t="s">
        <v>3197</v>
      </c>
      <c r="K67" s="20" t="s">
        <v>3198</v>
      </c>
      <c r="L67" s="20">
        <v>5</v>
      </c>
      <c r="M67" s="20">
        <v>6</v>
      </c>
      <c r="N67">
        <v>1</v>
      </c>
      <c r="O67">
        <v>4</v>
      </c>
    </row>
    <row r="68" spans="1:15" x14ac:dyDescent="0.25">
      <c r="A68">
        <v>315726111206</v>
      </c>
      <c r="B68">
        <v>9</v>
      </c>
      <c r="C68" t="s">
        <v>2448</v>
      </c>
      <c r="D68">
        <v>900</v>
      </c>
      <c r="E68">
        <v>2100</v>
      </c>
      <c r="F68">
        <v>1050</v>
      </c>
      <c r="G68">
        <v>2240</v>
      </c>
      <c r="H68">
        <v>720</v>
      </c>
      <c r="I68" t="s">
        <v>3196</v>
      </c>
      <c r="J68" t="s">
        <v>3197</v>
      </c>
      <c r="K68" s="20" t="s">
        <v>3198</v>
      </c>
      <c r="L68" s="20">
        <v>5</v>
      </c>
      <c r="M68" s="20">
        <v>6</v>
      </c>
      <c r="N68">
        <v>1</v>
      </c>
      <c r="O68">
        <v>4</v>
      </c>
    </row>
    <row r="69" spans="1:15" x14ac:dyDescent="0.25">
      <c r="A69">
        <v>315726111305</v>
      </c>
      <c r="B69">
        <v>9</v>
      </c>
      <c r="C69" t="s">
        <v>2406</v>
      </c>
      <c r="D69">
        <v>900</v>
      </c>
      <c r="E69">
        <v>2100</v>
      </c>
      <c r="F69">
        <v>1050</v>
      </c>
      <c r="G69">
        <v>2240</v>
      </c>
      <c r="H69">
        <v>720</v>
      </c>
      <c r="I69" t="s">
        <v>3196</v>
      </c>
      <c r="J69" t="s">
        <v>3197</v>
      </c>
      <c r="K69" s="20" t="s">
        <v>3198</v>
      </c>
      <c r="L69" s="20">
        <v>5</v>
      </c>
      <c r="M69" s="20">
        <v>6</v>
      </c>
      <c r="N69">
        <v>1</v>
      </c>
      <c r="O69">
        <v>4</v>
      </c>
    </row>
    <row r="70" spans="1:15" x14ac:dyDescent="0.25">
      <c r="A70">
        <v>315726111404</v>
      </c>
      <c r="B70">
        <v>12</v>
      </c>
      <c r="C70" t="s">
        <v>2400</v>
      </c>
      <c r="D70">
        <v>900</v>
      </c>
      <c r="E70">
        <v>2100</v>
      </c>
      <c r="F70">
        <v>1050</v>
      </c>
      <c r="G70">
        <v>2240</v>
      </c>
      <c r="H70">
        <v>720</v>
      </c>
      <c r="I70" t="s">
        <v>2649</v>
      </c>
      <c r="J70" t="s">
        <v>3199</v>
      </c>
      <c r="K70" s="20" t="s">
        <v>2571</v>
      </c>
      <c r="L70" s="20">
        <v>5</v>
      </c>
      <c r="M70" s="20">
        <v>6</v>
      </c>
      <c r="N70">
        <v>1</v>
      </c>
      <c r="O70">
        <v>4</v>
      </c>
    </row>
    <row r="71" spans="1:15" x14ac:dyDescent="0.25">
      <c r="A71">
        <v>315726111503</v>
      </c>
      <c r="B71">
        <v>12</v>
      </c>
      <c r="C71" t="s">
        <v>2444</v>
      </c>
      <c r="D71">
        <v>900</v>
      </c>
      <c r="E71">
        <v>2100</v>
      </c>
      <c r="F71">
        <v>1050</v>
      </c>
      <c r="G71">
        <v>2240</v>
      </c>
      <c r="H71">
        <v>720</v>
      </c>
      <c r="I71" t="s">
        <v>2649</v>
      </c>
      <c r="J71" t="s">
        <v>3199</v>
      </c>
      <c r="K71" s="20" t="s">
        <v>2571</v>
      </c>
      <c r="L71" s="20">
        <v>5</v>
      </c>
      <c r="M71" s="20">
        <v>6</v>
      </c>
      <c r="N71">
        <v>1</v>
      </c>
      <c r="O71">
        <v>4</v>
      </c>
    </row>
    <row r="72" spans="1:15" x14ac:dyDescent="0.25">
      <c r="A72">
        <v>315726111602</v>
      </c>
      <c r="B72">
        <v>12</v>
      </c>
      <c r="C72" t="s">
        <v>2448</v>
      </c>
      <c r="D72">
        <v>900</v>
      </c>
      <c r="E72">
        <v>2100</v>
      </c>
      <c r="F72">
        <v>1050</v>
      </c>
      <c r="G72">
        <v>2240</v>
      </c>
      <c r="H72">
        <v>720</v>
      </c>
      <c r="I72" t="s">
        <v>2649</v>
      </c>
      <c r="J72" t="s">
        <v>3199</v>
      </c>
      <c r="K72" s="20" t="s">
        <v>2571</v>
      </c>
      <c r="L72" s="20">
        <v>5</v>
      </c>
      <c r="M72" s="20">
        <v>6</v>
      </c>
      <c r="N72">
        <v>1</v>
      </c>
      <c r="O72">
        <v>4</v>
      </c>
    </row>
    <row r="73" spans="1:15" x14ac:dyDescent="0.25">
      <c r="A73">
        <v>315726111701</v>
      </c>
      <c r="B73">
        <v>12</v>
      </c>
      <c r="C73" t="s">
        <v>2406</v>
      </c>
      <c r="D73">
        <v>900</v>
      </c>
      <c r="E73">
        <v>2100</v>
      </c>
      <c r="F73">
        <v>1050</v>
      </c>
      <c r="G73">
        <v>2240</v>
      </c>
      <c r="H73">
        <v>720</v>
      </c>
      <c r="I73" t="s">
        <v>2649</v>
      </c>
      <c r="J73" t="s">
        <v>3199</v>
      </c>
      <c r="K73" s="20" t="s">
        <v>2571</v>
      </c>
      <c r="L73" s="20">
        <v>5</v>
      </c>
      <c r="M73" s="20">
        <v>6</v>
      </c>
      <c r="N73">
        <v>1</v>
      </c>
      <c r="O73">
        <v>4</v>
      </c>
    </row>
    <row r="74" spans="1:15" x14ac:dyDescent="0.25">
      <c r="A74">
        <v>315726111800</v>
      </c>
      <c r="B74">
        <v>15</v>
      </c>
      <c r="C74" t="s">
        <v>2400</v>
      </c>
      <c r="D74">
        <v>900</v>
      </c>
      <c r="E74">
        <v>2100</v>
      </c>
      <c r="F74">
        <v>1050</v>
      </c>
      <c r="G74">
        <v>2240</v>
      </c>
      <c r="H74">
        <v>720</v>
      </c>
      <c r="I74" t="s">
        <v>2669</v>
      </c>
      <c r="J74" t="s">
        <v>3200</v>
      </c>
      <c r="K74" s="20" t="s">
        <v>3201</v>
      </c>
      <c r="L74" s="20">
        <v>5</v>
      </c>
      <c r="M74" s="20">
        <v>6</v>
      </c>
      <c r="N74">
        <v>1</v>
      </c>
      <c r="O74">
        <v>4</v>
      </c>
    </row>
    <row r="75" spans="1:15" x14ac:dyDescent="0.25">
      <c r="A75">
        <v>315726111910</v>
      </c>
      <c r="B75">
        <v>15</v>
      </c>
      <c r="C75" t="s">
        <v>2444</v>
      </c>
      <c r="D75">
        <v>900</v>
      </c>
      <c r="E75">
        <v>2100</v>
      </c>
      <c r="F75">
        <v>1050</v>
      </c>
      <c r="G75">
        <v>2240</v>
      </c>
      <c r="H75">
        <v>720</v>
      </c>
      <c r="I75" t="s">
        <v>2669</v>
      </c>
      <c r="J75" t="s">
        <v>3200</v>
      </c>
      <c r="K75" s="20" t="s">
        <v>3201</v>
      </c>
      <c r="L75" s="20">
        <v>5</v>
      </c>
      <c r="M75" s="20">
        <v>6</v>
      </c>
      <c r="N75">
        <v>1</v>
      </c>
      <c r="O75">
        <v>4</v>
      </c>
    </row>
    <row r="76" spans="1:15" x14ac:dyDescent="0.25">
      <c r="A76">
        <v>315726112105</v>
      </c>
      <c r="B76">
        <v>15</v>
      </c>
      <c r="C76" t="s">
        <v>2448</v>
      </c>
      <c r="D76">
        <v>900</v>
      </c>
      <c r="E76">
        <v>2100</v>
      </c>
      <c r="F76">
        <v>1050</v>
      </c>
      <c r="G76">
        <v>2240</v>
      </c>
      <c r="H76">
        <v>720</v>
      </c>
      <c r="I76" t="s">
        <v>2669</v>
      </c>
      <c r="J76" t="s">
        <v>3200</v>
      </c>
      <c r="K76" s="20" t="s">
        <v>3201</v>
      </c>
      <c r="L76" s="20">
        <v>5</v>
      </c>
      <c r="M76" s="20">
        <v>6</v>
      </c>
      <c r="N76">
        <v>1</v>
      </c>
      <c r="O76">
        <v>4</v>
      </c>
    </row>
    <row r="77" spans="1:15" x14ac:dyDescent="0.25">
      <c r="A77">
        <v>315726112204</v>
      </c>
      <c r="B77">
        <v>15</v>
      </c>
      <c r="C77" t="s">
        <v>2406</v>
      </c>
      <c r="D77">
        <v>900</v>
      </c>
      <c r="E77">
        <v>2100</v>
      </c>
      <c r="F77">
        <v>1050</v>
      </c>
      <c r="G77">
        <v>2240</v>
      </c>
      <c r="H77">
        <v>720</v>
      </c>
      <c r="I77" t="s">
        <v>2669</v>
      </c>
      <c r="J77" t="s">
        <v>3200</v>
      </c>
      <c r="K77" s="20" t="s">
        <v>3201</v>
      </c>
      <c r="L77" s="20">
        <v>5</v>
      </c>
      <c r="M77" s="20">
        <v>6</v>
      </c>
      <c r="N77">
        <v>1</v>
      </c>
      <c r="O77">
        <v>4</v>
      </c>
    </row>
    <row r="78" spans="1:15" x14ac:dyDescent="0.25">
      <c r="A78">
        <v>315728110110</v>
      </c>
      <c r="B78">
        <v>3</v>
      </c>
      <c r="C78" t="s">
        <v>2397</v>
      </c>
      <c r="D78">
        <v>900</v>
      </c>
      <c r="E78">
        <v>1840</v>
      </c>
      <c r="F78">
        <v>920</v>
      </c>
      <c r="G78">
        <v>2350</v>
      </c>
      <c r="H78">
        <v>670</v>
      </c>
      <c r="I78">
        <v>36</v>
      </c>
      <c r="J78">
        <v>9</v>
      </c>
      <c r="K78" t="s">
        <v>2451</v>
      </c>
      <c r="L78" s="20">
        <v>8</v>
      </c>
      <c r="M78" s="20">
        <v>12</v>
      </c>
      <c r="N78">
        <v>1</v>
      </c>
      <c r="O78">
        <v>4</v>
      </c>
    </row>
    <row r="79" spans="1:15" x14ac:dyDescent="0.25">
      <c r="A79">
        <v>315728110110</v>
      </c>
      <c r="B79">
        <v>3</v>
      </c>
      <c r="C79" t="s">
        <v>2400</v>
      </c>
      <c r="D79">
        <v>900</v>
      </c>
      <c r="E79">
        <v>1840</v>
      </c>
      <c r="F79">
        <v>920</v>
      </c>
      <c r="G79">
        <v>2350</v>
      </c>
      <c r="H79">
        <v>670</v>
      </c>
      <c r="I79">
        <v>36</v>
      </c>
      <c r="J79">
        <v>9</v>
      </c>
      <c r="K79" t="s">
        <v>2451</v>
      </c>
      <c r="L79" s="20">
        <v>8</v>
      </c>
      <c r="M79" s="20">
        <v>12</v>
      </c>
      <c r="N79">
        <v>1</v>
      </c>
      <c r="O79">
        <v>4</v>
      </c>
    </row>
    <row r="80" spans="1:15" x14ac:dyDescent="0.25">
      <c r="A80">
        <v>315728110308</v>
      </c>
      <c r="B80" t="s">
        <v>3170</v>
      </c>
      <c r="C80" t="s">
        <v>2397</v>
      </c>
      <c r="D80">
        <v>900</v>
      </c>
      <c r="E80">
        <v>1840</v>
      </c>
      <c r="F80">
        <v>920</v>
      </c>
      <c r="G80">
        <v>2350</v>
      </c>
      <c r="H80">
        <v>670</v>
      </c>
      <c r="I80" t="s">
        <v>3202</v>
      </c>
      <c r="J80" t="s">
        <v>3203</v>
      </c>
      <c r="K80" t="s">
        <v>2399</v>
      </c>
      <c r="L80" s="20">
        <v>8</v>
      </c>
      <c r="M80" s="20">
        <v>12</v>
      </c>
      <c r="N80">
        <v>1</v>
      </c>
      <c r="O80">
        <v>4</v>
      </c>
    </row>
    <row r="81" spans="1:15" x14ac:dyDescent="0.25">
      <c r="A81">
        <v>315728110308</v>
      </c>
      <c r="B81" t="s">
        <v>3170</v>
      </c>
      <c r="C81" t="s">
        <v>2400</v>
      </c>
      <c r="D81">
        <v>900</v>
      </c>
      <c r="E81">
        <v>1840</v>
      </c>
      <c r="F81">
        <v>920</v>
      </c>
      <c r="G81">
        <v>2350</v>
      </c>
      <c r="H81">
        <v>670</v>
      </c>
      <c r="I81" t="s">
        <v>3202</v>
      </c>
      <c r="J81" t="s">
        <v>3203</v>
      </c>
      <c r="K81" t="s">
        <v>2399</v>
      </c>
      <c r="L81" s="20">
        <v>8</v>
      </c>
      <c r="M81" s="20">
        <v>12</v>
      </c>
      <c r="N81">
        <v>1</v>
      </c>
      <c r="O81">
        <v>4</v>
      </c>
    </row>
    <row r="82" spans="1:15" x14ac:dyDescent="0.25">
      <c r="A82">
        <v>315728110605</v>
      </c>
      <c r="B82">
        <v>6</v>
      </c>
      <c r="C82" t="s">
        <v>2397</v>
      </c>
      <c r="D82">
        <v>900</v>
      </c>
      <c r="E82">
        <v>1840</v>
      </c>
      <c r="F82">
        <v>920</v>
      </c>
      <c r="G82">
        <v>2350</v>
      </c>
      <c r="H82">
        <v>670</v>
      </c>
      <c r="I82" t="s">
        <v>3204</v>
      </c>
      <c r="J82" t="s">
        <v>2659</v>
      </c>
      <c r="K82" t="s">
        <v>2415</v>
      </c>
      <c r="L82" s="20">
        <v>8</v>
      </c>
      <c r="M82" s="20">
        <v>12</v>
      </c>
      <c r="N82">
        <v>1</v>
      </c>
      <c r="O82">
        <v>4</v>
      </c>
    </row>
    <row r="83" spans="1:15" x14ac:dyDescent="0.25">
      <c r="A83">
        <v>315728110803</v>
      </c>
      <c r="B83">
        <v>6</v>
      </c>
      <c r="C83" t="s">
        <v>2400</v>
      </c>
      <c r="D83">
        <v>900</v>
      </c>
      <c r="E83">
        <v>1840</v>
      </c>
      <c r="F83">
        <v>920</v>
      </c>
      <c r="G83">
        <v>2350</v>
      </c>
      <c r="H83">
        <v>670</v>
      </c>
      <c r="I83" t="s">
        <v>3204</v>
      </c>
      <c r="J83" t="s">
        <v>2659</v>
      </c>
      <c r="K83" t="s">
        <v>2415</v>
      </c>
      <c r="L83" s="20">
        <v>8</v>
      </c>
      <c r="M83" s="20">
        <v>12</v>
      </c>
      <c r="N83">
        <v>1</v>
      </c>
      <c r="O83">
        <v>4</v>
      </c>
    </row>
    <row r="84" spans="1:15" x14ac:dyDescent="0.25">
      <c r="A84">
        <v>315728111108</v>
      </c>
      <c r="B84">
        <v>6</v>
      </c>
      <c r="C84" t="s">
        <v>2444</v>
      </c>
      <c r="D84">
        <v>900</v>
      </c>
      <c r="E84">
        <v>1840</v>
      </c>
      <c r="F84">
        <v>920</v>
      </c>
      <c r="G84">
        <v>2350</v>
      </c>
      <c r="H84">
        <v>670</v>
      </c>
      <c r="I84" t="s">
        <v>3204</v>
      </c>
      <c r="J84" t="s">
        <v>2659</v>
      </c>
      <c r="K84" t="s">
        <v>2415</v>
      </c>
      <c r="L84" s="20">
        <v>8</v>
      </c>
      <c r="M84" s="20">
        <v>12</v>
      </c>
      <c r="N84">
        <v>1</v>
      </c>
      <c r="O84">
        <v>4</v>
      </c>
    </row>
    <row r="85" spans="1:15" x14ac:dyDescent="0.25">
      <c r="A85">
        <v>315728111306</v>
      </c>
      <c r="B85">
        <v>6</v>
      </c>
      <c r="C85" t="s">
        <v>2448</v>
      </c>
      <c r="D85">
        <v>900</v>
      </c>
      <c r="E85">
        <v>1840</v>
      </c>
      <c r="F85">
        <v>920</v>
      </c>
      <c r="G85">
        <v>2350</v>
      </c>
      <c r="H85">
        <v>670</v>
      </c>
      <c r="I85" t="s">
        <v>3204</v>
      </c>
      <c r="J85" t="s">
        <v>2659</v>
      </c>
      <c r="K85" t="s">
        <v>2415</v>
      </c>
      <c r="L85" s="20">
        <v>8</v>
      </c>
      <c r="M85" s="20">
        <v>12</v>
      </c>
      <c r="N85">
        <v>1</v>
      </c>
      <c r="O85">
        <v>4</v>
      </c>
    </row>
    <row r="86" spans="1:15" x14ac:dyDescent="0.25">
      <c r="A86">
        <v>315728111702</v>
      </c>
      <c r="B86">
        <v>9</v>
      </c>
      <c r="C86" t="s">
        <v>2397</v>
      </c>
      <c r="D86">
        <v>900</v>
      </c>
      <c r="E86">
        <v>1840</v>
      </c>
      <c r="F86">
        <v>920</v>
      </c>
      <c r="G86">
        <v>2350</v>
      </c>
      <c r="H86">
        <v>670</v>
      </c>
      <c r="I86">
        <v>52</v>
      </c>
      <c r="J86">
        <v>13</v>
      </c>
      <c r="K86" t="s">
        <v>2409</v>
      </c>
      <c r="L86" s="20">
        <v>8</v>
      </c>
      <c r="M86" s="20">
        <v>12</v>
      </c>
      <c r="N86">
        <v>1</v>
      </c>
      <c r="O86">
        <v>4</v>
      </c>
    </row>
    <row r="87" spans="1:15" x14ac:dyDescent="0.25">
      <c r="A87">
        <v>315728111900</v>
      </c>
      <c r="B87">
        <v>9</v>
      </c>
      <c r="C87" t="s">
        <v>2400</v>
      </c>
      <c r="D87">
        <v>900</v>
      </c>
      <c r="E87">
        <v>1840</v>
      </c>
      <c r="F87">
        <v>920</v>
      </c>
      <c r="G87">
        <v>2350</v>
      </c>
      <c r="H87">
        <v>670</v>
      </c>
      <c r="I87">
        <v>52</v>
      </c>
      <c r="J87">
        <v>13</v>
      </c>
      <c r="K87" t="s">
        <v>2409</v>
      </c>
      <c r="L87" s="20">
        <v>8</v>
      </c>
      <c r="M87" s="20">
        <v>12</v>
      </c>
      <c r="N87">
        <v>1</v>
      </c>
      <c r="O87">
        <v>4</v>
      </c>
    </row>
    <row r="88" spans="1:15" x14ac:dyDescent="0.25">
      <c r="A88">
        <v>315728112106</v>
      </c>
      <c r="B88">
        <v>9</v>
      </c>
      <c r="C88" t="s">
        <v>2444</v>
      </c>
      <c r="D88">
        <v>900</v>
      </c>
      <c r="E88">
        <v>1840</v>
      </c>
      <c r="F88">
        <v>920</v>
      </c>
      <c r="G88">
        <v>2350</v>
      </c>
      <c r="H88">
        <v>670</v>
      </c>
      <c r="I88">
        <v>52</v>
      </c>
      <c r="J88">
        <v>13</v>
      </c>
      <c r="K88" t="s">
        <v>2409</v>
      </c>
      <c r="L88" s="20">
        <v>8</v>
      </c>
      <c r="M88" s="20">
        <v>12</v>
      </c>
      <c r="N88">
        <v>1</v>
      </c>
      <c r="O88">
        <v>4</v>
      </c>
    </row>
    <row r="89" spans="1:15" x14ac:dyDescent="0.25">
      <c r="A89">
        <v>315728112205</v>
      </c>
      <c r="B89">
        <v>9</v>
      </c>
      <c r="C89" t="s">
        <v>2448</v>
      </c>
      <c r="D89">
        <v>900</v>
      </c>
      <c r="E89">
        <v>1840</v>
      </c>
      <c r="F89">
        <v>920</v>
      </c>
      <c r="G89">
        <v>2350</v>
      </c>
      <c r="H89">
        <v>670</v>
      </c>
      <c r="I89">
        <v>52</v>
      </c>
      <c r="J89">
        <v>13</v>
      </c>
      <c r="K89" t="s">
        <v>2409</v>
      </c>
      <c r="L89" s="20">
        <v>8</v>
      </c>
      <c r="M89" s="20">
        <v>12</v>
      </c>
      <c r="N89">
        <v>1</v>
      </c>
      <c r="O89">
        <v>4</v>
      </c>
    </row>
    <row r="90" spans="1:15" x14ac:dyDescent="0.25">
      <c r="A90">
        <v>315728116703</v>
      </c>
      <c r="B90">
        <v>9</v>
      </c>
      <c r="C90" t="s">
        <v>2406</v>
      </c>
      <c r="D90">
        <v>900</v>
      </c>
      <c r="E90">
        <v>1840</v>
      </c>
      <c r="F90">
        <v>920</v>
      </c>
      <c r="G90">
        <v>2350</v>
      </c>
      <c r="H90">
        <v>670</v>
      </c>
      <c r="I90">
        <v>52</v>
      </c>
      <c r="J90">
        <v>13</v>
      </c>
      <c r="K90" t="s">
        <v>2409</v>
      </c>
      <c r="L90" s="20">
        <v>8</v>
      </c>
      <c r="M90" s="20">
        <v>12</v>
      </c>
      <c r="N90">
        <v>1</v>
      </c>
      <c r="O90">
        <v>4</v>
      </c>
    </row>
    <row r="91" spans="1:15" x14ac:dyDescent="0.25">
      <c r="A91">
        <v>315727112101</v>
      </c>
      <c r="B91">
        <v>3</v>
      </c>
      <c r="C91" t="s">
        <v>2444</v>
      </c>
      <c r="D91">
        <v>2200</v>
      </c>
      <c r="E91">
        <v>2900</v>
      </c>
      <c r="F91">
        <v>1450</v>
      </c>
      <c r="G91">
        <v>2360</v>
      </c>
      <c r="H91">
        <v>530</v>
      </c>
      <c r="I91" t="s">
        <v>3205</v>
      </c>
      <c r="J91" t="s">
        <v>2655</v>
      </c>
      <c r="K91" t="s">
        <v>2419</v>
      </c>
      <c r="L91">
        <v>10</v>
      </c>
      <c r="M91">
        <v>18</v>
      </c>
      <c r="N91">
        <v>1</v>
      </c>
      <c r="O91">
        <v>4</v>
      </c>
    </row>
    <row r="92" spans="1:15" x14ac:dyDescent="0.25">
      <c r="A92">
        <v>315727112210</v>
      </c>
      <c r="B92" t="s">
        <v>3170</v>
      </c>
      <c r="C92" t="s">
        <v>2444</v>
      </c>
      <c r="D92">
        <v>2200</v>
      </c>
      <c r="E92">
        <v>2900</v>
      </c>
      <c r="F92">
        <v>1450</v>
      </c>
      <c r="G92">
        <v>2360</v>
      </c>
      <c r="H92">
        <v>530</v>
      </c>
      <c r="I92" t="s">
        <v>3205</v>
      </c>
      <c r="J92" t="s">
        <v>2655</v>
      </c>
      <c r="K92" t="s">
        <v>2419</v>
      </c>
      <c r="L92">
        <v>10</v>
      </c>
      <c r="M92">
        <v>18</v>
      </c>
      <c r="N92">
        <v>1</v>
      </c>
      <c r="O92">
        <v>4</v>
      </c>
    </row>
    <row r="93" spans="1:15" x14ac:dyDescent="0.25">
      <c r="A93">
        <v>315727112408</v>
      </c>
      <c r="B93">
        <v>6</v>
      </c>
      <c r="C93" t="s">
        <v>2444</v>
      </c>
      <c r="D93">
        <v>2200</v>
      </c>
      <c r="E93">
        <v>2900</v>
      </c>
      <c r="F93">
        <v>1450</v>
      </c>
      <c r="G93">
        <v>2360</v>
      </c>
      <c r="H93">
        <v>530</v>
      </c>
      <c r="I93" t="s">
        <v>3206</v>
      </c>
      <c r="J93" t="s">
        <v>2426</v>
      </c>
      <c r="K93">
        <v>5</v>
      </c>
      <c r="L93">
        <v>10</v>
      </c>
      <c r="M93">
        <v>18</v>
      </c>
      <c r="N93">
        <v>1</v>
      </c>
      <c r="O93">
        <v>4</v>
      </c>
    </row>
    <row r="94" spans="1:15" x14ac:dyDescent="0.25">
      <c r="A94">
        <v>315727112408</v>
      </c>
      <c r="B94">
        <v>6</v>
      </c>
      <c r="C94" t="s">
        <v>2448</v>
      </c>
      <c r="D94">
        <v>2200</v>
      </c>
      <c r="E94">
        <v>2900</v>
      </c>
      <c r="F94">
        <v>1450</v>
      </c>
      <c r="G94">
        <v>2360</v>
      </c>
      <c r="H94">
        <v>530</v>
      </c>
      <c r="I94" t="s">
        <v>3206</v>
      </c>
      <c r="J94" t="s">
        <v>2426</v>
      </c>
      <c r="K94">
        <v>5</v>
      </c>
      <c r="L94">
        <v>10</v>
      </c>
      <c r="M94">
        <v>18</v>
      </c>
      <c r="N94">
        <v>1</v>
      </c>
      <c r="O94">
        <v>4</v>
      </c>
    </row>
    <row r="95" spans="1:15" x14ac:dyDescent="0.25">
      <c r="A95">
        <v>315727112507</v>
      </c>
      <c r="B95">
        <v>9</v>
      </c>
      <c r="C95" t="s">
        <v>2448</v>
      </c>
      <c r="D95">
        <v>2200</v>
      </c>
      <c r="E95">
        <v>2900</v>
      </c>
      <c r="F95">
        <v>1450</v>
      </c>
      <c r="G95">
        <v>2360</v>
      </c>
      <c r="H95">
        <v>530</v>
      </c>
      <c r="I95" t="s">
        <v>3207</v>
      </c>
      <c r="J95" t="s">
        <v>3208</v>
      </c>
      <c r="K95" t="s">
        <v>2463</v>
      </c>
      <c r="L95">
        <v>10</v>
      </c>
      <c r="M95">
        <v>18</v>
      </c>
      <c r="N95">
        <v>1</v>
      </c>
      <c r="O95">
        <v>4</v>
      </c>
    </row>
    <row r="96" spans="1:15" x14ac:dyDescent="0.25">
      <c r="A96">
        <v>315727112507</v>
      </c>
      <c r="B96">
        <v>9</v>
      </c>
      <c r="C96" t="s">
        <v>2406</v>
      </c>
      <c r="D96">
        <v>2200</v>
      </c>
      <c r="E96">
        <v>2900</v>
      </c>
      <c r="F96">
        <v>1450</v>
      </c>
      <c r="G96">
        <v>2360</v>
      </c>
      <c r="H96">
        <v>530</v>
      </c>
      <c r="I96" t="s">
        <v>3207</v>
      </c>
      <c r="J96" t="s">
        <v>3208</v>
      </c>
      <c r="K96" t="s">
        <v>2463</v>
      </c>
      <c r="L96">
        <v>10</v>
      </c>
      <c r="M96">
        <v>18</v>
      </c>
      <c r="N96">
        <v>1</v>
      </c>
      <c r="O96">
        <v>4</v>
      </c>
    </row>
    <row r="97" spans="1:15" x14ac:dyDescent="0.25">
      <c r="A97">
        <v>315727110709</v>
      </c>
      <c r="B97">
        <v>3</v>
      </c>
      <c r="C97" t="s">
        <v>2444</v>
      </c>
      <c r="D97">
        <v>2200</v>
      </c>
      <c r="E97">
        <v>2900</v>
      </c>
      <c r="F97">
        <v>1450</v>
      </c>
      <c r="G97">
        <v>2360</v>
      </c>
      <c r="H97">
        <v>530</v>
      </c>
      <c r="I97" t="s">
        <v>3209</v>
      </c>
      <c r="J97" t="s">
        <v>2673</v>
      </c>
      <c r="K97" t="s">
        <v>2411</v>
      </c>
      <c r="L97">
        <v>10</v>
      </c>
      <c r="M97">
        <v>24</v>
      </c>
      <c r="N97">
        <v>1</v>
      </c>
      <c r="O97">
        <v>4</v>
      </c>
    </row>
    <row r="98" spans="1:15" x14ac:dyDescent="0.25">
      <c r="A98">
        <v>315727110808</v>
      </c>
      <c r="B98" t="s">
        <v>3170</v>
      </c>
      <c r="C98" t="s">
        <v>2444</v>
      </c>
      <c r="D98">
        <v>2200</v>
      </c>
      <c r="E98">
        <v>2900</v>
      </c>
      <c r="F98">
        <v>1450</v>
      </c>
      <c r="G98">
        <v>2360</v>
      </c>
      <c r="H98">
        <v>530</v>
      </c>
      <c r="I98" t="s">
        <v>3209</v>
      </c>
      <c r="J98" t="s">
        <v>2673</v>
      </c>
      <c r="K98" t="s">
        <v>2411</v>
      </c>
      <c r="L98">
        <v>10</v>
      </c>
      <c r="M98">
        <v>24</v>
      </c>
      <c r="N98">
        <v>1</v>
      </c>
      <c r="O98">
        <v>4</v>
      </c>
    </row>
    <row r="99" spans="1:15" x14ac:dyDescent="0.25">
      <c r="A99">
        <v>315727111102</v>
      </c>
      <c r="B99">
        <v>6</v>
      </c>
      <c r="C99" t="s">
        <v>2444</v>
      </c>
      <c r="D99">
        <v>2200</v>
      </c>
      <c r="E99">
        <v>2900</v>
      </c>
      <c r="F99">
        <v>1450</v>
      </c>
      <c r="G99">
        <v>2360</v>
      </c>
      <c r="H99">
        <v>530</v>
      </c>
      <c r="I99" t="s">
        <v>2836</v>
      </c>
      <c r="J99" t="s">
        <v>2812</v>
      </c>
      <c r="K99" t="s">
        <v>2483</v>
      </c>
      <c r="L99">
        <v>10</v>
      </c>
      <c r="M99">
        <v>24</v>
      </c>
      <c r="N99">
        <v>1</v>
      </c>
      <c r="O99">
        <v>4</v>
      </c>
    </row>
    <row r="100" spans="1:15" x14ac:dyDescent="0.25">
      <c r="A100">
        <v>315727111102</v>
      </c>
      <c r="B100">
        <v>6</v>
      </c>
      <c r="C100" t="s">
        <v>2448</v>
      </c>
      <c r="D100">
        <v>2200</v>
      </c>
      <c r="E100">
        <v>2900</v>
      </c>
      <c r="F100">
        <v>1450</v>
      </c>
      <c r="G100">
        <v>2360</v>
      </c>
      <c r="H100">
        <v>530</v>
      </c>
      <c r="I100" t="s">
        <v>2836</v>
      </c>
      <c r="J100" t="s">
        <v>2812</v>
      </c>
      <c r="K100" t="s">
        <v>2483</v>
      </c>
      <c r="L100">
        <v>10</v>
      </c>
      <c r="M100">
        <v>24</v>
      </c>
      <c r="N100">
        <v>1</v>
      </c>
      <c r="O100">
        <v>4</v>
      </c>
    </row>
    <row r="101" spans="1:15" x14ac:dyDescent="0.25">
      <c r="A101">
        <v>315727112804</v>
      </c>
      <c r="B101">
        <v>9</v>
      </c>
      <c r="C101" t="s">
        <v>2448</v>
      </c>
      <c r="D101">
        <v>2200</v>
      </c>
      <c r="E101">
        <v>2900</v>
      </c>
      <c r="F101">
        <v>1450</v>
      </c>
      <c r="G101">
        <v>2360</v>
      </c>
      <c r="H101">
        <v>530</v>
      </c>
      <c r="I101" t="s">
        <v>3210</v>
      </c>
      <c r="J101" t="s">
        <v>3211</v>
      </c>
      <c r="K101" t="s">
        <v>2461</v>
      </c>
      <c r="L101">
        <v>10</v>
      </c>
      <c r="M101">
        <v>24</v>
      </c>
      <c r="N101">
        <v>1</v>
      </c>
      <c r="O101">
        <v>4</v>
      </c>
    </row>
    <row r="102" spans="1:15" x14ac:dyDescent="0.25">
      <c r="A102">
        <v>315727112804</v>
      </c>
      <c r="B102">
        <v>9</v>
      </c>
      <c r="C102" t="s">
        <v>2406</v>
      </c>
      <c r="D102">
        <v>2200</v>
      </c>
      <c r="E102">
        <v>2900</v>
      </c>
      <c r="F102">
        <v>1450</v>
      </c>
      <c r="G102">
        <v>2360</v>
      </c>
      <c r="H102">
        <v>530</v>
      </c>
      <c r="I102" t="s">
        <v>3210</v>
      </c>
      <c r="J102" t="s">
        <v>3211</v>
      </c>
      <c r="K102" t="s">
        <v>2461</v>
      </c>
      <c r="L102">
        <v>10</v>
      </c>
      <c r="M102">
        <v>24</v>
      </c>
      <c r="N102">
        <v>1</v>
      </c>
      <c r="O102">
        <v>4</v>
      </c>
    </row>
    <row r="103" spans="1:15" x14ac:dyDescent="0.25">
      <c r="A103">
        <v>315727111410</v>
      </c>
      <c r="B103">
        <v>3</v>
      </c>
      <c r="C103" t="s">
        <v>2444</v>
      </c>
      <c r="D103">
        <v>2200</v>
      </c>
      <c r="E103">
        <v>2900</v>
      </c>
      <c r="F103">
        <v>1450</v>
      </c>
      <c r="G103">
        <v>2360</v>
      </c>
      <c r="H103">
        <v>530</v>
      </c>
      <c r="I103" t="s">
        <v>3212</v>
      </c>
      <c r="J103" t="s">
        <v>3213</v>
      </c>
      <c r="K103" t="s">
        <v>2483</v>
      </c>
      <c r="L103">
        <v>10</v>
      </c>
      <c r="M103">
        <v>36</v>
      </c>
      <c r="N103">
        <v>1</v>
      </c>
      <c r="O103">
        <v>4</v>
      </c>
    </row>
    <row r="104" spans="1:15" x14ac:dyDescent="0.25">
      <c r="A104">
        <v>315727111509</v>
      </c>
      <c r="B104" t="s">
        <v>3170</v>
      </c>
      <c r="C104" t="s">
        <v>2444</v>
      </c>
      <c r="D104">
        <v>2200</v>
      </c>
      <c r="E104">
        <v>2900</v>
      </c>
      <c r="F104">
        <v>1450</v>
      </c>
      <c r="G104">
        <v>2360</v>
      </c>
      <c r="H104">
        <v>530</v>
      </c>
      <c r="I104" t="s">
        <v>3212</v>
      </c>
      <c r="J104" t="s">
        <v>3213</v>
      </c>
      <c r="K104" t="s">
        <v>2483</v>
      </c>
      <c r="L104">
        <v>10</v>
      </c>
      <c r="M104">
        <v>36</v>
      </c>
      <c r="N104">
        <v>1</v>
      </c>
      <c r="O104">
        <v>4</v>
      </c>
    </row>
    <row r="105" spans="1:15" x14ac:dyDescent="0.25">
      <c r="A105">
        <v>315727111707</v>
      </c>
      <c r="B105">
        <v>6</v>
      </c>
      <c r="C105" t="s">
        <v>2444</v>
      </c>
      <c r="D105">
        <v>2200</v>
      </c>
      <c r="E105">
        <v>2900</v>
      </c>
      <c r="F105">
        <v>1450</v>
      </c>
      <c r="G105">
        <v>2360</v>
      </c>
      <c r="H105">
        <v>530</v>
      </c>
      <c r="I105">
        <v>86</v>
      </c>
      <c r="J105" t="s">
        <v>2813</v>
      </c>
      <c r="K105" t="s">
        <v>2460</v>
      </c>
      <c r="L105">
        <v>10</v>
      </c>
      <c r="M105">
        <v>36</v>
      </c>
      <c r="N105">
        <v>1</v>
      </c>
      <c r="O105">
        <v>4</v>
      </c>
    </row>
    <row r="106" spans="1:15" x14ac:dyDescent="0.25">
      <c r="A106">
        <v>315727111707</v>
      </c>
      <c r="B106">
        <v>6</v>
      </c>
      <c r="C106" t="s">
        <v>2448</v>
      </c>
      <c r="D106">
        <v>2200</v>
      </c>
      <c r="E106">
        <v>2900</v>
      </c>
      <c r="F106">
        <v>1450</v>
      </c>
      <c r="G106">
        <v>2360</v>
      </c>
      <c r="H106">
        <v>530</v>
      </c>
      <c r="I106">
        <v>86</v>
      </c>
      <c r="J106" t="s">
        <v>2813</v>
      </c>
      <c r="K106" t="s">
        <v>2460</v>
      </c>
      <c r="L106">
        <v>10</v>
      </c>
      <c r="M106">
        <v>36</v>
      </c>
      <c r="N106">
        <v>1</v>
      </c>
      <c r="O106">
        <v>4</v>
      </c>
    </row>
    <row r="107" spans="1:15" x14ac:dyDescent="0.25">
      <c r="A107">
        <v>315727112903</v>
      </c>
      <c r="B107">
        <v>9</v>
      </c>
      <c r="C107" t="s">
        <v>2448</v>
      </c>
      <c r="D107">
        <v>2200</v>
      </c>
      <c r="E107">
        <v>2900</v>
      </c>
      <c r="F107">
        <v>1450</v>
      </c>
      <c r="G107">
        <v>2360</v>
      </c>
      <c r="H107">
        <v>530</v>
      </c>
      <c r="I107" t="s">
        <v>3214</v>
      </c>
      <c r="J107" t="s">
        <v>3215</v>
      </c>
      <c r="K107">
        <v>6</v>
      </c>
      <c r="L107">
        <v>10</v>
      </c>
      <c r="M107">
        <v>36</v>
      </c>
      <c r="N107">
        <v>1</v>
      </c>
      <c r="O107">
        <v>4</v>
      </c>
    </row>
    <row r="108" spans="1:15" x14ac:dyDescent="0.25">
      <c r="A108">
        <v>315727112903</v>
      </c>
      <c r="B108">
        <v>9</v>
      </c>
      <c r="C108" t="s">
        <v>2406</v>
      </c>
      <c r="D108">
        <v>2200</v>
      </c>
      <c r="E108">
        <v>2900</v>
      </c>
      <c r="F108">
        <v>1450</v>
      </c>
      <c r="G108">
        <v>2360</v>
      </c>
      <c r="H108">
        <v>530</v>
      </c>
      <c r="I108" t="s">
        <v>3214</v>
      </c>
      <c r="J108" t="s">
        <v>3215</v>
      </c>
      <c r="K108">
        <v>6</v>
      </c>
      <c r="L108">
        <v>10</v>
      </c>
      <c r="M108">
        <v>36</v>
      </c>
      <c r="N108">
        <v>1</v>
      </c>
      <c r="O108">
        <v>4</v>
      </c>
    </row>
    <row r="109" spans="1:15" x14ac:dyDescent="0.25">
      <c r="A109">
        <v>315723210109</v>
      </c>
      <c r="B109" t="s">
        <v>3164</v>
      </c>
      <c r="C109" t="s">
        <v>2400</v>
      </c>
      <c r="D109">
        <v>600</v>
      </c>
      <c r="E109">
        <v>1460</v>
      </c>
      <c r="F109">
        <v>730</v>
      </c>
      <c r="G109">
        <v>1200</v>
      </c>
      <c r="H109">
        <v>350</v>
      </c>
      <c r="I109">
        <v>8</v>
      </c>
      <c r="J109">
        <v>4</v>
      </c>
      <c r="K109" t="s">
        <v>3216</v>
      </c>
      <c r="L109" s="20">
        <v>1</v>
      </c>
      <c r="M109" s="20">
        <v>6</v>
      </c>
      <c r="N109">
        <v>2</v>
      </c>
      <c r="O109">
        <v>4</v>
      </c>
    </row>
    <row r="110" spans="1:15" x14ac:dyDescent="0.25">
      <c r="A110">
        <v>315723210208</v>
      </c>
      <c r="B110" t="s">
        <v>3164</v>
      </c>
      <c r="C110" t="s">
        <v>2444</v>
      </c>
      <c r="D110">
        <v>600</v>
      </c>
      <c r="E110">
        <v>1460</v>
      </c>
      <c r="F110">
        <v>730</v>
      </c>
      <c r="G110">
        <v>1200</v>
      </c>
      <c r="H110">
        <v>350</v>
      </c>
      <c r="I110">
        <v>8</v>
      </c>
      <c r="J110">
        <v>4</v>
      </c>
      <c r="K110" t="s">
        <v>3216</v>
      </c>
      <c r="L110" s="20">
        <v>1</v>
      </c>
      <c r="M110" s="20">
        <v>6</v>
      </c>
      <c r="N110">
        <v>2</v>
      </c>
      <c r="O110">
        <v>4</v>
      </c>
    </row>
    <row r="111" spans="1:15" x14ac:dyDescent="0.25">
      <c r="A111">
        <v>315723210307</v>
      </c>
      <c r="B111" t="s">
        <v>3164</v>
      </c>
      <c r="C111" t="s">
        <v>2448</v>
      </c>
      <c r="D111">
        <v>600</v>
      </c>
      <c r="E111">
        <v>1460</v>
      </c>
      <c r="F111">
        <v>730</v>
      </c>
      <c r="G111">
        <v>1200</v>
      </c>
      <c r="H111">
        <v>350</v>
      </c>
      <c r="I111">
        <v>8</v>
      </c>
      <c r="J111">
        <v>4</v>
      </c>
      <c r="K111" t="s">
        <v>3216</v>
      </c>
      <c r="L111" s="20">
        <v>1</v>
      </c>
      <c r="M111" s="20">
        <v>6</v>
      </c>
      <c r="N111">
        <v>2</v>
      </c>
      <c r="O111">
        <v>4</v>
      </c>
    </row>
    <row r="112" spans="1:15" x14ac:dyDescent="0.25">
      <c r="A112">
        <v>315723210406</v>
      </c>
      <c r="B112" t="s">
        <v>3165</v>
      </c>
      <c r="C112" t="s">
        <v>2400</v>
      </c>
      <c r="D112">
        <v>600</v>
      </c>
      <c r="E112">
        <v>1460</v>
      </c>
      <c r="F112">
        <v>730</v>
      </c>
      <c r="G112">
        <v>1200</v>
      </c>
      <c r="H112">
        <v>350</v>
      </c>
      <c r="I112" t="s">
        <v>3199</v>
      </c>
      <c r="J112" t="s">
        <v>3217</v>
      </c>
      <c r="K112" t="s">
        <v>3218</v>
      </c>
      <c r="L112" s="20">
        <v>1</v>
      </c>
      <c r="M112" s="20">
        <v>6</v>
      </c>
      <c r="N112">
        <v>2</v>
      </c>
      <c r="O112">
        <v>4</v>
      </c>
    </row>
    <row r="113" spans="1:15" x14ac:dyDescent="0.25">
      <c r="A113">
        <v>315723210505</v>
      </c>
      <c r="B113" t="s">
        <v>3165</v>
      </c>
      <c r="C113" t="s">
        <v>2444</v>
      </c>
      <c r="D113">
        <v>600</v>
      </c>
      <c r="E113">
        <v>1460</v>
      </c>
      <c r="F113">
        <v>730</v>
      </c>
      <c r="G113">
        <v>1200</v>
      </c>
      <c r="H113">
        <v>350</v>
      </c>
      <c r="I113" t="s">
        <v>3199</v>
      </c>
      <c r="J113" t="s">
        <v>3217</v>
      </c>
      <c r="K113" t="s">
        <v>3218</v>
      </c>
      <c r="L113" s="20">
        <v>1</v>
      </c>
      <c r="M113" s="20">
        <v>6</v>
      </c>
      <c r="N113">
        <v>2</v>
      </c>
      <c r="O113">
        <v>4</v>
      </c>
    </row>
    <row r="114" spans="1:15" x14ac:dyDescent="0.25">
      <c r="A114">
        <v>315723210604</v>
      </c>
      <c r="B114" t="s">
        <v>3165</v>
      </c>
      <c r="C114" t="s">
        <v>2448</v>
      </c>
      <c r="D114">
        <v>600</v>
      </c>
      <c r="E114">
        <v>1460</v>
      </c>
      <c r="F114">
        <v>730</v>
      </c>
      <c r="G114">
        <v>1200</v>
      </c>
      <c r="H114">
        <v>350</v>
      </c>
      <c r="I114" t="s">
        <v>3199</v>
      </c>
      <c r="J114" t="s">
        <v>3217</v>
      </c>
      <c r="K114" t="s">
        <v>3218</v>
      </c>
      <c r="L114" s="20">
        <v>1</v>
      </c>
      <c r="M114" s="20">
        <v>6</v>
      </c>
      <c r="N114">
        <v>2</v>
      </c>
      <c r="O114">
        <v>4</v>
      </c>
    </row>
    <row r="115" spans="1:15" x14ac:dyDescent="0.25">
      <c r="A115">
        <v>315723210703</v>
      </c>
      <c r="B115" t="s">
        <v>3165</v>
      </c>
      <c r="C115" t="s">
        <v>2406</v>
      </c>
      <c r="D115">
        <v>600</v>
      </c>
      <c r="E115">
        <v>1460</v>
      </c>
      <c r="F115">
        <v>730</v>
      </c>
      <c r="G115">
        <v>1200</v>
      </c>
      <c r="H115">
        <v>350</v>
      </c>
      <c r="I115" t="s">
        <v>3199</v>
      </c>
      <c r="J115" t="s">
        <v>3217</v>
      </c>
      <c r="K115" t="s">
        <v>3218</v>
      </c>
      <c r="L115" s="20">
        <v>1</v>
      </c>
      <c r="M115" s="20">
        <v>6</v>
      </c>
      <c r="N115">
        <v>2</v>
      </c>
      <c r="O115">
        <v>4</v>
      </c>
    </row>
    <row r="116" spans="1:15" x14ac:dyDescent="0.25">
      <c r="A116">
        <v>315723210802</v>
      </c>
      <c r="B116" t="s">
        <v>3166</v>
      </c>
      <c r="C116" t="s">
        <v>2400</v>
      </c>
      <c r="D116">
        <v>600</v>
      </c>
      <c r="E116">
        <v>1460</v>
      </c>
      <c r="F116">
        <v>730</v>
      </c>
      <c r="G116">
        <v>1280</v>
      </c>
      <c r="H116">
        <v>430</v>
      </c>
      <c r="I116" t="s">
        <v>2636</v>
      </c>
      <c r="J116" t="s">
        <v>3219</v>
      </c>
      <c r="K116" t="s">
        <v>2526</v>
      </c>
      <c r="L116" s="20">
        <v>1</v>
      </c>
      <c r="M116" s="20">
        <v>6</v>
      </c>
      <c r="N116">
        <v>2</v>
      </c>
      <c r="O116">
        <v>4</v>
      </c>
    </row>
    <row r="117" spans="1:15" x14ac:dyDescent="0.25">
      <c r="A117">
        <v>315723210901</v>
      </c>
      <c r="B117" t="s">
        <v>3166</v>
      </c>
      <c r="C117" t="s">
        <v>2444</v>
      </c>
      <c r="D117">
        <v>600</v>
      </c>
      <c r="E117">
        <v>1460</v>
      </c>
      <c r="F117">
        <v>730</v>
      </c>
      <c r="G117">
        <v>1280</v>
      </c>
      <c r="H117">
        <v>430</v>
      </c>
      <c r="I117" t="s">
        <v>2636</v>
      </c>
      <c r="J117" t="s">
        <v>3219</v>
      </c>
      <c r="K117" t="s">
        <v>2526</v>
      </c>
      <c r="L117" s="20">
        <v>1</v>
      </c>
      <c r="M117" s="20">
        <v>6</v>
      </c>
      <c r="N117">
        <v>2</v>
      </c>
      <c r="O117">
        <v>4</v>
      </c>
    </row>
    <row r="118" spans="1:15" x14ac:dyDescent="0.25">
      <c r="A118">
        <v>315723211107</v>
      </c>
      <c r="B118" t="s">
        <v>3166</v>
      </c>
      <c r="C118" t="s">
        <v>2448</v>
      </c>
      <c r="D118">
        <v>600</v>
      </c>
      <c r="E118">
        <v>1460</v>
      </c>
      <c r="F118">
        <v>730</v>
      </c>
      <c r="G118">
        <v>1280</v>
      </c>
      <c r="H118">
        <v>430</v>
      </c>
      <c r="I118" t="s">
        <v>2636</v>
      </c>
      <c r="J118" t="s">
        <v>3219</v>
      </c>
      <c r="K118" t="s">
        <v>2526</v>
      </c>
      <c r="L118" s="20">
        <v>1</v>
      </c>
      <c r="M118" s="20">
        <v>6</v>
      </c>
      <c r="N118">
        <v>2</v>
      </c>
      <c r="O118">
        <v>4</v>
      </c>
    </row>
    <row r="119" spans="1:15" x14ac:dyDescent="0.25">
      <c r="A119">
        <v>315723211206</v>
      </c>
      <c r="B119" t="s">
        <v>3166</v>
      </c>
      <c r="C119" t="s">
        <v>2406</v>
      </c>
      <c r="D119">
        <v>600</v>
      </c>
      <c r="E119">
        <v>1460</v>
      </c>
      <c r="F119">
        <v>730</v>
      </c>
      <c r="G119">
        <v>1280</v>
      </c>
      <c r="H119">
        <v>430</v>
      </c>
      <c r="I119" t="s">
        <v>2636</v>
      </c>
      <c r="J119" t="s">
        <v>3219</v>
      </c>
      <c r="K119" t="s">
        <v>2526</v>
      </c>
      <c r="L119" s="20">
        <v>1</v>
      </c>
      <c r="M119" s="20">
        <v>6</v>
      </c>
      <c r="N119">
        <v>2</v>
      </c>
      <c r="O119">
        <v>4</v>
      </c>
    </row>
    <row r="120" spans="1:15" x14ac:dyDescent="0.25">
      <c r="A120">
        <v>315723211305</v>
      </c>
      <c r="B120" t="s">
        <v>3167</v>
      </c>
      <c r="C120" t="s">
        <v>2400</v>
      </c>
      <c r="D120">
        <v>600</v>
      </c>
      <c r="E120">
        <v>1710</v>
      </c>
      <c r="F120">
        <v>855</v>
      </c>
      <c r="G120">
        <v>1360</v>
      </c>
      <c r="H120">
        <v>510</v>
      </c>
      <c r="I120" t="s">
        <v>3220</v>
      </c>
      <c r="J120" t="s">
        <v>2419</v>
      </c>
      <c r="K120" t="s">
        <v>2549</v>
      </c>
      <c r="L120" s="20">
        <v>1</v>
      </c>
      <c r="M120" s="20">
        <v>6</v>
      </c>
      <c r="N120">
        <v>2</v>
      </c>
      <c r="O120">
        <v>4</v>
      </c>
    </row>
    <row r="121" spans="1:15" x14ac:dyDescent="0.25">
      <c r="A121">
        <v>315723211404</v>
      </c>
      <c r="B121" t="s">
        <v>3167</v>
      </c>
      <c r="C121" t="s">
        <v>2444</v>
      </c>
      <c r="D121">
        <v>600</v>
      </c>
      <c r="E121">
        <v>1710</v>
      </c>
      <c r="F121">
        <v>855</v>
      </c>
      <c r="G121">
        <v>1360</v>
      </c>
      <c r="H121">
        <v>510</v>
      </c>
      <c r="I121" t="s">
        <v>3220</v>
      </c>
      <c r="J121" t="s">
        <v>2419</v>
      </c>
      <c r="K121" t="s">
        <v>2549</v>
      </c>
      <c r="L121" s="20">
        <v>1</v>
      </c>
      <c r="M121" s="20">
        <v>6</v>
      </c>
      <c r="N121">
        <v>2</v>
      </c>
      <c r="O121">
        <v>4</v>
      </c>
    </row>
    <row r="122" spans="1:15" x14ac:dyDescent="0.25">
      <c r="A122">
        <v>315723211503</v>
      </c>
      <c r="B122" t="s">
        <v>3167</v>
      </c>
      <c r="C122" t="s">
        <v>2448</v>
      </c>
      <c r="D122">
        <v>600</v>
      </c>
      <c r="E122">
        <v>1710</v>
      </c>
      <c r="F122">
        <v>855</v>
      </c>
      <c r="G122">
        <v>1360</v>
      </c>
      <c r="H122">
        <v>510</v>
      </c>
      <c r="I122" t="s">
        <v>3220</v>
      </c>
      <c r="J122" t="s">
        <v>2419</v>
      </c>
      <c r="K122" t="s">
        <v>2549</v>
      </c>
      <c r="L122" s="20">
        <v>1</v>
      </c>
      <c r="M122" s="20">
        <v>6</v>
      </c>
      <c r="N122">
        <v>2</v>
      </c>
      <c r="O122">
        <v>4</v>
      </c>
    </row>
    <row r="123" spans="1:15" x14ac:dyDescent="0.25">
      <c r="A123">
        <v>315723211602</v>
      </c>
      <c r="B123" t="s">
        <v>3167</v>
      </c>
      <c r="C123" t="s">
        <v>2406</v>
      </c>
      <c r="D123">
        <v>600</v>
      </c>
      <c r="E123">
        <v>1710</v>
      </c>
      <c r="F123">
        <v>855</v>
      </c>
      <c r="G123">
        <v>1360</v>
      </c>
      <c r="H123">
        <v>510</v>
      </c>
      <c r="I123" t="s">
        <v>3220</v>
      </c>
      <c r="J123" t="s">
        <v>2419</v>
      </c>
      <c r="K123" t="s">
        <v>2549</v>
      </c>
      <c r="L123" s="20">
        <v>1</v>
      </c>
      <c r="M123" s="20">
        <v>6</v>
      </c>
      <c r="N123">
        <v>2</v>
      </c>
      <c r="O123">
        <v>4</v>
      </c>
    </row>
    <row r="124" spans="1:15" x14ac:dyDescent="0.25">
      <c r="A124">
        <v>315724210104</v>
      </c>
      <c r="B124" t="s">
        <v>3164</v>
      </c>
      <c r="C124" t="s">
        <v>2400</v>
      </c>
      <c r="D124">
        <v>600</v>
      </c>
      <c r="E124">
        <v>1460</v>
      </c>
      <c r="F124">
        <v>730</v>
      </c>
      <c r="G124">
        <v>1580</v>
      </c>
      <c r="H124">
        <v>430</v>
      </c>
      <c r="I124" t="s">
        <v>3221</v>
      </c>
      <c r="J124" t="s">
        <v>2475</v>
      </c>
      <c r="K124" t="s">
        <v>2447</v>
      </c>
      <c r="L124" s="20">
        <v>2</v>
      </c>
      <c r="M124" s="20">
        <v>6</v>
      </c>
      <c r="N124">
        <v>2</v>
      </c>
      <c r="O124">
        <v>4</v>
      </c>
    </row>
    <row r="125" spans="1:15" x14ac:dyDescent="0.25">
      <c r="A125">
        <v>315724210203</v>
      </c>
      <c r="B125" t="s">
        <v>3164</v>
      </c>
      <c r="C125" t="s">
        <v>2444</v>
      </c>
      <c r="D125">
        <v>600</v>
      </c>
      <c r="E125">
        <v>1460</v>
      </c>
      <c r="F125">
        <v>730</v>
      </c>
      <c r="G125">
        <v>1580</v>
      </c>
      <c r="H125">
        <v>430</v>
      </c>
      <c r="I125" t="s">
        <v>3221</v>
      </c>
      <c r="J125" t="s">
        <v>2475</v>
      </c>
      <c r="K125" t="s">
        <v>2447</v>
      </c>
      <c r="L125" s="20">
        <v>2</v>
      </c>
      <c r="M125" s="20">
        <v>6</v>
      </c>
      <c r="N125">
        <v>2</v>
      </c>
      <c r="O125">
        <v>4</v>
      </c>
    </row>
    <row r="126" spans="1:15" x14ac:dyDescent="0.25">
      <c r="A126">
        <v>315724210302</v>
      </c>
      <c r="B126" t="s">
        <v>3164</v>
      </c>
      <c r="C126" t="s">
        <v>2448</v>
      </c>
      <c r="D126">
        <v>600</v>
      </c>
      <c r="E126">
        <v>1460</v>
      </c>
      <c r="F126">
        <v>730</v>
      </c>
      <c r="G126">
        <v>1580</v>
      </c>
      <c r="H126">
        <v>430</v>
      </c>
      <c r="I126" t="s">
        <v>3221</v>
      </c>
      <c r="J126" t="s">
        <v>2475</v>
      </c>
      <c r="K126" t="s">
        <v>2447</v>
      </c>
      <c r="L126" s="20">
        <v>2</v>
      </c>
      <c r="M126" s="20">
        <v>6</v>
      </c>
      <c r="N126">
        <v>2</v>
      </c>
      <c r="O126">
        <v>4</v>
      </c>
    </row>
    <row r="127" spans="1:15" x14ac:dyDescent="0.25">
      <c r="A127">
        <v>315724210401</v>
      </c>
      <c r="B127" t="s">
        <v>3165</v>
      </c>
      <c r="C127" t="s">
        <v>2400</v>
      </c>
      <c r="D127">
        <v>600</v>
      </c>
      <c r="E127">
        <v>1460</v>
      </c>
      <c r="F127">
        <v>730</v>
      </c>
      <c r="G127">
        <v>1580</v>
      </c>
      <c r="H127">
        <v>430</v>
      </c>
      <c r="I127" t="s">
        <v>2672</v>
      </c>
      <c r="J127" t="s">
        <v>2466</v>
      </c>
      <c r="K127" t="s">
        <v>3222</v>
      </c>
      <c r="L127" s="20">
        <v>2</v>
      </c>
      <c r="M127" s="20">
        <v>6</v>
      </c>
      <c r="N127">
        <v>2</v>
      </c>
      <c r="O127">
        <v>4</v>
      </c>
    </row>
    <row r="128" spans="1:15" x14ac:dyDescent="0.25">
      <c r="A128">
        <v>315724210500</v>
      </c>
      <c r="B128" t="s">
        <v>3165</v>
      </c>
      <c r="C128" t="s">
        <v>2444</v>
      </c>
      <c r="D128">
        <v>600</v>
      </c>
      <c r="E128">
        <v>1460</v>
      </c>
      <c r="F128">
        <v>730</v>
      </c>
      <c r="G128">
        <v>1580</v>
      </c>
      <c r="H128">
        <v>430</v>
      </c>
      <c r="I128" t="s">
        <v>2672</v>
      </c>
      <c r="J128" t="s">
        <v>2466</v>
      </c>
      <c r="K128" t="s">
        <v>3222</v>
      </c>
      <c r="L128" s="20">
        <v>2</v>
      </c>
      <c r="M128" s="20">
        <v>6</v>
      </c>
      <c r="N128">
        <v>2</v>
      </c>
      <c r="O128">
        <v>4</v>
      </c>
    </row>
    <row r="129" spans="1:15" x14ac:dyDescent="0.25">
      <c r="A129">
        <v>315724210610</v>
      </c>
      <c r="B129" t="s">
        <v>3165</v>
      </c>
      <c r="C129" t="s">
        <v>2448</v>
      </c>
      <c r="D129">
        <v>600</v>
      </c>
      <c r="E129">
        <v>1460</v>
      </c>
      <c r="F129">
        <v>730</v>
      </c>
      <c r="G129">
        <v>1580</v>
      </c>
      <c r="H129">
        <v>430</v>
      </c>
      <c r="I129" t="s">
        <v>2672</v>
      </c>
      <c r="J129" t="s">
        <v>2466</v>
      </c>
      <c r="K129" t="s">
        <v>3222</v>
      </c>
      <c r="L129" s="20">
        <v>2</v>
      </c>
      <c r="M129" s="20">
        <v>6</v>
      </c>
      <c r="N129">
        <v>2</v>
      </c>
      <c r="O129">
        <v>4</v>
      </c>
    </row>
    <row r="130" spans="1:15" x14ac:dyDescent="0.25">
      <c r="A130">
        <v>315724210709</v>
      </c>
      <c r="B130" t="s">
        <v>3165</v>
      </c>
      <c r="C130" t="s">
        <v>2406</v>
      </c>
      <c r="D130">
        <v>600</v>
      </c>
      <c r="E130">
        <v>1460</v>
      </c>
      <c r="F130">
        <v>730</v>
      </c>
      <c r="G130">
        <v>1580</v>
      </c>
      <c r="H130">
        <v>430</v>
      </c>
      <c r="I130" t="s">
        <v>2672</v>
      </c>
      <c r="J130" t="s">
        <v>2466</v>
      </c>
      <c r="K130" t="s">
        <v>3222</v>
      </c>
      <c r="L130" s="20">
        <v>2</v>
      </c>
      <c r="M130" s="20">
        <v>6</v>
      </c>
      <c r="N130">
        <v>2</v>
      </c>
      <c r="O130">
        <v>4</v>
      </c>
    </row>
    <row r="131" spans="1:15" x14ac:dyDescent="0.25">
      <c r="A131">
        <v>315724210808</v>
      </c>
      <c r="B131" t="s">
        <v>3166</v>
      </c>
      <c r="C131" t="s">
        <v>2400</v>
      </c>
      <c r="D131">
        <v>600</v>
      </c>
      <c r="E131">
        <v>1460</v>
      </c>
      <c r="F131">
        <v>730</v>
      </c>
      <c r="G131">
        <v>1580</v>
      </c>
      <c r="H131">
        <v>430</v>
      </c>
      <c r="I131" t="s">
        <v>3223</v>
      </c>
      <c r="J131" t="s">
        <v>3224</v>
      </c>
      <c r="K131" t="s">
        <v>2568</v>
      </c>
      <c r="L131" s="20">
        <v>2</v>
      </c>
      <c r="M131" s="20">
        <v>6</v>
      </c>
      <c r="N131">
        <v>2</v>
      </c>
      <c r="O131">
        <v>4</v>
      </c>
    </row>
    <row r="132" spans="1:15" x14ac:dyDescent="0.25">
      <c r="A132">
        <v>315724210907</v>
      </c>
      <c r="B132" t="s">
        <v>3166</v>
      </c>
      <c r="C132" t="s">
        <v>2444</v>
      </c>
      <c r="D132">
        <v>600</v>
      </c>
      <c r="E132">
        <v>1460</v>
      </c>
      <c r="F132">
        <v>730</v>
      </c>
      <c r="G132">
        <v>1580</v>
      </c>
      <c r="H132">
        <v>430</v>
      </c>
      <c r="I132" t="s">
        <v>3223</v>
      </c>
      <c r="J132" t="s">
        <v>3224</v>
      </c>
      <c r="K132" t="s">
        <v>2568</v>
      </c>
      <c r="L132" s="20">
        <v>2</v>
      </c>
      <c r="M132" s="20">
        <v>6</v>
      </c>
      <c r="N132">
        <v>2</v>
      </c>
      <c r="O132">
        <v>4</v>
      </c>
    </row>
    <row r="133" spans="1:15" x14ac:dyDescent="0.25">
      <c r="A133">
        <v>315724211102</v>
      </c>
      <c r="B133" t="s">
        <v>3166</v>
      </c>
      <c r="C133" t="s">
        <v>2448</v>
      </c>
      <c r="D133">
        <v>600</v>
      </c>
      <c r="E133">
        <v>1460</v>
      </c>
      <c r="F133">
        <v>730</v>
      </c>
      <c r="G133">
        <v>1580</v>
      </c>
      <c r="H133">
        <v>430</v>
      </c>
      <c r="I133" t="s">
        <v>3223</v>
      </c>
      <c r="J133" t="s">
        <v>3224</v>
      </c>
      <c r="K133" t="s">
        <v>2568</v>
      </c>
      <c r="L133" s="20">
        <v>2</v>
      </c>
      <c r="M133" s="20">
        <v>6</v>
      </c>
      <c r="N133">
        <v>2</v>
      </c>
      <c r="O133">
        <v>4</v>
      </c>
    </row>
    <row r="134" spans="1:15" x14ac:dyDescent="0.25">
      <c r="A134">
        <v>315724211201</v>
      </c>
      <c r="B134" t="s">
        <v>3166</v>
      </c>
      <c r="C134" t="s">
        <v>2406</v>
      </c>
      <c r="D134">
        <v>600</v>
      </c>
      <c r="E134">
        <v>1460</v>
      </c>
      <c r="F134">
        <v>730</v>
      </c>
      <c r="G134">
        <v>1580</v>
      </c>
      <c r="H134">
        <v>430</v>
      </c>
      <c r="I134" t="s">
        <v>3223</v>
      </c>
      <c r="J134" t="s">
        <v>3224</v>
      </c>
      <c r="K134" t="s">
        <v>2568</v>
      </c>
      <c r="L134" s="20">
        <v>2</v>
      </c>
      <c r="M134" s="20">
        <v>6</v>
      </c>
      <c r="N134">
        <v>2</v>
      </c>
      <c r="O134">
        <v>4</v>
      </c>
    </row>
    <row r="135" spans="1:15" x14ac:dyDescent="0.25">
      <c r="A135">
        <v>315724211300</v>
      </c>
      <c r="B135" t="s">
        <v>3167</v>
      </c>
      <c r="C135" t="s">
        <v>2400</v>
      </c>
      <c r="D135">
        <v>600</v>
      </c>
      <c r="E135">
        <v>1710</v>
      </c>
      <c r="F135">
        <v>855</v>
      </c>
      <c r="G135">
        <v>1660</v>
      </c>
      <c r="H135">
        <v>510</v>
      </c>
      <c r="I135" t="s">
        <v>3225</v>
      </c>
      <c r="J135" t="s">
        <v>2653</v>
      </c>
      <c r="K135" t="s">
        <v>3226</v>
      </c>
      <c r="L135" s="20">
        <v>2</v>
      </c>
      <c r="M135" s="20">
        <v>6</v>
      </c>
      <c r="N135">
        <v>2</v>
      </c>
      <c r="O135">
        <v>4</v>
      </c>
    </row>
    <row r="136" spans="1:15" x14ac:dyDescent="0.25">
      <c r="A136">
        <v>315724211410</v>
      </c>
      <c r="B136" t="s">
        <v>3167</v>
      </c>
      <c r="C136" t="s">
        <v>2444</v>
      </c>
      <c r="D136">
        <v>600</v>
      </c>
      <c r="E136">
        <v>1710</v>
      </c>
      <c r="F136">
        <v>855</v>
      </c>
      <c r="G136">
        <v>1660</v>
      </c>
      <c r="H136">
        <v>510</v>
      </c>
      <c r="I136" t="s">
        <v>3225</v>
      </c>
      <c r="J136" t="s">
        <v>2653</v>
      </c>
      <c r="K136" t="s">
        <v>3226</v>
      </c>
      <c r="L136" s="20">
        <v>2</v>
      </c>
      <c r="M136" s="20">
        <v>6</v>
      </c>
      <c r="N136">
        <v>2</v>
      </c>
      <c r="O136">
        <v>4</v>
      </c>
    </row>
    <row r="137" spans="1:15" x14ac:dyDescent="0.25">
      <c r="A137">
        <v>315724211509</v>
      </c>
      <c r="B137" t="s">
        <v>3167</v>
      </c>
      <c r="C137" t="s">
        <v>2448</v>
      </c>
      <c r="D137">
        <v>600</v>
      </c>
      <c r="E137">
        <v>1710</v>
      </c>
      <c r="F137">
        <v>855</v>
      </c>
      <c r="G137">
        <v>1660</v>
      </c>
      <c r="H137">
        <v>510</v>
      </c>
      <c r="I137" t="s">
        <v>3225</v>
      </c>
      <c r="J137" t="s">
        <v>2653</v>
      </c>
      <c r="K137" t="s">
        <v>3226</v>
      </c>
      <c r="L137" s="20">
        <v>2</v>
      </c>
      <c r="M137" s="20">
        <v>6</v>
      </c>
      <c r="N137">
        <v>2</v>
      </c>
      <c r="O137">
        <v>4</v>
      </c>
    </row>
    <row r="138" spans="1:15" x14ac:dyDescent="0.25">
      <c r="A138">
        <v>315724211608</v>
      </c>
      <c r="B138" t="s">
        <v>3167</v>
      </c>
      <c r="C138" t="s">
        <v>2406</v>
      </c>
      <c r="D138">
        <v>600</v>
      </c>
      <c r="E138">
        <v>1710</v>
      </c>
      <c r="F138">
        <v>855</v>
      </c>
      <c r="G138">
        <v>1660</v>
      </c>
      <c r="H138">
        <v>510</v>
      </c>
      <c r="I138" t="s">
        <v>3225</v>
      </c>
      <c r="J138" t="s">
        <v>2653</v>
      </c>
      <c r="K138" t="s">
        <v>3226</v>
      </c>
      <c r="L138" s="20">
        <v>2</v>
      </c>
      <c r="M138" s="20">
        <v>6</v>
      </c>
      <c r="N138">
        <v>2</v>
      </c>
      <c r="O138">
        <v>4</v>
      </c>
    </row>
    <row r="139" spans="1:15" x14ac:dyDescent="0.25">
      <c r="A139">
        <v>315725210110</v>
      </c>
      <c r="B139" t="s">
        <v>3164</v>
      </c>
      <c r="C139" t="s">
        <v>2400</v>
      </c>
      <c r="D139">
        <v>600</v>
      </c>
      <c r="E139">
        <v>1460</v>
      </c>
      <c r="F139">
        <v>730</v>
      </c>
      <c r="G139">
        <v>1810</v>
      </c>
      <c r="H139">
        <v>500</v>
      </c>
      <c r="I139" t="s">
        <v>3227</v>
      </c>
      <c r="J139" t="s">
        <v>2633</v>
      </c>
      <c r="K139" t="s">
        <v>3228</v>
      </c>
      <c r="L139" s="20" t="s">
        <v>2481</v>
      </c>
      <c r="M139" s="20">
        <v>6</v>
      </c>
      <c r="N139">
        <v>2</v>
      </c>
      <c r="O139">
        <v>4</v>
      </c>
    </row>
    <row r="140" spans="1:15" x14ac:dyDescent="0.25">
      <c r="A140">
        <v>315725210209</v>
      </c>
      <c r="B140" t="s">
        <v>3164</v>
      </c>
      <c r="C140" t="s">
        <v>2444</v>
      </c>
      <c r="D140">
        <v>600</v>
      </c>
      <c r="E140">
        <v>1460</v>
      </c>
      <c r="F140">
        <v>730</v>
      </c>
      <c r="G140">
        <v>1810</v>
      </c>
      <c r="H140">
        <v>500</v>
      </c>
      <c r="I140" t="s">
        <v>3227</v>
      </c>
      <c r="J140" t="s">
        <v>2633</v>
      </c>
      <c r="K140" t="s">
        <v>3228</v>
      </c>
      <c r="L140" s="20" t="s">
        <v>2481</v>
      </c>
      <c r="M140" s="20">
        <v>6</v>
      </c>
      <c r="N140">
        <v>2</v>
      </c>
      <c r="O140">
        <v>4</v>
      </c>
    </row>
    <row r="141" spans="1:15" x14ac:dyDescent="0.25">
      <c r="A141">
        <v>315725210308</v>
      </c>
      <c r="B141" t="s">
        <v>3164</v>
      </c>
      <c r="C141" t="s">
        <v>2448</v>
      </c>
      <c r="D141">
        <v>600</v>
      </c>
      <c r="E141">
        <v>1460</v>
      </c>
      <c r="F141">
        <v>730</v>
      </c>
      <c r="G141">
        <v>1810</v>
      </c>
      <c r="H141">
        <v>500</v>
      </c>
      <c r="I141" t="s">
        <v>3227</v>
      </c>
      <c r="J141" t="s">
        <v>2633</v>
      </c>
      <c r="K141" t="s">
        <v>3228</v>
      </c>
      <c r="L141" s="20" t="s">
        <v>2481</v>
      </c>
      <c r="M141" s="20">
        <v>6</v>
      </c>
      <c r="N141">
        <v>2</v>
      </c>
      <c r="O141">
        <v>4</v>
      </c>
    </row>
    <row r="142" spans="1:15" x14ac:dyDescent="0.25">
      <c r="A142">
        <v>315725210407</v>
      </c>
      <c r="B142" t="s">
        <v>3165</v>
      </c>
      <c r="C142" t="s">
        <v>2400</v>
      </c>
      <c r="D142">
        <v>600</v>
      </c>
      <c r="E142">
        <v>1460</v>
      </c>
      <c r="F142">
        <v>730</v>
      </c>
      <c r="G142">
        <v>1890</v>
      </c>
      <c r="H142">
        <v>580</v>
      </c>
      <c r="I142" t="s">
        <v>2670</v>
      </c>
      <c r="J142" t="s">
        <v>2647</v>
      </c>
      <c r="K142" t="s">
        <v>3229</v>
      </c>
      <c r="L142" s="20" t="s">
        <v>2481</v>
      </c>
      <c r="M142" s="20">
        <v>6</v>
      </c>
      <c r="N142">
        <v>2</v>
      </c>
      <c r="O142">
        <v>4</v>
      </c>
    </row>
    <row r="143" spans="1:15" x14ac:dyDescent="0.25">
      <c r="A143">
        <v>315725210506</v>
      </c>
      <c r="B143" t="s">
        <v>3165</v>
      </c>
      <c r="C143" t="s">
        <v>2444</v>
      </c>
      <c r="D143">
        <v>600</v>
      </c>
      <c r="E143">
        <v>1460</v>
      </c>
      <c r="F143">
        <v>730</v>
      </c>
      <c r="G143">
        <v>1890</v>
      </c>
      <c r="H143">
        <v>580</v>
      </c>
      <c r="I143" t="s">
        <v>2670</v>
      </c>
      <c r="J143" t="s">
        <v>2647</v>
      </c>
      <c r="K143" t="s">
        <v>3229</v>
      </c>
      <c r="L143" s="20" t="s">
        <v>2481</v>
      </c>
      <c r="M143" s="20">
        <v>6</v>
      </c>
      <c r="N143">
        <v>2</v>
      </c>
      <c r="O143">
        <v>4</v>
      </c>
    </row>
    <row r="144" spans="1:15" x14ac:dyDescent="0.25">
      <c r="A144">
        <v>315725210605</v>
      </c>
      <c r="B144" t="s">
        <v>3165</v>
      </c>
      <c r="C144" t="s">
        <v>2448</v>
      </c>
      <c r="D144">
        <v>600</v>
      </c>
      <c r="E144">
        <v>1460</v>
      </c>
      <c r="F144">
        <v>730</v>
      </c>
      <c r="G144">
        <v>1890</v>
      </c>
      <c r="H144">
        <v>580</v>
      </c>
      <c r="I144" t="s">
        <v>2670</v>
      </c>
      <c r="J144" t="s">
        <v>2647</v>
      </c>
      <c r="K144" t="s">
        <v>3229</v>
      </c>
      <c r="L144" s="20" t="s">
        <v>2481</v>
      </c>
      <c r="M144" s="20">
        <v>6</v>
      </c>
      <c r="N144">
        <v>2</v>
      </c>
      <c r="O144">
        <v>4</v>
      </c>
    </row>
    <row r="145" spans="1:15" x14ac:dyDescent="0.25">
      <c r="A145">
        <v>315725210704</v>
      </c>
      <c r="B145" t="s">
        <v>3165</v>
      </c>
      <c r="C145" t="s">
        <v>2406</v>
      </c>
      <c r="D145">
        <v>600</v>
      </c>
      <c r="E145">
        <v>1460</v>
      </c>
      <c r="F145">
        <v>730</v>
      </c>
      <c r="G145">
        <v>1890</v>
      </c>
      <c r="H145">
        <v>580</v>
      </c>
      <c r="I145" t="s">
        <v>2670</v>
      </c>
      <c r="J145" t="s">
        <v>2647</v>
      </c>
      <c r="K145" t="s">
        <v>3229</v>
      </c>
      <c r="L145" s="20" t="s">
        <v>2481</v>
      </c>
      <c r="M145" s="20">
        <v>6</v>
      </c>
      <c r="N145">
        <v>2</v>
      </c>
      <c r="O145">
        <v>4</v>
      </c>
    </row>
    <row r="146" spans="1:15" x14ac:dyDescent="0.25">
      <c r="A146">
        <v>315725210803</v>
      </c>
      <c r="B146" t="s">
        <v>3166</v>
      </c>
      <c r="C146" t="s">
        <v>2400</v>
      </c>
      <c r="D146">
        <v>600</v>
      </c>
      <c r="E146">
        <v>1460</v>
      </c>
      <c r="F146">
        <v>730</v>
      </c>
      <c r="G146">
        <v>1890</v>
      </c>
      <c r="H146">
        <v>580</v>
      </c>
      <c r="I146" t="s">
        <v>3230</v>
      </c>
      <c r="J146" t="s">
        <v>2688</v>
      </c>
      <c r="K146" t="s">
        <v>2604</v>
      </c>
      <c r="L146" s="20" t="s">
        <v>2481</v>
      </c>
      <c r="M146" s="20">
        <v>6</v>
      </c>
      <c r="N146">
        <v>2</v>
      </c>
      <c r="O146">
        <v>4</v>
      </c>
    </row>
    <row r="147" spans="1:15" x14ac:dyDescent="0.25">
      <c r="A147">
        <v>315725210902</v>
      </c>
      <c r="B147" t="s">
        <v>3166</v>
      </c>
      <c r="C147" t="s">
        <v>2444</v>
      </c>
      <c r="D147">
        <v>600</v>
      </c>
      <c r="E147">
        <v>1460</v>
      </c>
      <c r="F147">
        <v>730</v>
      </c>
      <c r="G147">
        <v>1890</v>
      </c>
      <c r="H147">
        <v>580</v>
      </c>
      <c r="I147" t="s">
        <v>3230</v>
      </c>
      <c r="J147" t="s">
        <v>2688</v>
      </c>
      <c r="K147" t="s">
        <v>2604</v>
      </c>
      <c r="L147" s="20" t="s">
        <v>2481</v>
      </c>
      <c r="M147" s="20">
        <v>6</v>
      </c>
      <c r="N147">
        <v>2</v>
      </c>
      <c r="O147">
        <v>4</v>
      </c>
    </row>
    <row r="148" spans="1:15" x14ac:dyDescent="0.25">
      <c r="A148">
        <v>315725211108</v>
      </c>
      <c r="B148" t="s">
        <v>3166</v>
      </c>
      <c r="C148" t="s">
        <v>2448</v>
      </c>
      <c r="D148">
        <v>600</v>
      </c>
      <c r="E148">
        <v>1460</v>
      </c>
      <c r="F148">
        <v>730</v>
      </c>
      <c r="G148">
        <v>1890</v>
      </c>
      <c r="H148">
        <v>580</v>
      </c>
      <c r="I148" t="s">
        <v>3230</v>
      </c>
      <c r="J148" t="s">
        <v>2688</v>
      </c>
      <c r="K148" t="s">
        <v>2604</v>
      </c>
      <c r="L148" s="20" t="s">
        <v>2481</v>
      </c>
      <c r="M148" s="20">
        <v>6</v>
      </c>
      <c r="N148">
        <v>2</v>
      </c>
      <c r="O148">
        <v>4</v>
      </c>
    </row>
    <row r="149" spans="1:15" x14ac:dyDescent="0.25">
      <c r="A149">
        <v>315725211207</v>
      </c>
      <c r="B149" t="s">
        <v>3166</v>
      </c>
      <c r="C149" t="s">
        <v>2406</v>
      </c>
      <c r="D149">
        <v>600</v>
      </c>
      <c r="E149">
        <v>1460</v>
      </c>
      <c r="F149">
        <v>730</v>
      </c>
      <c r="G149">
        <v>1890</v>
      </c>
      <c r="H149">
        <v>580</v>
      </c>
      <c r="I149" t="s">
        <v>3230</v>
      </c>
      <c r="J149" t="s">
        <v>2688</v>
      </c>
      <c r="K149" t="s">
        <v>2604</v>
      </c>
      <c r="L149" s="20" t="s">
        <v>2481</v>
      </c>
      <c r="M149" s="20">
        <v>6</v>
      </c>
      <c r="N149">
        <v>2</v>
      </c>
      <c r="O149">
        <v>4</v>
      </c>
    </row>
    <row r="150" spans="1:15" x14ac:dyDescent="0.25">
      <c r="A150">
        <v>315725211306</v>
      </c>
      <c r="B150" t="s">
        <v>3167</v>
      </c>
      <c r="C150" t="s">
        <v>2400</v>
      </c>
      <c r="D150">
        <v>600</v>
      </c>
      <c r="E150">
        <v>1710</v>
      </c>
      <c r="F150">
        <v>855</v>
      </c>
      <c r="G150">
        <v>2010</v>
      </c>
      <c r="H150">
        <v>700</v>
      </c>
      <c r="I150" t="s">
        <v>2704</v>
      </c>
      <c r="J150" t="s">
        <v>2648</v>
      </c>
      <c r="K150" t="s">
        <v>2457</v>
      </c>
      <c r="L150" s="20" t="s">
        <v>2481</v>
      </c>
      <c r="M150" s="20">
        <v>6</v>
      </c>
      <c r="N150">
        <v>2</v>
      </c>
      <c r="O150">
        <v>4</v>
      </c>
    </row>
    <row r="151" spans="1:15" x14ac:dyDescent="0.25">
      <c r="A151">
        <v>315725211405</v>
      </c>
      <c r="B151" t="s">
        <v>3167</v>
      </c>
      <c r="C151" t="s">
        <v>2444</v>
      </c>
      <c r="D151">
        <v>600</v>
      </c>
      <c r="E151">
        <v>1710</v>
      </c>
      <c r="F151">
        <v>855</v>
      </c>
      <c r="G151">
        <v>2010</v>
      </c>
      <c r="H151">
        <v>700</v>
      </c>
      <c r="I151" t="s">
        <v>2704</v>
      </c>
      <c r="J151" t="s">
        <v>2648</v>
      </c>
      <c r="K151" t="s">
        <v>2457</v>
      </c>
      <c r="L151" s="20" t="s">
        <v>2481</v>
      </c>
      <c r="M151" s="20">
        <v>6</v>
      </c>
      <c r="N151">
        <v>2</v>
      </c>
      <c r="O151">
        <v>4</v>
      </c>
    </row>
    <row r="152" spans="1:15" x14ac:dyDescent="0.25">
      <c r="A152">
        <v>315725211504</v>
      </c>
      <c r="B152" t="s">
        <v>3167</v>
      </c>
      <c r="C152" t="s">
        <v>2448</v>
      </c>
      <c r="D152">
        <v>600</v>
      </c>
      <c r="E152">
        <v>1710</v>
      </c>
      <c r="F152">
        <v>855</v>
      </c>
      <c r="G152">
        <v>2010</v>
      </c>
      <c r="H152">
        <v>700</v>
      </c>
      <c r="I152" t="s">
        <v>2704</v>
      </c>
      <c r="J152" t="s">
        <v>2648</v>
      </c>
      <c r="K152" t="s">
        <v>2457</v>
      </c>
      <c r="L152" s="20" t="s">
        <v>2481</v>
      </c>
      <c r="M152" s="20">
        <v>6</v>
      </c>
      <c r="N152">
        <v>2</v>
      </c>
      <c r="O152">
        <v>4</v>
      </c>
    </row>
    <row r="153" spans="1:15" x14ac:dyDescent="0.25">
      <c r="A153">
        <v>315725211603</v>
      </c>
      <c r="B153" t="s">
        <v>3167</v>
      </c>
      <c r="C153" t="s">
        <v>2406</v>
      </c>
      <c r="D153">
        <v>600</v>
      </c>
      <c r="E153">
        <v>1710</v>
      </c>
      <c r="F153">
        <v>855</v>
      </c>
      <c r="G153">
        <v>2010</v>
      </c>
      <c r="H153">
        <v>700</v>
      </c>
      <c r="I153" t="s">
        <v>2704</v>
      </c>
      <c r="J153" t="s">
        <v>2648</v>
      </c>
      <c r="K153" t="s">
        <v>2457</v>
      </c>
      <c r="L153" s="20" t="s">
        <v>2481</v>
      </c>
      <c r="M153" s="20">
        <v>6</v>
      </c>
      <c r="N153">
        <v>2</v>
      </c>
      <c r="O153">
        <v>4</v>
      </c>
    </row>
    <row r="154" spans="1:15" x14ac:dyDescent="0.25">
      <c r="A154">
        <v>315726210105</v>
      </c>
      <c r="B154" t="s">
        <v>3164</v>
      </c>
      <c r="C154" t="s">
        <v>2400</v>
      </c>
      <c r="D154">
        <v>900</v>
      </c>
      <c r="E154">
        <v>2100</v>
      </c>
      <c r="F154">
        <v>1050</v>
      </c>
      <c r="G154">
        <v>2120</v>
      </c>
      <c r="H154">
        <v>600</v>
      </c>
      <c r="I154" t="s">
        <v>2425</v>
      </c>
      <c r="J154" t="s">
        <v>2805</v>
      </c>
      <c r="K154" t="s">
        <v>3231</v>
      </c>
      <c r="L154" s="20">
        <v>5</v>
      </c>
      <c r="M154" s="20">
        <v>6</v>
      </c>
      <c r="N154">
        <v>2</v>
      </c>
      <c r="O154">
        <v>4</v>
      </c>
    </row>
    <row r="155" spans="1:15" x14ac:dyDescent="0.25">
      <c r="A155">
        <v>315726210204</v>
      </c>
      <c r="B155" t="s">
        <v>3164</v>
      </c>
      <c r="C155" t="s">
        <v>2444</v>
      </c>
      <c r="D155">
        <v>900</v>
      </c>
      <c r="E155">
        <v>2100</v>
      </c>
      <c r="F155">
        <v>1050</v>
      </c>
      <c r="G155">
        <v>2120</v>
      </c>
      <c r="H155">
        <v>600</v>
      </c>
      <c r="I155" t="s">
        <v>2425</v>
      </c>
      <c r="J155" t="s">
        <v>2805</v>
      </c>
      <c r="K155" t="s">
        <v>3231</v>
      </c>
      <c r="L155" s="20">
        <v>5</v>
      </c>
      <c r="M155" s="20">
        <v>6</v>
      </c>
      <c r="N155">
        <v>2</v>
      </c>
      <c r="O155">
        <v>4</v>
      </c>
    </row>
    <row r="156" spans="1:15" x14ac:dyDescent="0.25">
      <c r="A156">
        <v>315726210303</v>
      </c>
      <c r="B156" t="s">
        <v>3164</v>
      </c>
      <c r="C156" t="s">
        <v>2448</v>
      </c>
      <c r="D156">
        <v>900</v>
      </c>
      <c r="E156">
        <v>2100</v>
      </c>
      <c r="F156">
        <v>1050</v>
      </c>
      <c r="G156">
        <v>2120</v>
      </c>
      <c r="H156">
        <v>600</v>
      </c>
      <c r="I156" t="s">
        <v>2425</v>
      </c>
      <c r="J156" t="s">
        <v>2805</v>
      </c>
      <c r="K156" t="s">
        <v>3231</v>
      </c>
      <c r="L156" s="20">
        <v>5</v>
      </c>
      <c r="M156" s="20">
        <v>6</v>
      </c>
      <c r="N156">
        <v>2</v>
      </c>
      <c r="O156">
        <v>4</v>
      </c>
    </row>
    <row r="157" spans="1:15" x14ac:dyDescent="0.25">
      <c r="A157">
        <v>315726210402</v>
      </c>
      <c r="B157" t="s">
        <v>3165</v>
      </c>
      <c r="C157" t="s">
        <v>2400</v>
      </c>
      <c r="D157">
        <v>900</v>
      </c>
      <c r="E157">
        <v>2100</v>
      </c>
      <c r="F157">
        <v>1050</v>
      </c>
      <c r="G157">
        <v>2120</v>
      </c>
      <c r="H157">
        <v>600</v>
      </c>
      <c r="I157" t="s">
        <v>3232</v>
      </c>
      <c r="J157" t="s">
        <v>3146</v>
      </c>
      <c r="K157" t="s">
        <v>3233</v>
      </c>
      <c r="L157" s="20">
        <v>5</v>
      </c>
      <c r="M157" s="20">
        <v>6</v>
      </c>
      <c r="N157">
        <v>2</v>
      </c>
      <c r="O157">
        <v>4</v>
      </c>
    </row>
    <row r="158" spans="1:15" x14ac:dyDescent="0.25">
      <c r="A158">
        <v>315726210501</v>
      </c>
      <c r="B158" t="s">
        <v>3165</v>
      </c>
      <c r="C158" t="s">
        <v>2444</v>
      </c>
      <c r="D158">
        <v>900</v>
      </c>
      <c r="E158">
        <v>2100</v>
      </c>
      <c r="F158">
        <v>1050</v>
      </c>
      <c r="G158">
        <v>2120</v>
      </c>
      <c r="H158">
        <v>600</v>
      </c>
      <c r="I158" t="s">
        <v>3232</v>
      </c>
      <c r="J158" t="s">
        <v>3146</v>
      </c>
      <c r="K158" t="s">
        <v>3233</v>
      </c>
      <c r="L158" s="20">
        <v>5</v>
      </c>
      <c r="M158" s="20">
        <v>6</v>
      </c>
      <c r="N158">
        <v>2</v>
      </c>
      <c r="O158">
        <v>4</v>
      </c>
    </row>
    <row r="159" spans="1:15" x14ac:dyDescent="0.25">
      <c r="A159">
        <v>315726210600</v>
      </c>
      <c r="B159" t="s">
        <v>3165</v>
      </c>
      <c r="C159" t="s">
        <v>2448</v>
      </c>
      <c r="D159">
        <v>900</v>
      </c>
      <c r="E159">
        <v>2100</v>
      </c>
      <c r="F159">
        <v>1050</v>
      </c>
      <c r="G159">
        <v>2120</v>
      </c>
      <c r="H159">
        <v>600</v>
      </c>
      <c r="I159" t="s">
        <v>3232</v>
      </c>
      <c r="J159" t="s">
        <v>3146</v>
      </c>
      <c r="K159" t="s">
        <v>3233</v>
      </c>
      <c r="L159" s="20">
        <v>5</v>
      </c>
      <c r="M159" s="20">
        <v>6</v>
      </c>
      <c r="N159">
        <v>2</v>
      </c>
      <c r="O159">
        <v>4</v>
      </c>
    </row>
    <row r="160" spans="1:15" x14ac:dyDescent="0.25">
      <c r="A160">
        <v>315726210710</v>
      </c>
      <c r="B160" t="s">
        <v>3165</v>
      </c>
      <c r="C160" t="s">
        <v>2406</v>
      </c>
      <c r="D160">
        <v>900</v>
      </c>
      <c r="E160">
        <v>2100</v>
      </c>
      <c r="F160">
        <v>1050</v>
      </c>
      <c r="G160">
        <v>2120</v>
      </c>
      <c r="H160">
        <v>600</v>
      </c>
      <c r="I160" t="s">
        <v>3232</v>
      </c>
      <c r="J160" t="s">
        <v>3146</v>
      </c>
      <c r="K160" t="s">
        <v>3233</v>
      </c>
      <c r="L160" s="20">
        <v>5</v>
      </c>
      <c r="M160" s="20">
        <v>6</v>
      </c>
      <c r="N160">
        <v>2</v>
      </c>
      <c r="O160">
        <v>4</v>
      </c>
    </row>
    <row r="161" spans="1:15" x14ac:dyDescent="0.25">
      <c r="A161">
        <v>315726210809</v>
      </c>
      <c r="B161" t="s">
        <v>3166</v>
      </c>
      <c r="C161" t="s">
        <v>2400</v>
      </c>
      <c r="D161">
        <v>900</v>
      </c>
      <c r="E161">
        <v>2100</v>
      </c>
      <c r="F161">
        <v>1050</v>
      </c>
      <c r="G161">
        <v>2120</v>
      </c>
      <c r="H161">
        <v>600</v>
      </c>
      <c r="I161" t="s">
        <v>2649</v>
      </c>
      <c r="J161" t="s">
        <v>3199</v>
      </c>
      <c r="K161" t="s">
        <v>2462</v>
      </c>
      <c r="L161" s="20">
        <v>5</v>
      </c>
      <c r="M161" s="20">
        <v>6</v>
      </c>
      <c r="N161">
        <v>2</v>
      </c>
      <c r="O161">
        <v>4</v>
      </c>
    </row>
    <row r="162" spans="1:15" x14ac:dyDescent="0.25">
      <c r="A162">
        <v>315726210908</v>
      </c>
      <c r="B162" t="s">
        <v>3166</v>
      </c>
      <c r="C162" t="s">
        <v>2444</v>
      </c>
      <c r="D162">
        <v>900</v>
      </c>
      <c r="E162">
        <v>2100</v>
      </c>
      <c r="F162">
        <v>1050</v>
      </c>
      <c r="G162">
        <v>2120</v>
      </c>
      <c r="H162">
        <v>600</v>
      </c>
      <c r="I162" t="s">
        <v>2649</v>
      </c>
      <c r="J162" t="s">
        <v>3199</v>
      </c>
      <c r="K162" t="s">
        <v>2462</v>
      </c>
      <c r="L162" s="20">
        <v>5</v>
      </c>
      <c r="M162" s="20">
        <v>6</v>
      </c>
      <c r="N162">
        <v>2</v>
      </c>
      <c r="O162">
        <v>4</v>
      </c>
    </row>
    <row r="163" spans="1:15" x14ac:dyDescent="0.25">
      <c r="A163">
        <v>315726211103</v>
      </c>
      <c r="B163" t="s">
        <v>3166</v>
      </c>
      <c r="C163" t="s">
        <v>2448</v>
      </c>
      <c r="D163">
        <v>900</v>
      </c>
      <c r="E163">
        <v>2100</v>
      </c>
      <c r="F163">
        <v>1050</v>
      </c>
      <c r="G163">
        <v>2120</v>
      </c>
      <c r="H163">
        <v>600</v>
      </c>
      <c r="I163" t="s">
        <v>2649</v>
      </c>
      <c r="J163" t="s">
        <v>3199</v>
      </c>
      <c r="K163" t="s">
        <v>2462</v>
      </c>
      <c r="L163" s="20">
        <v>5</v>
      </c>
      <c r="M163" s="20">
        <v>6</v>
      </c>
      <c r="N163">
        <v>2</v>
      </c>
      <c r="O163">
        <v>4</v>
      </c>
    </row>
    <row r="164" spans="1:15" x14ac:dyDescent="0.25">
      <c r="A164">
        <v>315726211202</v>
      </c>
      <c r="B164" t="s">
        <v>3166</v>
      </c>
      <c r="C164" t="s">
        <v>2406</v>
      </c>
      <c r="D164">
        <v>900</v>
      </c>
      <c r="E164">
        <v>2100</v>
      </c>
      <c r="F164">
        <v>1050</v>
      </c>
      <c r="G164">
        <v>2120</v>
      </c>
      <c r="H164">
        <v>600</v>
      </c>
      <c r="I164" t="s">
        <v>2649</v>
      </c>
      <c r="J164" t="s">
        <v>3199</v>
      </c>
      <c r="K164" t="s">
        <v>2462</v>
      </c>
      <c r="L164" s="20">
        <v>5</v>
      </c>
      <c r="M164" s="20">
        <v>6</v>
      </c>
      <c r="N164">
        <v>2</v>
      </c>
      <c r="O164">
        <v>4</v>
      </c>
    </row>
    <row r="165" spans="1:15" x14ac:dyDescent="0.25">
      <c r="A165">
        <v>315726211301</v>
      </c>
      <c r="B165" t="s">
        <v>3167</v>
      </c>
      <c r="C165" t="s">
        <v>2400</v>
      </c>
      <c r="D165">
        <v>900</v>
      </c>
      <c r="E165">
        <v>2100</v>
      </c>
      <c r="F165">
        <v>1050</v>
      </c>
      <c r="G165">
        <v>2240</v>
      </c>
      <c r="H165">
        <v>720</v>
      </c>
      <c r="I165" t="s">
        <v>2667</v>
      </c>
      <c r="J165" t="s">
        <v>2636</v>
      </c>
      <c r="K165" t="s">
        <v>2465</v>
      </c>
      <c r="L165" s="20">
        <v>5</v>
      </c>
      <c r="M165" s="20">
        <v>6</v>
      </c>
      <c r="N165">
        <v>2</v>
      </c>
      <c r="O165">
        <v>4</v>
      </c>
    </row>
    <row r="166" spans="1:15" x14ac:dyDescent="0.25">
      <c r="A166">
        <v>315726211400</v>
      </c>
      <c r="B166" t="s">
        <v>3167</v>
      </c>
      <c r="C166" t="s">
        <v>2444</v>
      </c>
      <c r="D166">
        <v>900</v>
      </c>
      <c r="E166">
        <v>2100</v>
      </c>
      <c r="F166">
        <v>1050</v>
      </c>
      <c r="G166">
        <v>2240</v>
      </c>
      <c r="H166">
        <v>720</v>
      </c>
      <c r="I166" t="s">
        <v>2667</v>
      </c>
      <c r="J166" t="s">
        <v>2636</v>
      </c>
      <c r="K166" t="s">
        <v>2465</v>
      </c>
      <c r="L166" s="20">
        <v>5</v>
      </c>
      <c r="M166" s="20">
        <v>6</v>
      </c>
      <c r="N166">
        <v>2</v>
      </c>
      <c r="O166">
        <v>4</v>
      </c>
    </row>
    <row r="167" spans="1:15" x14ac:dyDescent="0.25">
      <c r="A167">
        <v>315726211510</v>
      </c>
      <c r="B167" t="s">
        <v>3167</v>
      </c>
      <c r="C167" t="s">
        <v>2448</v>
      </c>
      <c r="D167">
        <v>900</v>
      </c>
      <c r="E167">
        <v>2100</v>
      </c>
      <c r="F167">
        <v>1050</v>
      </c>
      <c r="G167">
        <v>2240</v>
      </c>
      <c r="H167">
        <v>720</v>
      </c>
      <c r="I167" t="s">
        <v>2667</v>
      </c>
      <c r="J167" t="s">
        <v>2636</v>
      </c>
      <c r="K167" t="s">
        <v>2465</v>
      </c>
      <c r="L167" s="20">
        <v>5</v>
      </c>
      <c r="M167" s="20">
        <v>6</v>
      </c>
      <c r="N167">
        <v>2</v>
      </c>
      <c r="O167">
        <v>4</v>
      </c>
    </row>
    <row r="168" spans="1:15" x14ac:dyDescent="0.25">
      <c r="A168">
        <v>315726211609</v>
      </c>
      <c r="B168" t="s">
        <v>3167</v>
      </c>
      <c r="C168" t="s">
        <v>2406</v>
      </c>
      <c r="D168">
        <v>900</v>
      </c>
      <c r="E168">
        <v>2100</v>
      </c>
      <c r="F168">
        <v>1050</v>
      </c>
      <c r="G168">
        <v>2240</v>
      </c>
      <c r="H168">
        <v>720</v>
      </c>
      <c r="I168" t="s">
        <v>2667</v>
      </c>
      <c r="J168" t="s">
        <v>2636</v>
      </c>
      <c r="K168" t="s">
        <v>2465</v>
      </c>
      <c r="L168" s="20">
        <v>5</v>
      </c>
      <c r="M168" s="20">
        <v>6</v>
      </c>
      <c r="N168">
        <v>2</v>
      </c>
      <c r="O168">
        <v>4</v>
      </c>
    </row>
    <row r="169" spans="1:15" x14ac:dyDescent="0.25">
      <c r="A169">
        <v>315911215409</v>
      </c>
      <c r="B169">
        <v>3</v>
      </c>
      <c r="C169" t="s">
        <v>2397</v>
      </c>
      <c r="D169">
        <v>600</v>
      </c>
      <c r="E169">
        <v>1260</v>
      </c>
      <c r="F169">
        <v>630</v>
      </c>
      <c r="G169">
        <v>660</v>
      </c>
      <c r="H169">
        <v>260</v>
      </c>
      <c r="I169" t="s">
        <v>2470</v>
      </c>
      <c r="J169" t="s">
        <v>2613</v>
      </c>
      <c r="K169" t="s">
        <v>2497</v>
      </c>
      <c r="L169">
        <v>1</v>
      </c>
      <c r="M169">
        <v>3</v>
      </c>
      <c r="N169">
        <v>1</v>
      </c>
      <c r="O169">
        <v>3</v>
      </c>
    </row>
    <row r="170" spans="1:15" x14ac:dyDescent="0.25">
      <c r="A170">
        <v>315911215508</v>
      </c>
      <c r="B170">
        <v>3</v>
      </c>
      <c r="C170" t="s">
        <v>2400</v>
      </c>
      <c r="D170">
        <v>600</v>
      </c>
      <c r="E170">
        <v>1260</v>
      </c>
      <c r="F170">
        <v>630</v>
      </c>
      <c r="G170">
        <v>660</v>
      </c>
      <c r="H170">
        <v>260</v>
      </c>
      <c r="I170" t="s">
        <v>2470</v>
      </c>
      <c r="J170" t="s">
        <v>2613</v>
      </c>
      <c r="K170" t="s">
        <v>2497</v>
      </c>
      <c r="L170">
        <v>1</v>
      </c>
      <c r="M170">
        <v>3</v>
      </c>
      <c r="N170">
        <v>1</v>
      </c>
      <c r="O170">
        <v>3</v>
      </c>
    </row>
    <row r="171" spans="1:15" x14ac:dyDescent="0.25">
      <c r="A171">
        <v>315911215607</v>
      </c>
      <c r="B171" t="s">
        <v>3170</v>
      </c>
      <c r="C171" t="s">
        <v>2397</v>
      </c>
      <c r="D171">
        <v>600</v>
      </c>
      <c r="E171">
        <v>1260</v>
      </c>
      <c r="F171">
        <v>630</v>
      </c>
      <c r="G171">
        <v>660</v>
      </c>
      <c r="H171">
        <v>260</v>
      </c>
      <c r="I171" t="s">
        <v>2470</v>
      </c>
      <c r="J171" t="s">
        <v>2613</v>
      </c>
      <c r="K171" t="s">
        <v>2505</v>
      </c>
      <c r="L171">
        <v>1</v>
      </c>
      <c r="M171">
        <v>3</v>
      </c>
      <c r="N171">
        <v>1</v>
      </c>
      <c r="O171">
        <v>3</v>
      </c>
    </row>
    <row r="172" spans="1:15" x14ac:dyDescent="0.25">
      <c r="A172">
        <v>315911215706</v>
      </c>
      <c r="B172" t="s">
        <v>3170</v>
      </c>
      <c r="C172" t="s">
        <v>2400</v>
      </c>
      <c r="D172">
        <v>600</v>
      </c>
      <c r="E172">
        <v>1460</v>
      </c>
      <c r="F172">
        <v>730</v>
      </c>
      <c r="G172">
        <v>660</v>
      </c>
      <c r="H172">
        <v>260</v>
      </c>
      <c r="I172" t="s">
        <v>2470</v>
      </c>
      <c r="J172" t="s">
        <v>2613</v>
      </c>
      <c r="K172" t="s">
        <v>2505</v>
      </c>
      <c r="L172">
        <v>1</v>
      </c>
      <c r="M172">
        <v>3</v>
      </c>
      <c r="N172">
        <v>1</v>
      </c>
      <c r="O172">
        <v>3</v>
      </c>
    </row>
    <row r="173" spans="1:15" x14ac:dyDescent="0.25">
      <c r="A173">
        <v>315911215805</v>
      </c>
      <c r="B173">
        <v>6</v>
      </c>
      <c r="C173" t="s">
        <v>2397</v>
      </c>
      <c r="D173">
        <v>600</v>
      </c>
      <c r="E173">
        <v>1460</v>
      </c>
      <c r="F173">
        <v>730</v>
      </c>
      <c r="G173">
        <v>660</v>
      </c>
      <c r="H173">
        <v>260</v>
      </c>
      <c r="I173" t="s">
        <v>2470</v>
      </c>
      <c r="J173" t="s">
        <v>2613</v>
      </c>
      <c r="K173" t="s">
        <v>2398</v>
      </c>
      <c r="L173">
        <v>1</v>
      </c>
      <c r="M173">
        <v>3</v>
      </c>
      <c r="N173">
        <v>1</v>
      </c>
      <c r="O173">
        <v>3</v>
      </c>
    </row>
    <row r="174" spans="1:15" x14ac:dyDescent="0.25">
      <c r="A174">
        <v>315911215904</v>
      </c>
      <c r="B174">
        <v>6</v>
      </c>
      <c r="C174" t="s">
        <v>2400</v>
      </c>
      <c r="D174">
        <v>600</v>
      </c>
      <c r="E174">
        <v>1460</v>
      </c>
      <c r="F174">
        <v>730</v>
      </c>
      <c r="G174">
        <v>660</v>
      </c>
      <c r="H174">
        <v>260</v>
      </c>
      <c r="I174" t="s">
        <v>2470</v>
      </c>
      <c r="J174" t="s">
        <v>2613</v>
      </c>
      <c r="K174" t="s">
        <v>2398</v>
      </c>
      <c r="L174">
        <v>1</v>
      </c>
      <c r="M174">
        <v>3</v>
      </c>
      <c r="N174">
        <v>1</v>
      </c>
      <c r="O174">
        <v>3</v>
      </c>
    </row>
    <row r="175" spans="1:15" x14ac:dyDescent="0.25">
      <c r="A175">
        <v>315911216110</v>
      </c>
      <c r="B175" t="s">
        <v>2804</v>
      </c>
      <c r="C175" t="s">
        <v>2397</v>
      </c>
      <c r="D175">
        <v>600</v>
      </c>
      <c r="E175">
        <v>1460</v>
      </c>
      <c r="F175">
        <v>730</v>
      </c>
      <c r="G175">
        <v>660</v>
      </c>
      <c r="H175">
        <v>260</v>
      </c>
      <c r="I175" t="s">
        <v>3179</v>
      </c>
      <c r="J175" t="s">
        <v>3234</v>
      </c>
      <c r="K175" t="s">
        <v>3235</v>
      </c>
      <c r="L175">
        <v>1</v>
      </c>
      <c r="M175">
        <v>3</v>
      </c>
      <c r="N175">
        <v>1</v>
      </c>
      <c r="O175">
        <v>3</v>
      </c>
    </row>
    <row r="176" spans="1:15" x14ac:dyDescent="0.25">
      <c r="A176">
        <v>315911216209</v>
      </c>
      <c r="B176" t="s">
        <v>2804</v>
      </c>
      <c r="C176" t="s">
        <v>2400</v>
      </c>
      <c r="D176">
        <v>600</v>
      </c>
      <c r="E176">
        <v>1460</v>
      </c>
      <c r="F176">
        <v>730</v>
      </c>
      <c r="G176">
        <v>660</v>
      </c>
      <c r="H176">
        <v>260</v>
      </c>
      <c r="I176" t="s">
        <v>3179</v>
      </c>
      <c r="J176" t="s">
        <v>3234</v>
      </c>
      <c r="K176" t="s">
        <v>3235</v>
      </c>
      <c r="L176">
        <v>1</v>
      </c>
      <c r="M176">
        <v>3</v>
      </c>
      <c r="N176">
        <v>1</v>
      </c>
      <c r="O176">
        <v>3</v>
      </c>
    </row>
    <row r="177" spans="1:15" x14ac:dyDescent="0.25">
      <c r="A177">
        <v>315911216308</v>
      </c>
      <c r="B177" t="s">
        <v>2804</v>
      </c>
      <c r="C177" t="s">
        <v>2444</v>
      </c>
      <c r="D177">
        <v>600</v>
      </c>
      <c r="E177">
        <v>1460</v>
      </c>
      <c r="F177">
        <v>730</v>
      </c>
      <c r="G177">
        <v>660</v>
      </c>
      <c r="H177">
        <v>260</v>
      </c>
      <c r="I177" t="s">
        <v>3179</v>
      </c>
      <c r="J177" t="s">
        <v>3234</v>
      </c>
      <c r="K177" t="s">
        <v>3235</v>
      </c>
      <c r="L177">
        <v>1</v>
      </c>
      <c r="M177">
        <v>3</v>
      </c>
      <c r="N177">
        <v>1</v>
      </c>
      <c r="O177">
        <v>3</v>
      </c>
    </row>
    <row r="178" spans="1:15" x14ac:dyDescent="0.25">
      <c r="A178">
        <v>315911216407</v>
      </c>
      <c r="B178">
        <v>9</v>
      </c>
      <c r="C178" t="s">
        <v>2400</v>
      </c>
      <c r="D178">
        <v>600</v>
      </c>
      <c r="E178">
        <v>1460</v>
      </c>
      <c r="F178">
        <v>730</v>
      </c>
      <c r="G178">
        <v>760</v>
      </c>
      <c r="H178">
        <v>360</v>
      </c>
      <c r="I178" t="s">
        <v>2487</v>
      </c>
      <c r="J178" t="s">
        <v>2458</v>
      </c>
      <c r="K178" t="s">
        <v>2499</v>
      </c>
      <c r="L178">
        <v>1</v>
      </c>
      <c r="M178">
        <v>3</v>
      </c>
      <c r="N178">
        <v>1</v>
      </c>
      <c r="O178">
        <v>3</v>
      </c>
    </row>
    <row r="179" spans="1:15" x14ac:dyDescent="0.25">
      <c r="A179">
        <v>315911216506</v>
      </c>
      <c r="B179">
        <v>9</v>
      </c>
      <c r="C179" t="s">
        <v>2444</v>
      </c>
      <c r="D179">
        <v>600</v>
      </c>
      <c r="E179">
        <v>1460</v>
      </c>
      <c r="F179">
        <v>730</v>
      </c>
      <c r="G179">
        <v>760</v>
      </c>
      <c r="H179">
        <v>360</v>
      </c>
      <c r="I179" t="s">
        <v>2487</v>
      </c>
      <c r="J179" t="s">
        <v>2458</v>
      </c>
      <c r="K179" t="s">
        <v>2499</v>
      </c>
      <c r="L179">
        <v>1</v>
      </c>
      <c r="M179">
        <v>3</v>
      </c>
      <c r="N179">
        <v>1</v>
      </c>
      <c r="O179">
        <v>3</v>
      </c>
    </row>
    <row r="180" spans="1:15" x14ac:dyDescent="0.25">
      <c r="A180">
        <v>315911216605</v>
      </c>
      <c r="B180">
        <v>9</v>
      </c>
      <c r="C180" t="s">
        <v>2448</v>
      </c>
      <c r="D180">
        <v>600</v>
      </c>
      <c r="E180">
        <v>1460</v>
      </c>
      <c r="F180">
        <v>730</v>
      </c>
      <c r="G180">
        <v>760</v>
      </c>
      <c r="H180">
        <v>360</v>
      </c>
      <c r="I180" t="s">
        <v>2487</v>
      </c>
      <c r="J180" t="s">
        <v>2458</v>
      </c>
      <c r="K180" t="s">
        <v>2499</v>
      </c>
      <c r="L180">
        <v>1</v>
      </c>
      <c r="M180">
        <v>3</v>
      </c>
      <c r="N180">
        <v>1</v>
      </c>
      <c r="O180">
        <v>3</v>
      </c>
    </row>
    <row r="181" spans="1:15" x14ac:dyDescent="0.25">
      <c r="A181">
        <v>315911315405</v>
      </c>
      <c r="B181">
        <v>3</v>
      </c>
      <c r="C181" t="s">
        <v>2397</v>
      </c>
      <c r="D181">
        <v>600</v>
      </c>
      <c r="E181">
        <v>1260</v>
      </c>
      <c r="F181">
        <v>630</v>
      </c>
      <c r="G181">
        <v>890</v>
      </c>
      <c r="H181">
        <v>280</v>
      </c>
      <c r="I181" t="s">
        <v>2478</v>
      </c>
      <c r="J181" t="s">
        <v>2473</v>
      </c>
      <c r="K181" t="s">
        <v>2520</v>
      </c>
      <c r="L181">
        <v>2</v>
      </c>
      <c r="M181">
        <v>3</v>
      </c>
      <c r="N181">
        <v>1</v>
      </c>
      <c r="O181">
        <v>3</v>
      </c>
    </row>
    <row r="182" spans="1:15" x14ac:dyDescent="0.25">
      <c r="A182">
        <v>315911315504</v>
      </c>
      <c r="B182">
        <v>3</v>
      </c>
      <c r="C182" t="s">
        <v>2400</v>
      </c>
      <c r="D182">
        <v>600</v>
      </c>
      <c r="E182">
        <v>1260</v>
      </c>
      <c r="F182">
        <v>630</v>
      </c>
      <c r="G182">
        <v>890</v>
      </c>
      <c r="H182">
        <v>280</v>
      </c>
      <c r="I182" t="s">
        <v>2478</v>
      </c>
      <c r="J182" t="s">
        <v>2473</v>
      </c>
      <c r="K182" t="s">
        <v>2520</v>
      </c>
      <c r="L182">
        <v>2</v>
      </c>
      <c r="M182">
        <v>3</v>
      </c>
      <c r="N182">
        <v>1</v>
      </c>
      <c r="O182">
        <v>3</v>
      </c>
    </row>
    <row r="183" spans="1:15" x14ac:dyDescent="0.25">
      <c r="A183">
        <v>315911315603</v>
      </c>
      <c r="B183" t="s">
        <v>3170</v>
      </c>
      <c r="C183" t="s">
        <v>2397</v>
      </c>
      <c r="D183">
        <v>600</v>
      </c>
      <c r="E183">
        <v>1260</v>
      </c>
      <c r="F183">
        <v>630</v>
      </c>
      <c r="G183">
        <v>890</v>
      </c>
      <c r="H183">
        <v>280</v>
      </c>
      <c r="I183" t="s">
        <v>2647</v>
      </c>
      <c r="J183" t="s">
        <v>2463</v>
      </c>
      <c r="K183" t="s">
        <v>2498</v>
      </c>
      <c r="L183">
        <v>2</v>
      </c>
      <c r="M183">
        <v>3</v>
      </c>
      <c r="N183">
        <v>1</v>
      </c>
      <c r="O183">
        <v>3</v>
      </c>
    </row>
    <row r="184" spans="1:15" x14ac:dyDescent="0.25">
      <c r="A184">
        <v>315911315702</v>
      </c>
      <c r="B184" t="s">
        <v>3170</v>
      </c>
      <c r="C184" t="s">
        <v>2400</v>
      </c>
      <c r="D184">
        <v>600</v>
      </c>
      <c r="E184">
        <v>1260</v>
      </c>
      <c r="F184">
        <v>630</v>
      </c>
      <c r="G184">
        <v>890</v>
      </c>
      <c r="H184">
        <v>280</v>
      </c>
      <c r="I184" t="s">
        <v>2647</v>
      </c>
      <c r="J184" t="s">
        <v>2463</v>
      </c>
      <c r="K184" t="s">
        <v>2498</v>
      </c>
      <c r="L184">
        <v>2</v>
      </c>
      <c r="M184">
        <v>3</v>
      </c>
      <c r="N184">
        <v>1</v>
      </c>
      <c r="O184">
        <v>3</v>
      </c>
    </row>
    <row r="185" spans="1:15" x14ac:dyDescent="0.25">
      <c r="A185">
        <v>315911315801</v>
      </c>
      <c r="B185">
        <v>6</v>
      </c>
      <c r="C185" t="s">
        <v>2397</v>
      </c>
      <c r="D185">
        <v>600</v>
      </c>
      <c r="E185">
        <v>1260</v>
      </c>
      <c r="F185">
        <v>630</v>
      </c>
      <c r="G185">
        <v>890</v>
      </c>
      <c r="H185">
        <v>280</v>
      </c>
      <c r="I185" t="s">
        <v>2688</v>
      </c>
      <c r="J185" t="s">
        <v>2461</v>
      </c>
      <c r="K185" t="s">
        <v>2499</v>
      </c>
      <c r="L185">
        <v>2</v>
      </c>
      <c r="M185">
        <v>3</v>
      </c>
      <c r="N185">
        <v>1</v>
      </c>
      <c r="O185">
        <v>3</v>
      </c>
    </row>
    <row r="186" spans="1:15" x14ac:dyDescent="0.25">
      <c r="A186">
        <v>315911315900</v>
      </c>
      <c r="B186">
        <v>6</v>
      </c>
      <c r="C186" t="s">
        <v>2400</v>
      </c>
      <c r="D186">
        <v>600</v>
      </c>
      <c r="E186">
        <v>1260</v>
      </c>
      <c r="F186">
        <v>630</v>
      </c>
      <c r="G186">
        <v>890</v>
      </c>
      <c r="H186">
        <v>280</v>
      </c>
      <c r="I186" t="s">
        <v>2688</v>
      </c>
      <c r="J186" t="s">
        <v>2461</v>
      </c>
      <c r="K186" t="s">
        <v>2499</v>
      </c>
      <c r="L186">
        <v>2</v>
      </c>
      <c r="M186">
        <v>3</v>
      </c>
      <c r="N186">
        <v>1</v>
      </c>
      <c r="O186">
        <v>3</v>
      </c>
    </row>
    <row r="187" spans="1:15" x14ac:dyDescent="0.25">
      <c r="A187">
        <v>315911316106</v>
      </c>
      <c r="B187" t="s">
        <v>2804</v>
      </c>
      <c r="C187" t="s">
        <v>2397</v>
      </c>
      <c r="D187">
        <v>600</v>
      </c>
      <c r="E187">
        <v>1460</v>
      </c>
      <c r="F187">
        <v>730</v>
      </c>
      <c r="G187">
        <v>970</v>
      </c>
      <c r="H187">
        <v>360</v>
      </c>
      <c r="I187" t="s">
        <v>3236</v>
      </c>
      <c r="J187" t="s">
        <v>3237</v>
      </c>
      <c r="K187" t="s">
        <v>2500</v>
      </c>
      <c r="L187">
        <v>2</v>
      </c>
      <c r="M187">
        <v>3</v>
      </c>
      <c r="N187">
        <v>1</v>
      </c>
      <c r="O187">
        <v>3</v>
      </c>
    </row>
    <row r="188" spans="1:15" x14ac:dyDescent="0.25">
      <c r="A188">
        <v>315911316205</v>
      </c>
      <c r="B188" t="s">
        <v>2804</v>
      </c>
      <c r="C188" t="s">
        <v>2400</v>
      </c>
      <c r="D188">
        <v>600</v>
      </c>
      <c r="E188">
        <v>1460</v>
      </c>
      <c r="F188">
        <v>730</v>
      </c>
      <c r="G188">
        <v>970</v>
      </c>
      <c r="H188">
        <v>360</v>
      </c>
      <c r="I188" t="s">
        <v>3236</v>
      </c>
      <c r="J188" t="s">
        <v>3237</v>
      </c>
      <c r="K188" t="s">
        <v>2500</v>
      </c>
      <c r="L188">
        <v>2</v>
      </c>
      <c r="M188">
        <v>3</v>
      </c>
      <c r="N188">
        <v>1</v>
      </c>
      <c r="O188">
        <v>3</v>
      </c>
    </row>
    <row r="189" spans="1:15" x14ac:dyDescent="0.25">
      <c r="A189">
        <v>315911316304</v>
      </c>
      <c r="B189" t="s">
        <v>2804</v>
      </c>
      <c r="C189" t="s">
        <v>2444</v>
      </c>
      <c r="D189">
        <v>600</v>
      </c>
      <c r="E189">
        <v>1460</v>
      </c>
      <c r="F189">
        <v>730</v>
      </c>
      <c r="G189">
        <v>970</v>
      </c>
      <c r="H189">
        <v>360</v>
      </c>
      <c r="I189" t="s">
        <v>3236</v>
      </c>
      <c r="J189" t="s">
        <v>3237</v>
      </c>
      <c r="K189" t="s">
        <v>2500</v>
      </c>
      <c r="L189">
        <v>2</v>
      </c>
      <c r="M189">
        <v>3</v>
      </c>
      <c r="N189">
        <v>1</v>
      </c>
      <c r="O189">
        <v>3</v>
      </c>
    </row>
    <row r="190" spans="1:15" x14ac:dyDescent="0.25">
      <c r="A190">
        <v>315911316403</v>
      </c>
      <c r="B190">
        <v>9</v>
      </c>
      <c r="C190" t="s">
        <v>2400</v>
      </c>
      <c r="D190">
        <v>600</v>
      </c>
      <c r="E190">
        <v>1460</v>
      </c>
      <c r="F190">
        <v>730</v>
      </c>
      <c r="G190">
        <v>970</v>
      </c>
      <c r="H190">
        <v>360</v>
      </c>
      <c r="I190" t="s">
        <v>2422</v>
      </c>
      <c r="J190" t="s">
        <v>2464</v>
      </c>
      <c r="K190" t="s">
        <v>3238</v>
      </c>
      <c r="L190">
        <v>2</v>
      </c>
      <c r="M190">
        <v>3</v>
      </c>
      <c r="N190">
        <v>1</v>
      </c>
      <c r="O190">
        <v>3</v>
      </c>
    </row>
    <row r="191" spans="1:15" x14ac:dyDescent="0.25">
      <c r="A191">
        <v>315911316502</v>
      </c>
      <c r="B191">
        <v>9</v>
      </c>
      <c r="C191" t="s">
        <v>2444</v>
      </c>
      <c r="D191">
        <v>600</v>
      </c>
      <c r="E191">
        <v>1460</v>
      </c>
      <c r="F191">
        <v>730</v>
      </c>
      <c r="G191">
        <v>970</v>
      </c>
      <c r="H191">
        <v>360</v>
      </c>
      <c r="I191" t="s">
        <v>2422</v>
      </c>
      <c r="J191" t="s">
        <v>2464</v>
      </c>
      <c r="K191" t="s">
        <v>3238</v>
      </c>
      <c r="L191">
        <v>2</v>
      </c>
      <c r="M191">
        <v>3</v>
      </c>
      <c r="N191">
        <v>1</v>
      </c>
      <c r="O191">
        <v>3</v>
      </c>
    </row>
    <row r="192" spans="1:15" x14ac:dyDescent="0.25">
      <c r="A192">
        <v>315911316601</v>
      </c>
      <c r="B192">
        <v>9</v>
      </c>
      <c r="C192" t="s">
        <v>2448</v>
      </c>
      <c r="D192">
        <v>600</v>
      </c>
      <c r="E192">
        <v>1460</v>
      </c>
      <c r="F192">
        <v>730</v>
      </c>
      <c r="G192">
        <v>970</v>
      </c>
      <c r="H192">
        <v>360</v>
      </c>
      <c r="I192" t="s">
        <v>2422</v>
      </c>
      <c r="J192" t="s">
        <v>2464</v>
      </c>
      <c r="K192" t="s">
        <v>3238</v>
      </c>
      <c r="L192">
        <v>2</v>
      </c>
      <c r="M192">
        <v>3</v>
      </c>
      <c r="N192">
        <v>1</v>
      </c>
      <c r="O192">
        <v>3</v>
      </c>
    </row>
    <row r="193" spans="1:15" x14ac:dyDescent="0.25">
      <c r="A193">
        <v>15911415401</v>
      </c>
      <c r="B193">
        <v>3</v>
      </c>
      <c r="C193" t="s">
        <v>2397</v>
      </c>
      <c r="D193">
        <v>600</v>
      </c>
      <c r="E193">
        <v>1260</v>
      </c>
      <c r="F193">
        <v>630</v>
      </c>
      <c r="G193">
        <v>930</v>
      </c>
      <c r="H193">
        <v>280</v>
      </c>
      <c r="I193" t="s">
        <v>2707</v>
      </c>
      <c r="J193" t="s">
        <v>3239</v>
      </c>
      <c r="K193" t="s">
        <v>3240</v>
      </c>
      <c r="L193" t="s">
        <v>2481</v>
      </c>
      <c r="M193">
        <v>3</v>
      </c>
      <c r="N193">
        <v>1</v>
      </c>
      <c r="O193">
        <v>3</v>
      </c>
    </row>
    <row r="194" spans="1:15" x14ac:dyDescent="0.25">
      <c r="A194">
        <v>315911415500</v>
      </c>
      <c r="B194">
        <v>3</v>
      </c>
      <c r="C194" t="s">
        <v>2400</v>
      </c>
      <c r="D194">
        <v>600</v>
      </c>
      <c r="E194">
        <v>1260</v>
      </c>
      <c r="F194">
        <v>630</v>
      </c>
      <c r="G194">
        <v>930</v>
      </c>
      <c r="H194">
        <v>280</v>
      </c>
      <c r="I194" t="s">
        <v>2707</v>
      </c>
      <c r="J194" t="s">
        <v>3239</v>
      </c>
      <c r="K194" t="s">
        <v>3240</v>
      </c>
      <c r="L194" t="s">
        <v>2481</v>
      </c>
      <c r="M194">
        <v>3</v>
      </c>
      <c r="N194">
        <v>1</v>
      </c>
      <c r="O194">
        <v>3</v>
      </c>
    </row>
    <row r="195" spans="1:15" x14ac:dyDescent="0.25">
      <c r="A195">
        <v>315911415610</v>
      </c>
      <c r="B195" t="s">
        <v>3170</v>
      </c>
      <c r="C195" t="s">
        <v>2397</v>
      </c>
      <c r="D195">
        <v>600</v>
      </c>
      <c r="E195">
        <v>1260</v>
      </c>
      <c r="F195">
        <v>630</v>
      </c>
      <c r="G195">
        <v>930</v>
      </c>
      <c r="H195">
        <v>280</v>
      </c>
      <c r="I195" t="s">
        <v>3241</v>
      </c>
      <c r="J195" t="s">
        <v>3242</v>
      </c>
      <c r="K195" t="s">
        <v>2443</v>
      </c>
      <c r="L195" t="s">
        <v>2481</v>
      </c>
      <c r="M195">
        <v>3</v>
      </c>
      <c r="N195">
        <v>1</v>
      </c>
      <c r="O195">
        <v>3</v>
      </c>
    </row>
    <row r="196" spans="1:15" x14ac:dyDescent="0.25">
      <c r="A196">
        <v>315911415709</v>
      </c>
      <c r="B196" t="s">
        <v>3170</v>
      </c>
      <c r="C196" t="s">
        <v>2400</v>
      </c>
      <c r="D196">
        <v>600</v>
      </c>
      <c r="E196">
        <v>1260</v>
      </c>
      <c r="F196">
        <v>630</v>
      </c>
      <c r="G196">
        <v>930</v>
      </c>
      <c r="H196">
        <v>280</v>
      </c>
      <c r="I196" t="s">
        <v>3241</v>
      </c>
      <c r="J196" t="s">
        <v>3242</v>
      </c>
      <c r="K196" t="s">
        <v>2443</v>
      </c>
      <c r="L196" t="s">
        <v>2481</v>
      </c>
      <c r="M196">
        <v>3</v>
      </c>
      <c r="N196">
        <v>1</v>
      </c>
      <c r="O196">
        <v>3</v>
      </c>
    </row>
    <row r="197" spans="1:15" x14ac:dyDescent="0.25">
      <c r="A197">
        <v>315911415808</v>
      </c>
      <c r="B197">
        <v>6</v>
      </c>
      <c r="C197" t="s">
        <v>2397</v>
      </c>
      <c r="D197">
        <v>600</v>
      </c>
      <c r="E197">
        <v>1460</v>
      </c>
      <c r="F197">
        <v>730</v>
      </c>
      <c r="G197">
        <v>930</v>
      </c>
      <c r="H197">
        <v>280</v>
      </c>
      <c r="I197" t="s">
        <v>3241</v>
      </c>
      <c r="J197" t="s">
        <v>3242</v>
      </c>
      <c r="K197" t="s">
        <v>2503</v>
      </c>
      <c r="L197" t="s">
        <v>2481</v>
      </c>
      <c r="M197">
        <v>3</v>
      </c>
      <c r="N197">
        <v>1</v>
      </c>
      <c r="O197">
        <v>3</v>
      </c>
    </row>
    <row r="198" spans="1:15" x14ac:dyDescent="0.25">
      <c r="A198">
        <v>315911415907</v>
      </c>
      <c r="B198">
        <v>6</v>
      </c>
      <c r="C198" t="s">
        <v>2400</v>
      </c>
      <c r="D198">
        <v>600</v>
      </c>
      <c r="E198">
        <v>1460</v>
      </c>
      <c r="F198">
        <v>730</v>
      </c>
      <c r="G198">
        <v>930</v>
      </c>
      <c r="H198">
        <v>280</v>
      </c>
      <c r="I198" t="s">
        <v>3241</v>
      </c>
      <c r="J198" t="s">
        <v>3242</v>
      </c>
      <c r="K198" t="s">
        <v>2503</v>
      </c>
      <c r="L198" t="s">
        <v>2481</v>
      </c>
      <c r="M198">
        <v>3</v>
      </c>
      <c r="N198">
        <v>1</v>
      </c>
      <c r="O198">
        <v>3</v>
      </c>
    </row>
    <row r="199" spans="1:15" x14ac:dyDescent="0.25">
      <c r="A199">
        <v>315911416102</v>
      </c>
      <c r="B199" t="s">
        <v>2804</v>
      </c>
      <c r="C199" t="s">
        <v>2397</v>
      </c>
      <c r="D199">
        <v>600</v>
      </c>
      <c r="E199">
        <v>1460</v>
      </c>
      <c r="F199">
        <v>730</v>
      </c>
      <c r="G199">
        <v>1050</v>
      </c>
      <c r="H199">
        <v>400</v>
      </c>
      <c r="I199" t="s">
        <v>2707</v>
      </c>
      <c r="J199" t="s">
        <v>3239</v>
      </c>
      <c r="K199" t="s">
        <v>2517</v>
      </c>
      <c r="L199" t="s">
        <v>2481</v>
      </c>
      <c r="M199">
        <v>3</v>
      </c>
      <c r="N199">
        <v>1</v>
      </c>
      <c r="O199">
        <v>3</v>
      </c>
    </row>
    <row r="200" spans="1:15" x14ac:dyDescent="0.25">
      <c r="A200">
        <v>315911416201</v>
      </c>
      <c r="B200" t="s">
        <v>2804</v>
      </c>
      <c r="C200" t="s">
        <v>2400</v>
      </c>
      <c r="D200">
        <v>600</v>
      </c>
      <c r="E200">
        <v>1460</v>
      </c>
      <c r="F200">
        <v>730</v>
      </c>
      <c r="G200">
        <v>1050</v>
      </c>
      <c r="H200">
        <v>400</v>
      </c>
      <c r="I200" t="s">
        <v>2707</v>
      </c>
      <c r="J200" t="s">
        <v>3239</v>
      </c>
      <c r="K200" t="s">
        <v>2517</v>
      </c>
      <c r="L200" t="s">
        <v>2481</v>
      </c>
      <c r="M200">
        <v>3</v>
      </c>
      <c r="N200">
        <v>1</v>
      </c>
      <c r="O200">
        <v>3</v>
      </c>
    </row>
    <row r="201" spans="1:15" x14ac:dyDescent="0.25">
      <c r="A201">
        <v>315911416300</v>
      </c>
      <c r="B201" t="s">
        <v>2804</v>
      </c>
      <c r="C201" t="s">
        <v>2444</v>
      </c>
      <c r="D201">
        <v>600</v>
      </c>
      <c r="E201">
        <v>1460</v>
      </c>
      <c r="F201">
        <v>730</v>
      </c>
      <c r="G201">
        <v>1050</v>
      </c>
      <c r="H201">
        <v>400</v>
      </c>
      <c r="I201" t="s">
        <v>2707</v>
      </c>
      <c r="J201" t="s">
        <v>3239</v>
      </c>
      <c r="K201" t="s">
        <v>2517</v>
      </c>
      <c r="L201" t="s">
        <v>2481</v>
      </c>
      <c r="M201">
        <v>3</v>
      </c>
      <c r="N201">
        <v>1</v>
      </c>
      <c r="O201">
        <v>3</v>
      </c>
    </row>
    <row r="202" spans="1:15" x14ac:dyDescent="0.25">
      <c r="A202">
        <v>315911416410</v>
      </c>
      <c r="B202">
        <v>9</v>
      </c>
      <c r="C202" t="s">
        <v>2400</v>
      </c>
      <c r="D202">
        <v>600</v>
      </c>
      <c r="E202">
        <v>1460</v>
      </c>
      <c r="F202">
        <v>730</v>
      </c>
      <c r="G202">
        <v>1050</v>
      </c>
      <c r="H202">
        <v>400</v>
      </c>
      <c r="I202" t="s">
        <v>2812</v>
      </c>
      <c r="J202" t="s">
        <v>3187</v>
      </c>
      <c r="K202" t="s">
        <v>2524</v>
      </c>
      <c r="L202" t="s">
        <v>2481</v>
      </c>
      <c r="M202">
        <v>3</v>
      </c>
      <c r="N202">
        <v>1</v>
      </c>
      <c r="O202">
        <v>3</v>
      </c>
    </row>
    <row r="203" spans="1:15" x14ac:dyDescent="0.25">
      <c r="A203">
        <v>315911416509</v>
      </c>
      <c r="B203">
        <v>9</v>
      </c>
      <c r="C203" t="s">
        <v>2444</v>
      </c>
      <c r="D203">
        <v>600</v>
      </c>
      <c r="E203">
        <v>1460</v>
      </c>
      <c r="F203">
        <v>730</v>
      </c>
      <c r="G203">
        <v>1050</v>
      </c>
      <c r="H203">
        <v>400</v>
      </c>
      <c r="I203" t="s">
        <v>2812</v>
      </c>
      <c r="J203" t="s">
        <v>3187</v>
      </c>
      <c r="K203" t="s">
        <v>2524</v>
      </c>
      <c r="L203" t="s">
        <v>2481</v>
      </c>
      <c r="M203">
        <v>3</v>
      </c>
      <c r="N203">
        <v>1</v>
      </c>
      <c r="O203">
        <v>3</v>
      </c>
    </row>
    <row r="204" spans="1:15" x14ac:dyDescent="0.25">
      <c r="A204">
        <v>315911416608</v>
      </c>
      <c r="B204">
        <v>9</v>
      </c>
      <c r="C204" t="s">
        <v>2448</v>
      </c>
      <c r="D204">
        <v>600</v>
      </c>
      <c r="E204">
        <v>1460</v>
      </c>
      <c r="F204">
        <v>730</v>
      </c>
      <c r="G204">
        <v>1050</v>
      </c>
      <c r="H204">
        <v>400</v>
      </c>
      <c r="I204" t="s">
        <v>2812</v>
      </c>
      <c r="J204" t="s">
        <v>3187</v>
      </c>
      <c r="K204" t="s">
        <v>2524</v>
      </c>
      <c r="L204" t="s">
        <v>2481</v>
      </c>
      <c r="M204">
        <v>3</v>
      </c>
      <c r="N204">
        <v>1</v>
      </c>
      <c r="O204">
        <v>3</v>
      </c>
    </row>
    <row r="205" spans="1:15" x14ac:dyDescent="0.25">
      <c r="A205">
        <v>315911515210</v>
      </c>
      <c r="B205">
        <v>3</v>
      </c>
      <c r="C205" t="s">
        <v>2397</v>
      </c>
      <c r="D205">
        <v>1050</v>
      </c>
      <c r="E205">
        <v>1860</v>
      </c>
      <c r="F205">
        <v>960</v>
      </c>
      <c r="G205">
        <v>1100</v>
      </c>
      <c r="H205">
        <v>340</v>
      </c>
      <c r="I205" t="s">
        <v>3243</v>
      </c>
      <c r="J205" t="s">
        <v>3244</v>
      </c>
      <c r="K205" t="s">
        <v>3176</v>
      </c>
      <c r="L205">
        <v>5</v>
      </c>
      <c r="M205">
        <v>3</v>
      </c>
      <c r="N205">
        <v>1</v>
      </c>
      <c r="O205">
        <v>3</v>
      </c>
    </row>
    <row r="206" spans="1:15" x14ac:dyDescent="0.25">
      <c r="A206">
        <v>315911515309</v>
      </c>
      <c r="B206">
        <v>3</v>
      </c>
      <c r="C206" t="s">
        <v>2400</v>
      </c>
      <c r="D206">
        <v>1050</v>
      </c>
      <c r="E206">
        <v>1860</v>
      </c>
      <c r="F206">
        <v>960</v>
      </c>
      <c r="G206">
        <v>1100</v>
      </c>
      <c r="H206">
        <v>340</v>
      </c>
      <c r="I206" t="s">
        <v>3243</v>
      </c>
      <c r="J206" t="s">
        <v>3244</v>
      </c>
      <c r="K206" t="s">
        <v>3176</v>
      </c>
      <c r="L206">
        <v>5</v>
      </c>
      <c r="M206">
        <v>3</v>
      </c>
      <c r="N206">
        <v>1</v>
      </c>
      <c r="O206">
        <v>3</v>
      </c>
    </row>
    <row r="207" spans="1:15" x14ac:dyDescent="0.25">
      <c r="A207">
        <v>315911515408</v>
      </c>
      <c r="B207" t="s">
        <v>3170</v>
      </c>
      <c r="C207" t="s">
        <v>2397</v>
      </c>
      <c r="D207">
        <v>1050</v>
      </c>
      <c r="E207">
        <v>1860</v>
      </c>
      <c r="F207">
        <v>960</v>
      </c>
      <c r="G207">
        <v>1100</v>
      </c>
      <c r="H207">
        <v>340</v>
      </c>
      <c r="I207" t="s">
        <v>3245</v>
      </c>
      <c r="J207" t="s">
        <v>3246</v>
      </c>
      <c r="K207" t="s">
        <v>2521</v>
      </c>
      <c r="L207">
        <v>5</v>
      </c>
      <c r="M207">
        <v>3</v>
      </c>
      <c r="N207">
        <v>1</v>
      </c>
      <c r="O207">
        <v>3</v>
      </c>
    </row>
    <row r="208" spans="1:15" x14ac:dyDescent="0.25">
      <c r="A208">
        <v>315911515507</v>
      </c>
      <c r="B208" t="s">
        <v>3170</v>
      </c>
      <c r="C208" t="s">
        <v>2400</v>
      </c>
      <c r="D208">
        <v>1050</v>
      </c>
      <c r="E208">
        <v>1860</v>
      </c>
      <c r="F208">
        <v>960</v>
      </c>
      <c r="G208">
        <v>1100</v>
      </c>
      <c r="H208">
        <v>340</v>
      </c>
      <c r="I208" t="s">
        <v>3245</v>
      </c>
      <c r="J208" t="s">
        <v>3246</v>
      </c>
      <c r="K208" t="s">
        <v>2521</v>
      </c>
      <c r="L208">
        <v>5</v>
      </c>
      <c r="M208">
        <v>3</v>
      </c>
      <c r="N208">
        <v>1</v>
      </c>
      <c r="O208">
        <v>3</v>
      </c>
    </row>
    <row r="209" spans="1:15" x14ac:dyDescent="0.25">
      <c r="A209">
        <v>315911515606</v>
      </c>
      <c r="B209">
        <v>6</v>
      </c>
      <c r="C209" t="s">
        <v>2397</v>
      </c>
      <c r="D209">
        <v>1050</v>
      </c>
      <c r="E209">
        <v>2100</v>
      </c>
      <c r="F209">
        <v>1080</v>
      </c>
      <c r="G209">
        <v>1100</v>
      </c>
      <c r="H209">
        <v>340</v>
      </c>
      <c r="I209" t="s">
        <v>3247</v>
      </c>
      <c r="J209" t="s">
        <v>3248</v>
      </c>
      <c r="K209" t="s">
        <v>2444</v>
      </c>
      <c r="L209">
        <v>5</v>
      </c>
      <c r="M209">
        <v>3</v>
      </c>
      <c r="N209">
        <v>1</v>
      </c>
      <c r="O209">
        <v>3</v>
      </c>
    </row>
    <row r="210" spans="1:15" x14ac:dyDescent="0.25">
      <c r="A210">
        <v>315911515705</v>
      </c>
      <c r="B210">
        <v>6</v>
      </c>
      <c r="C210" t="s">
        <v>2400</v>
      </c>
      <c r="D210">
        <v>1050</v>
      </c>
      <c r="E210">
        <v>2100</v>
      </c>
      <c r="F210">
        <v>1080</v>
      </c>
      <c r="G210">
        <v>1100</v>
      </c>
      <c r="H210">
        <v>340</v>
      </c>
      <c r="I210" t="s">
        <v>3247</v>
      </c>
      <c r="J210" t="s">
        <v>3248</v>
      </c>
      <c r="K210" t="s">
        <v>2444</v>
      </c>
      <c r="L210">
        <v>5</v>
      </c>
      <c r="M210">
        <v>3</v>
      </c>
      <c r="N210">
        <v>1</v>
      </c>
      <c r="O210">
        <v>3</v>
      </c>
    </row>
    <row r="211" spans="1:15" x14ac:dyDescent="0.25">
      <c r="A211">
        <v>315911515804</v>
      </c>
      <c r="B211" t="s">
        <v>2804</v>
      </c>
      <c r="C211" t="s">
        <v>2397</v>
      </c>
      <c r="D211">
        <v>1050</v>
      </c>
      <c r="E211">
        <v>2100</v>
      </c>
      <c r="F211">
        <v>1080</v>
      </c>
      <c r="G211">
        <v>1220</v>
      </c>
      <c r="H211">
        <v>460</v>
      </c>
      <c r="I211" t="s">
        <v>3249</v>
      </c>
      <c r="J211" t="s">
        <v>3250</v>
      </c>
      <c r="K211" t="s">
        <v>3251</v>
      </c>
      <c r="L211">
        <v>5</v>
      </c>
      <c r="M211">
        <v>3</v>
      </c>
      <c r="N211">
        <v>1</v>
      </c>
      <c r="O211">
        <v>3</v>
      </c>
    </row>
    <row r="212" spans="1:15" x14ac:dyDescent="0.25">
      <c r="A212">
        <v>315911515903</v>
      </c>
      <c r="B212" t="s">
        <v>2804</v>
      </c>
      <c r="C212" t="s">
        <v>2400</v>
      </c>
      <c r="D212">
        <v>1050</v>
      </c>
      <c r="E212">
        <v>2100</v>
      </c>
      <c r="F212">
        <v>1080</v>
      </c>
      <c r="G212">
        <v>1220</v>
      </c>
      <c r="H212">
        <v>460</v>
      </c>
      <c r="I212" t="s">
        <v>3249</v>
      </c>
      <c r="J212" t="s">
        <v>3250</v>
      </c>
      <c r="K212" t="s">
        <v>3251</v>
      </c>
      <c r="L212">
        <v>5</v>
      </c>
      <c r="M212">
        <v>3</v>
      </c>
      <c r="N212">
        <v>1</v>
      </c>
      <c r="O212">
        <v>3</v>
      </c>
    </row>
    <row r="213" spans="1:15" x14ac:dyDescent="0.25">
      <c r="A213">
        <v>315911516109</v>
      </c>
      <c r="B213" t="s">
        <v>2804</v>
      </c>
      <c r="C213" t="s">
        <v>2444</v>
      </c>
      <c r="D213">
        <v>1050</v>
      </c>
      <c r="E213">
        <v>2100</v>
      </c>
      <c r="F213">
        <v>1080</v>
      </c>
      <c r="G213">
        <v>1220</v>
      </c>
      <c r="H213">
        <v>460</v>
      </c>
      <c r="I213" t="s">
        <v>3249</v>
      </c>
      <c r="J213" t="s">
        <v>3250</v>
      </c>
      <c r="K213" t="s">
        <v>3251</v>
      </c>
      <c r="L213">
        <v>5</v>
      </c>
      <c r="M213">
        <v>3</v>
      </c>
      <c r="N213">
        <v>1</v>
      </c>
      <c r="O213">
        <v>3</v>
      </c>
    </row>
    <row r="214" spans="1:15" x14ac:dyDescent="0.25">
      <c r="A214">
        <v>315911516208</v>
      </c>
      <c r="B214">
        <v>9</v>
      </c>
      <c r="C214" t="s">
        <v>2400</v>
      </c>
      <c r="D214">
        <v>1050</v>
      </c>
      <c r="E214">
        <v>2100</v>
      </c>
      <c r="F214">
        <v>1080</v>
      </c>
      <c r="G214">
        <v>1280</v>
      </c>
      <c r="H214">
        <v>520</v>
      </c>
      <c r="I214" t="s">
        <v>3252</v>
      </c>
      <c r="J214" t="s">
        <v>3253</v>
      </c>
      <c r="K214" t="s">
        <v>3180</v>
      </c>
      <c r="L214">
        <v>5</v>
      </c>
      <c r="M214">
        <v>3</v>
      </c>
      <c r="N214">
        <v>1</v>
      </c>
      <c r="O214">
        <v>3</v>
      </c>
    </row>
    <row r="215" spans="1:15" x14ac:dyDescent="0.25">
      <c r="A215">
        <v>315911516307</v>
      </c>
      <c r="B215">
        <v>9</v>
      </c>
      <c r="C215" t="s">
        <v>2444</v>
      </c>
      <c r="D215">
        <v>1050</v>
      </c>
      <c r="E215">
        <v>2100</v>
      </c>
      <c r="F215">
        <v>1080</v>
      </c>
      <c r="G215">
        <v>1280</v>
      </c>
      <c r="H215">
        <v>520</v>
      </c>
      <c r="I215" t="s">
        <v>3252</v>
      </c>
      <c r="J215" t="s">
        <v>3253</v>
      </c>
      <c r="K215" t="s">
        <v>3180</v>
      </c>
      <c r="L215">
        <v>5</v>
      </c>
      <c r="M215">
        <v>3</v>
      </c>
      <c r="N215">
        <v>1</v>
      </c>
      <c r="O215">
        <v>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6CE7-1840-4A62-9A3F-106DAC7A5F46}">
  <sheetPr codeName="Лист28"/>
  <dimension ref="A1:H137"/>
  <sheetViews>
    <sheetView zoomScale="160" zoomScaleNormal="160" workbookViewId="0">
      <selection activeCell="O12" sqref="O12"/>
    </sheetView>
  </sheetViews>
  <sheetFormatPr defaultRowHeight="15" x14ac:dyDescent="0.25"/>
  <sheetData>
    <row r="1" spans="1:7" x14ac:dyDescent="0.2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7" x14ac:dyDescent="0.25">
      <c r="A2">
        <v>20</v>
      </c>
      <c r="B2" t="s">
        <v>3280</v>
      </c>
      <c r="C2">
        <v>2</v>
      </c>
      <c r="D2" t="s">
        <v>3278</v>
      </c>
      <c r="E2">
        <v>2</v>
      </c>
      <c r="F2">
        <v>38</v>
      </c>
      <c r="G2" t="s">
        <v>3283</v>
      </c>
    </row>
    <row r="3" spans="1:7" x14ac:dyDescent="0.25">
      <c r="A3">
        <v>20</v>
      </c>
      <c r="B3" t="s">
        <v>3280</v>
      </c>
      <c r="C3" t="s">
        <v>2481</v>
      </c>
      <c r="D3" t="s">
        <v>3278</v>
      </c>
      <c r="E3" t="s">
        <v>2481</v>
      </c>
      <c r="F3">
        <v>38</v>
      </c>
      <c r="G3" t="s">
        <v>3286</v>
      </c>
    </row>
    <row r="4" spans="1:7" x14ac:dyDescent="0.25">
      <c r="A4">
        <v>20</v>
      </c>
      <c r="B4" t="s">
        <v>3280</v>
      </c>
      <c r="C4">
        <v>4</v>
      </c>
      <c r="D4" t="s">
        <v>3278</v>
      </c>
      <c r="E4">
        <v>4</v>
      </c>
      <c r="F4">
        <v>38</v>
      </c>
      <c r="G4" t="s">
        <v>3285</v>
      </c>
    </row>
    <row r="5" spans="1:7" x14ac:dyDescent="0.25">
      <c r="A5">
        <v>25</v>
      </c>
      <c r="B5" t="s">
        <v>3282</v>
      </c>
      <c r="C5" t="s">
        <v>2451</v>
      </c>
      <c r="D5" t="s">
        <v>3278</v>
      </c>
      <c r="E5">
        <v>2</v>
      </c>
      <c r="F5">
        <v>38</v>
      </c>
      <c r="G5" t="s">
        <v>3285</v>
      </c>
    </row>
    <row r="6" spans="1:7" x14ac:dyDescent="0.25">
      <c r="A6">
        <v>25</v>
      </c>
      <c r="B6" t="s">
        <v>3282</v>
      </c>
      <c r="C6" t="s">
        <v>2481</v>
      </c>
      <c r="D6" t="s">
        <v>3278</v>
      </c>
      <c r="E6" t="s">
        <v>2481</v>
      </c>
      <c r="F6">
        <v>38</v>
      </c>
      <c r="G6" t="s">
        <v>3287</v>
      </c>
    </row>
    <row r="7" spans="1:7" x14ac:dyDescent="0.25">
      <c r="A7">
        <v>25</v>
      </c>
      <c r="B7" t="s">
        <v>3282</v>
      </c>
      <c r="C7" t="s">
        <v>2410</v>
      </c>
      <c r="D7" t="s">
        <v>3278</v>
      </c>
      <c r="E7">
        <v>4</v>
      </c>
      <c r="F7">
        <v>38</v>
      </c>
      <c r="G7" t="s">
        <v>3288</v>
      </c>
    </row>
    <row r="8" spans="1:7" x14ac:dyDescent="0.25">
      <c r="A8">
        <v>25</v>
      </c>
      <c r="B8" t="s">
        <v>3282</v>
      </c>
      <c r="C8" t="s">
        <v>2451</v>
      </c>
      <c r="D8" t="s">
        <v>3280</v>
      </c>
      <c r="E8">
        <v>2</v>
      </c>
      <c r="F8">
        <v>51</v>
      </c>
      <c r="G8" t="s">
        <v>3285</v>
      </c>
    </row>
    <row r="9" spans="1:7" ht="15" customHeight="1" x14ac:dyDescent="0.25">
      <c r="A9">
        <v>25</v>
      </c>
      <c r="B9" t="s">
        <v>3282</v>
      </c>
      <c r="C9" t="s">
        <v>2481</v>
      </c>
      <c r="D9" t="s">
        <v>3280</v>
      </c>
      <c r="E9" t="s">
        <v>2481</v>
      </c>
      <c r="F9">
        <v>51</v>
      </c>
      <c r="G9" t="s">
        <v>3289</v>
      </c>
    </row>
    <row r="10" spans="1:7" ht="15" customHeight="1" x14ac:dyDescent="0.25">
      <c r="A10">
        <v>25</v>
      </c>
      <c r="B10" t="s">
        <v>3282</v>
      </c>
      <c r="C10" t="s">
        <v>2410</v>
      </c>
      <c r="D10" t="s">
        <v>3280</v>
      </c>
      <c r="E10">
        <v>4</v>
      </c>
      <c r="F10">
        <v>51</v>
      </c>
      <c r="G10" t="s">
        <v>3281</v>
      </c>
    </row>
    <row r="11" spans="1:7" x14ac:dyDescent="0.25">
      <c r="A11">
        <v>32</v>
      </c>
      <c r="B11" t="s">
        <v>3202</v>
      </c>
      <c r="C11" t="s">
        <v>2453</v>
      </c>
      <c r="D11" t="s">
        <v>3278</v>
      </c>
      <c r="E11">
        <v>2</v>
      </c>
      <c r="F11">
        <v>51</v>
      </c>
      <c r="G11" t="s">
        <v>3290</v>
      </c>
    </row>
    <row r="12" spans="1:7" x14ac:dyDescent="0.25">
      <c r="A12">
        <v>32</v>
      </c>
      <c r="B12" t="s">
        <v>3202</v>
      </c>
      <c r="C12" t="s">
        <v>2458</v>
      </c>
      <c r="D12" t="s">
        <v>3278</v>
      </c>
      <c r="E12" t="s">
        <v>2481</v>
      </c>
      <c r="F12">
        <v>51</v>
      </c>
      <c r="G12" t="s">
        <v>3291</v>
      </c>
    </row>
    <row r="13" spans="1:7" x14ac:dyDescent="0.25">
      <c r="A13">
        <v>32</v>
      </c>
      <c r="B13" t="s">
        <v>3202</v>
      </c>
      <c r="C13">
        <v>5</v>
      </c>
      <c r="D13" t="s">
        <v>3278</v>
      </c>
      <c r="E13">
        <v>4</v>
      </c>
      <c r="F13">
        <v>51</v>
      </c>
      <c r="G13" t="s">
        <v>3292</v>
      </c>
    </row>
    <row r="14" spans="1:7" x14ac:dyDescent="0.25">
      <c r="A14">
        <v>32</v>
      </c>
      <c r="B14" t="s">
        <v>3202</v>
      </c>
      <c r="C14" t="s">
        <v>2453</v>
      </c>
      <c r="D14" t="s">
        <v>3278</v>
      </c>
      <c r="E14">
        <v>2</v>
      </c>
      <c r="F14">
        <v>51</v>
      </c>
      <c r="G14" t="s">
        <v>3290</v>
      </c>
    </row>
    <row r="15" spans="1:7" x14ac:dyDescent="0.25">
      <c r="A15">
        <v>32</v>
      </c>
      <c r="B15" t="s">
        <v>3202</v>
      </c>
      <c r="C15" t="s">
        <v>2458</v>
      </c>
      <c r="D15" t="s">
        <v>3280</v>
      </c>
      <c r="E15" t="s">
        <v>2481</v>
      </c>
      <c r="F15">
        <v>51</v>
      </c>
      <c r="G15" t="s">
        <v>3291</v>
      </c>
    </row>
    <row r="16" spans="1:7" x14ac:dyDescent="0.25">
      <c r="A16">
        <v>32</v>
      </c>
      <c r="B16" t="s">
        <v>3202</v>
      </c>
      <c r="C16">
        <v>5</v>
      </c>
      <c r="D16" t="s">
        <v>3280</v>
      </c>
      <c r="E16">
        <v>4</v>
      </c>
      <c r="F16">
        <v>51</v>
      </c>
      <c r="G16" t="s">
        <v>3292</v>
      </c>
    </row>
    <row r="17" spans="1:7" x14ac:dyDescent="0.25">
      <c r="A17">
        <v>32</v>
      </c>
      <c r="B17" t="s">
        <v>3202</v>
      </c>
      <c r="C17" t="s">
        <v>2453</v>
      </c>
      <c r="D17" t="s">
        <v>3280</v>
      </c>
      <c r="E17" t="s">
        <v>2451</v>
      </c>
      <c r="F17">
        <v>51</v>
      </c>
      <c r="G17" t="s">
        <v>3290</v>
      </c>
    </row>
    <row r="18" spans="1:7" x14ac:dyDescent="0.25">
      <c r="A18">
        <v>32</v>
      </c>
      <c r="B18" t="s">
        <v>3202</v>
      </c>
      <c r="C18" t="s">
        <v>2458</v>
      </c>
      <c r="D18" t="s">
        <v>3282</v>
      </c>
      <c r="E18" t="s">
        <v>2481</v>
      </c>
      <c r="F18">
        <v>51</v>
      </c>
      <c r="G18" t="s">
        <v>3291</v>
      </c>
    </row>
    <row r="19" spans="1:7" x14ac:dyDescent="0.25">
      <c r="A19">
        <v>32</v>
      </c>
      <c r="B19" t="s">
        <v>3202</v>
      </c>
      <c r="C19">
        <v>5</v>
      </c>
      <c r="D19" t="s">
        <v>3282</v>
      </c>
      <c r="E19" t="s">
        <v>2410</v>
      </c>
      <c r="F19">
        <v>51</v>
      </c>
      <c r="G19" t="s">
        <v>3292</v>
      </c>
    </row>
    <row r="20" spans="1:7" x14ac:dyDescent="0.25">
      <c r="A20">
        <v>40</v>
      </c>
      <c r="B20" t="s">
        <v>3293</v>
      </c>
      <c r="C20" t="s">
        <v>2453</v>
      </c>
      <c r="D20" t="s">
        <v>3282</v>
      </c>
      <c r="E20">
        <v>2</v>
      </c>
      <c r="F20">
        <v>64</v>
      </c>
      <c r="G20" t="s">
        <v>3294</v>
      </c>
    </row>
    <row r="21" spans="1:7" x14ac:dyDescent="0.25">
      <c r="A21">
        <v>40</v>
      </c>
      <c r="B21" t="s">
        <v>3293</v>
      </c>
      <c r="C21" t="s">
        <v>2458</v>
      </c>
      <c r="D21" t="s">
        <v>3280</v>
      </c>
      <c r="E21" t="s">
        <v>2481</v>
      </c>
      <c r="F21">
        <v>64</v>
      </c>
      <c r="G21" t="s">
        <v>2496</v>
      </c>
    </row>
    <row r="22" spans="1:7" x14ac:dyDescent="0.25">
      <c r="A22">
        <v>40</v>
      </c>
      <c r="B22" t="s">
        <v>3293</v>
      </c>
      <c r="C22">
        <v>5</v>
      </c>
      <c r="D22" t="s">
        <v>3280</v>
      </c>
      <c r="E22">
        <v>4</v>
      </c>
      <c r="F22">
        <v>64</v>
      </c>
      <c r="G22" t="s">
        <v>2505</v>
      </c>
    </row>
    <row r="23" spans="1:7" x14ac:dyDescent="0.25">
      <c r="A23">
        <v>40</v>
      </c>
      <c r="B23" t="s">
        <v>3293</v>
      </c>
      <c r="C23" t="s">
        <v>2453</v>
      </c>
      <c r="D23" t="s">
        <v>3280</v>
      </c>
      <c r="E23" t="s">
        <v>2451</v>
      </c>
      <c r="F23">
        <v>64</v>
      </c>
      <c r="G23" t="s">
        <v>3294</v>
      </c>
    </row>
    <row r="24" spans="1:7" x14ac:dyDescent="0.25">
      <c r="A24">
        <v>40</v>
      </c>
      <c r="B24" t="s">
        <v>3293</v>
      </c>
      <c r="C24" t="s">
        <v>2458</v>
      </c>
      <c r="D24" t="s">
        <v>3282</v>
      </c>
      <c r="E24" t="s">
        <v>2481</v>
      </c>
      <c r="F24">
        <v>64</v>
      </c>
      <c r="G24" t="s">
        <v>2496</v>
      </c>
    </row>
    <row r="25" spans="1:7" x14ac:dyDescent="0.25">
      <c r="A25">
        <v>40</v>
      </c>
      <c r="B25" t="s">
        <v>3293</v>
      </c>
      <c r="C25">
        <v>5</v>
      </c>
      <c r="D25" t="s">
        <v>3282</v>
      </c>
      <c r="E25" t="s">
        <v>2410</v>
      </c>
      <c r="F25">
        <v>64</v>
      </c>
      <c r="G25" t="s">
        <v>2505</v>
      </c>
    </row>
    <row r="26" spans="1:7" x14ac:dyDescent="0.25">
      <c r="A26">
        <v>40</v>
      </c>
      <c r="B26" t="s">
        <v>3293</v>
      </c>
      <c r="C26" t="s">
        <v>2453</v>
      </c>
      <c r="D26" t="s">
        <v>3282</v>
      </c>
      <c r="E26" t="s">
        <v>2453</v>
      </c>
      <c r="F26">
        <v>64</v>
      </c>
      <c r="G26" t="s">
        <v>3294</v>
      </c>
    </row>
    <row r="27" spans="1:7" x14ac:dyDescent="0.25">
      <c r="A27">
        <v>40</v>
      </c>
      <c r="B27" t="s">
        <v>3293</v>
      </c>
      <c r="C27" t="s">
        <v>2458</v>
      </c>
      <c r="D27" t="s">
        <v>3202</v>
      </c>
      <c r="E27" t="s">
        <v>2458</v>
      </c>
      <c r="F27">
        <v>64</v>
      </c>
      <c r="G27" t="s">
        <v>2496</v>
      </c>
    </row>
    <row r="28" spans="1:7" x14ac:dyDescent="0.25">
      <c r="A28">
        <v>40</v>
      </c>
      <c r="B28" t="s">
        <v>3293</v>
      </c>
      <c r="C28">
        <v>5</v>
      </c>
      <c r="D28" t="s">
        <v>3202</v>
      </c>
      <c r="E28">
        <v>5</v>
      </c>
      <c r="F28">
        <v>64</v>
      </c>
      <c r="G28" t="s">
        <v>2505</v>
      </c>
    </row>
    <row r="29" spans="1:7" x14ac:dyDescent="0.25">
      <c r="A29">
        <v>50</v>
      </c>
      <c r="B29" t="s">
        <v>3295</v>
      </c>
      <c r="C29" t="s">
        <v>2415</v>
      </c>
      <c r="D29" t="s">
        <v>3282</v>
      </c>
      <c r="E29" t="s">
        <v>2451</v>
      </c>
      <c r="F29">
        <v>76</v>
      </c>
      <c r="G29" t="s">
        <v>2497</v>
      </c>
    </row>
    <row r="30" spans="1:7" x14ac:dyDescent="0.25">
      <c r="A30">
        <v>50</v>
      </c>
      <c r="B30" t="s">
        <v>3295</v>
      </c>
      <c r="C30">
        <v>4</v>
      </c>
      <c r="D30" t="s">
        <v>3282</v>
      </c>
      <c r="E30" t="s">
        <v>2481</v>
      </c>
      <c r="F30">
        <v>76</v>
      </c>
      <c r="G30" t="s">
        <v>3296</v>
      </c>
    </row>
    <row r="31" spans="1:7" x14ac:dyDescent="0.25">
      <c r="A31">
        <v>50</v>
      </c>
      <c r="B31" t="s">
        <v>3295</v>
      </c>
      <c r="C31" t="s">
        <v>2473</v>
      </c>
      <c r="D31" t="s">
        <v>3282</v>
      </c>
      <c r="E31" t="s">
        <v>2410</v>
      </c>
      <c r="F31">
        <v>76</v>
      </c>
      <c r="G31" t="s">
        <v>2510</v>
      </c>
    </row>
    <row r="32" spans="1:7" x14ac:dyDescent="0.25">
      <c r="A32">
        <v>50</v>
      </c>
      <c r="B32" t="s">
        <v>3295</v>
      </c>
      <c r="C32" t="s">
        <v>2415</v>
      </c>
      <c r="D32" t="s">
        <v>3202</v>
      </c>
      <c r="E32" t="s">
        <v>2453</v>
      </c>
      <c r="F32">
        <v>76</v>
      </c>
      <c r="G32" t="s">
        <v>2497</v>
      </c>
    </row>
    <row r="33" spans="1:7" x14ac:dyDescent="0.25">
      <c r="A33">
        <v>50</v>
      </c>
      <c r="B33" t="s">
        <v>3295</v>
      </c>
      <c r="C33">
        <v>4</v>
      </c>
      <c r="D33" t="s">
        <v>3202</v>
      </c>
      <c r="E33" t="s">
        <v>2458</v>
      </c>
      <c r="F33">
        <v>76</v>
      </c>
      <c r="G33" t="s">
        <v>3296</v>
      </c>
    </row>
    <row r="34" spans="1:7" x14ac:dyDescent="0.25">
      <c r="A34">
        <v>50</v>
      </c>
      <c r="B34" t="s">
        <v>3295</v>
      </c>
      <c r="C34" t="s">
        <v>2473</v>
      </c>
      <c r="D34" t="s">
        <v>3202</v>
      </c>
      <c r="E34">
        <v>5</v>
      </c>
      <c r="F34">
        <v>76</v>
      </c>
      <c r="G34" t="s">
        <v>2510</v>
      </c>
    </row>
    <row r="35" spans="1:7" x14ac:dyDescent="0.25">
      <c r="A35">
        <v>50</v>
      </c>
      <c r="B35" t="s">
        <v>3295</v>
      </c>
      <c r="C35" t="s">
        <v>2415</v>
      </c>
      <c r="D35" t="s">
        <v>3202</v>
      </c>
      <c r="E35" t="s">
        <v>2453</v>
      </c>
      <c r="F35">
        <v>76</v>
      </c>
      <c r="G35" t="s">
        <v>2497</v>
      </c>
    </row>
    <row r="36" spans="1:7" x14ac:dyDescent="0.25">
      <c r="A36">
        <v>50</v>
      </c>
      <c r="B36" t="s">
        <v>3295</v>
      </c>
      <c r="C36">
        <v>4</v>
      </c>
      <c r="D36" t="s">
        <v>3293</v>
      </c>
      <c r="E36" t="s">
        <v>2458</v>
      </c>
      <c r="F36">
        <v>76</v>
      </c>
      <c r="G36" t="s">
        <v>3296</v>
      </c>
    </row>
    <row r="37" spans="1:7" x14ac:dyDescent="0.25">
      <c r="A37">
        <v>50</v>
      </c>
      <c r="B37" t="s">
        <v>3295</v>
      </c>
      <c r="C37" t="s">
        <v>2473</v>
      </c>
      <c r="D37" t="s">
        <v>3293</v>
      </c>
      <c r="E37">
        <v>5</v>
      </c>
      <c r="F37">
        <v>76</v>
      </c>
      <c r="G37" t="s">
        <v>2510</v>
      </c>
    </row>
    <row r="38" spans="1:7" x14ac:dyDescent="0.25">
      <c r="A38">
        <v>65</v>
      </c>
      <c r="B38" t="s">
        <v>3297</v>
      </c>
      <c r="C38" t="s">
        <v>2415</v>
      </c>
      <c r="D38" t="s">
        <v>3202</v>
      </c>
      <c r="E38" t="s">
        <v>2453</v>
      </c>
      <c r="F38">
        <v>89</v>
      </c>
      <c r="G38" t="s">
        <v>3298</v>
      </c>
    </row>
    <row r="39" spans="1:7" x14ac:dyDescent="0.25">
      <c r="A39">
        <v>65</v>
      </c>
      <c r="B39" t="s">
        <v>3297</v>
      </c>
      <c r="C39">
        <v>5</v>
      </c>
      <c r="D39" t="s">
        <v>3202</v>
      </c>
      <c r="E39" t="s">
        <v>2458</v>
      </c>
      <c r="F39">
        <v>89</v>
      </c>
      <c r="G39" t="s">
        <v>2541</v>
      </c>
    </row>
    <row r="40" spans="1:7" x14ac:dyDescent="0.25">
      <c r="A40">
        <v>65</v>
      </c>
      <c r="B40" t="s">
        <v>3297</v>
      </c>
      <c r="C40" t="s">
        <v>2475</v>
      </c>
      <c r="D40" t="s">
        <v>3202</v>
      </c>
      <c r="E40">
        <v>5</v>
      </c>
      <c r="F40">
        <v>89</v>
      </c>
      <c r="G40" t="s">
        <v>2445</v>
      </c>
    </row>
    <row r="41" spans="1:7" x14ac:dyDescent="0.25">
      <c r="A41">
        <v>65</v>
      </c>
      <c r="B41" t="s">
        <v>3297</v>
      </c>
      <c r="C41" t="s">
        <v>2415</v>
      </c>
      <c r="D41" t="s">
        <v>3293</v>
      </c>
      <c r="E41" t="s">
        <v>2453</v>
      </c>
      <c r="F41">
        <v>89</v>
      </c>
      <c r="G41" t="s">
        <v>3298</v>
      </c>
    </row>
    <row r="42" spans="1:7" x14ac:dyDescent="0.25">
      <c r="A42">
        <v>65</v>
      </c>
      <c r="B42" t="s">
        <v>3297</v>
      </c>
      <c r="C42">
        <v>5</v>
      </c>
      <c r="D42" t="s">
        <v>3293</v>
      </c>
      <c r="E42" t="s">
        <v>2458</v>
      </c>
      <c r="F42">
        <v>89</v>
      </c>
      <c r="G42" t="s">
        <v>2541</v>
      </c>
    </row>
    <row r="43" spans="1:7" x14ac:dyDescent="0.25">
      <c r="A43">
        <v>65</v>
      </c>
      <c r="B43" t="s">
        <v>3297</v>
      </c>
      <c r="C43" t="s">
        <v>2475</v>
      </c>
      <c r="D43" t="s">
        <v>3293</v>
      </c>
      <c r="E43">
        <v>5</v>
      </c>
      <c r="F43">
        <v>89</v>
      </c>
      <c r="G43" t="s">
        <v>2445</v>
      </c>
    </row>
    <row r="44" spans="1:7" x14ac:dyDescent="0.25">
      <c r="A44">
        <v>65</v>
      </c>
      <c r="B44" t="s">
        <v>3297</v>
      </c>
      <c r="C44" t="s">
        <v>2415</v>
      </c>
      <c r="D44" t="s">
        <v>3293</v>
      </c>
      <c r="E44" t="s">
        <v>2415</v>
      </c>
      <c r="F44">
        <v>89</v>
      </c>
      <c r="G44" t="s">
        <v>3298</v>
      </c>
    </row>
    <row r="45" spans="1:7" x14ac:dyDescent="0.25">
      <c r="A45">
        <v>65</v>
      </c>
      <c r="B45" t="s">
        <v>3297</v>
      </c>
      <c r="C45">
        <v>5</v>
      </c>
      <c r="D45" t="s">
        <v>3295</v>
      </c>
      <c r="E45">
        <v>4</v>
      </c>
      <c r="F45">
        <v>89</v>
      </c>
      <c r="G45" t="s">
        <v>2541</v>
      </c>
    </row>
    <row r="46" spans="1:7" x14ac:dyDescent="0.25">
      <c r="A46">
        <v>65</v>
      </c>
      <c r="B46" t="s">
        <v>3297</v>
      </c>
      <c r="C46" t="s">
        <v>2475</v>
      </c>
      <c r="D46" t="s">
        <v>3295</v>
      </c>
      <c r="E46" t="s">
        <v>2473</v>
      </c>
      <c r="F46">
        <v>89</v>
      </c>
      <c r="G46" t="s">
        <v>2445</v>
      </c>
    </row>
    <row r="47" spans="1:7" x14ac:dyDescent="0.25">
      <c r="A47">
        <v>80</v>
      </c>
      <c r="B47" t="s">
        <v>3299</v>
      </c>
      <c r="C47" t="s">
        <v>2481</v>
      </c>
      <c r="D47" t="s">
        <v>3293</v>
      </c>
      <c r="E47" t="s">
        <v>2453</v>
      </c>
      <c r="F47">
        <v>89</v>
      </c>
      <c r="G47" t="s">
        <v>3300</v>
      </c>
    </row>
    <row r="48" spans="1:7" x14ac:dyDescent="0.25">
      <c r="A48">
        <v>80</v>
      </c>
      <c r="B48" t="s">
        <v>3299</v>
      </c>
      <c r="C48" t="s">
        <v>2473</v>
      </c>
      <c r="D48" t="s">
        <v>3293</v>
      </c>
      <c r="E48" t="s">
        <v>2458</v>
      </c>
      <c r="F48">
        <v>89</v>
      </c>
      <c r="G48">
        <v>1</v>
      </c>
    </row>
    <row r="49" spans="1:7" x14ac:dyDescent="0.25">
      <c r="A49">
        <v>80</v>
      </c>
      <c r="B49" t="s">
        <v>3299</v>
      </c>
      <c r="C49">
        <v>8</v>
      </c>
      <c r="D49" t="s">
        <v>3293</v>
      </c>
      <c r="E49">
        <v>5</v>
      </c>
      <c r="F49">
        <v>89</v>
      </c>
      <c r="G49" t="s">
        <v>2404</v>
      </c>
    </row>
    <row r="50" spans="1:7" x14ac:dyDescent="0.25">
      <c r="A50">
        <v>80</v>
      </c>
      <c r="B50" t="s">
        <v>3299</v>
      </c>
      <c r="C50" t="s">
        <v>2481</v>
      </c>
      <c r="D50" t="s">
        <v>3295</v>
      </c>
      <c r="E50" t="s">
        <v>2415</v>
      </c>
      <c r="F50">
        <v>89</v>
      </c>
      <c r="G50" t="s">
        <v>3300</v>
      </c>
    </row>
    <row r="51" spans="1:7" x14ac:dyDescent="0.25">
      <c r="A51">
        <v>80</v>
      </c>
      <c r="B51" t="s">
        <v>3299</v>
      </c>
      <c r="C51" t="s">
        <v>2473</v>
      </c>
      <c r="D51" t="s">
        <v>3295</v>
      </c>
      <c r="E51">
        <v>4</v>
      </c>
      <c r="F51">
        <v>89</v>
      </c>
      <c r="G51">
        <v>1</v>
      </c>
    </row>
    <row r="52" spans="1:7" x14ac:dyDescent="0.25">
      <c r="A52">
        <v>80</v>
      </c>
      <c r="B52" t="s">
        <v>3299</v>
      </c>
      <c r="C52">
        <v>8</v>
      </c>
      <c r="D52" t="s">
        <v>3295</v>
      </c>
      <c r="E52" t="s">
        <v>2473</v>
      </c>
      <c r="F52">
        <v>89</v>
      </c>
      <c r="G52" t="s">
        <v>2404</v>
      </c>
    </row>
    <row r="53" spans="1:7" x14ac:dyDescent="0.25">
      <c r="A53">
        <v>80</v>
      </c>
      <c r="B53" t="s">
        <v>3299</v>
      </c>
      <c r="C53" t="s">
        <v>2481</v>
      </c>
      <c r="D53" t="s">
        <v>3297</v>
      </c>
      <c r="E53" t="s">
        <v>2415</v>
      </c>
      <c r="F53">
        <v>89</v>
      </c>
      <c r="G53" t="s">
        <v>3300</v>
      </c>
    </row>
    <row r="54" spans="1:7" x14ac:dyDescent="0.25">
      <c r="A54">
        <v>80</v>
      </c>
      <c r="B54" t="s">
        <v>3299</v>
      </c>
      <c r="C54" t="s">
        <v>2473</v>
      </c>
      <c r="D54" t="s">
        <v>3297</v>
      </c>
      <c r="E54">
        <v>5</v>
      </c>
      <c r="F54">
        <v>89</v>
      </c>
      <c r="G54">
        <v>1</v>
      </c>
    </row>
    <row r="55" spans="1:7" x14ac:dyDescent="0.25">
      <c r="A55">
        <v>80</v>
      </c>
      <c r="B55" t="s">
        <v>3299</v>
      </c>
      <c r="C55">
        <v>8</v>
      </c>
      <c r="D55" t="s">
        <v>3297</v>
      </c>
      <c r="E55" t="s">
        <v>2475</v>
      </c>
      <c r="F55">
        <v>89</v>
      </c>
      <c r="G55" t="s">
        <v>2404</v>
      </c>
    </row>
    <row r="56" spans="1:7" x14ac:dyDescent="0.25">
      <c r="A56">
        <v>100</v>
      </c>
      <c r="B56" t="s">
        <v>3301</v>
      </c>
      <c r="C56" t="s">
        <v>2458</v>
      </c>
      <c r="D56" t="s">
        <v>3295</v>
      </c>
      <c r="E56" t="s">
        <v>2415</v>
      </c>
      <c r="F56">
        <v>102</v>
      </c>
      <c r="G56">
        <v>1</v>
      </c>
    </row>
    <row r="57" spans="1:7" x14ac:dyDescent="0.25">
      <c r="A57">
        <v>100</v>
      </c>
      <c r="B57" t="s">
        <v>3301</v>
      </c>
      <c r="C57" t="s">
        <v>2587</v>
      </c>
      <c r="D57" t="s">
        <v>3295</v>
      </c>
      <c r="E57">
        <v>4</v>
      </c>
      <c r="F57">
        <v>102</v>
      </c>
      <c r="G57" t="s">
        <v>2447</v>
      </c>
    </row>
    <row r="58" spans="1:7" x14ac:dyDescent="0.25">
      <c r="A58">
        <v>100</v>
      </c>
      <c r="B58" t="s">
        <v>3301</v>
      </c>
      <c r="C58" t="s">
        <v>2388</v>
      </c>
      <c r="D58" t="s">
        <v>3295</v>
      </c>
      <c r="E58" t="s">
        <v>2473</v>
      </c>
      <c r="F58">
        <v>102</v>
      </c>
      <c r="G58" t="s">
        <v>2451</v>
      </c>
    </row>
    <row r="59" spans="1:7" x14ac:dyDescent="0.25">
      <c r="A59">
        <v>100</v>
      </c>
      <c r="B59" t="s">
        <v>3301</v>
      </c>
      <c r="C59" t="s">
        <v>2458</v>
      </c>
      <c r="D59" t="s">
        <v>3297</v>
      </c>
      <c r="E59" t="s">
        <v>2415</v>
      </c>
      <c r="F59">
        <v>102</v>
      </c>
      <c r="G59">
        <v>1</v>
      </c>
    </row>
    <row r="60" spans="1:7" x14ac:dyDescent="0.25">
      <c r="A60">
        <v>100</v>
      </c>
      <c r="B60" t="s">
        <v>3301</v>
      </c>
      <c r="C60" t="s">
        <v>2587</v>
      </c>
      <c r="D60" t="s">
        <v>3297</v>
      </c>
      <c r="E60">
        <v>5</v>
      </c>
      <c r="F60">
        <v>102</v>
      </c>
      <c r="G60" t="s">
        <v>2447</v>
      </c>
    </row>
    <row r="61" spans="1:7" x14ac:dyDescent="0.25">
      <c r="A61">
        <v>100</v>
      </c>
      <c r="B61" t="s">
        <v>3301</v>
      </c>
      <c r="C61" t="s">
        <v>2388</v>
      </c>
      <c r="D61" t="s">
        <v>3297</v>
      </c>
      <c r="E61" t="s">
        <v>2475</v>
      </c>
      <c r="F61">
        <v>102</v>
      </c>
      <c r="G61" t="s">
        <v>2451</v>
      </c>
    </row>
    <row r="62" spans="1:7" x14ac:dyDescent="0.25">
      <c r="A62">
        <v>100</v>
      </c>
      <c r="B62" t="s">
        <v>3301</v>
      </c>
      <c r="C62" t="s">
        <v>2458</v>
      </c>
      <c r="D62" t="s">
        <v>3299</v>
      </c>
      <c r="E62" t="s">
        <v>2481</v>
      </c>
      <c r="F62">
        <v>102</v>
      </c>
      <c r="G62">
        <v>1</v>
      </c>
    </row>
    <row r="63" spans="1:7" x14ac:dyDescent="0.25">
      <c r="A63">
        <v>100</v>
      </c>
      <c r="B63" t="s">
        <v>3301</v>
      </c>
      <c r="C63" t="s">
        <v>2587</v>
      </c>
      <c r="D63" t="s">
        <v>3299</v>
      </c>
      <c r="E63" t="s">
        <v>2473</v>
      </c>
      <c r="F63">
        <v>102</v>
      </c>
      <c r="G63" t="s">
        <v>2447</v>
      </c>
    </row>
    <row r="64" spans="1:7" x14ac:dyDescent="0.25">
      <c r="A64">
        <v>100</v>
      </c>
      <c r="B64" t="s">
        <v>3301</v>
      </c>
      <c r="C64" t="s">
        <v>2388</v>
      </c>
      <c r="D64" t="s">
        <v>3299</v>
      </c>
      <c r="E64">
        <v>8</v>
      </c>
      <c r="F64">
        <v>102</v>
      </c>
      <c r="G64" t="s">
        <v>2451</v>
      </c>
    </row>
    <row r="65" spans="1:7" x14ac:dyDescent="0.25">
      <c r="A65">
        <v>125</v>
      </c>
      <c r="B65" t="s">
        <v>3302</v>
      </c>
      <c r="C65">
        <v>4</v>
      </c>
      <c r="D65" t="s">
        <v>3297</v>
      </c>
      <c r="E65" t="s">
        <v>2415</v>
      </c>
      <c r="F65">
        <v>127</v>
      </c>
      <c r="G65" t="s">
        <v>2447</v>
      </c>
    </row>
    <row r="66" spans="1:7" x14ac:dyDescent="0.25">
      <c r="A66">
        <v>125</v>
      </c>
      <c r="B66" t="s">
        <v>3302</v>
      </c>
      <c r="C66" t="s">
        <v>2587</v>
      </c>
      <c r="D66" t="s">
        <v>3297</v>
      </c>
      <c r="E66">
        <v>5</v>
      </c>
      <c r="F66">
        <v>127</v>
      </c>
      <c r="G66" t="s">
        <v>2453</v>
      </c>
    </row>
    <row r="67" spans="1:7" x14ac:dyDescent="0.25">
      <c r="A67">
        <v>125</v>
      </c>
      <c r="B67" t="s">
        <v>3302</v>
      </c>
      <c r="C67">
        <v>10</v>
      </c>
      <c r="D67" t="s">
        <v>3297</v>
      </c>
      <c r="E67" t="s">
        <v>2475</v>
      </c>
      <c r="F67">
        <v>127</v>
      </c>
      <c r="G67" t="s">
        <v>2416</v>
      </c>
    </row>
    <row r="68" spans="1:7" x14ac:dyDescent="0.25">
      <c r="A68">
        <v>125</v>
      </c>
      <c r="B68" t="s">
        <v>3302</v>
      </c>
      <c r="C68">
        <v>4</v>
      </c>
      <c r="D68" t="s">
        <v>3299</v>
      </c>
      <c r="E68" t="s">
        <v>2481</v>
      </c>
      <c r="F68">
        <v>127</v>
      </c>
      <c r="G68" t="s">
        <v>2447</v>
      </c>
    </row>
    <row r="69" spans="1:7" x14ac:dyDescent="0.25">
      <c r="A69">
        <v>125</v>
      </c>
      <c r="B69" t="s">
        <v>3302</v>
      </c>
      <c r="C69" t="s">
        <v>2587</v>
      </c>
      <c r="D69" t="s">
        <v>3299</v>
      </c>
      <c r="E69" t="s">
        <v>2473</v>
      </c>
      <c r="F69">
        <v>127</v>
      </c>
      <c r="G69" t="s">
        <v>2453</v>
      </c>
    </row>
    <row r="70" spans="1:7" x14ac:dyDescent="0.25">
      <c r="A70">
        <v>125</v>
      </c>
      <c r="B70" t="s">
        <v>3302</v>
      </c>
      <c r="C70">
        <v>10</v>
      </c>
      <c r="D70" t="s">
        <v>3299</v>
      </c>
      <c r="E70">
        <v>8</v>
      </c>
      <c r="F70">
        <v>127</v>
      </c>
      <c r="G70" t="s">
        <v>2416</v>
      </c>
    </row>
    <row r="71" spans="1:7" x14ac:dyDescent="0.25">
      <c r="A71">
        <v>125</v>
      </c>
      <c r="B71" t="s">
        <v>3302</v>
      </c>
      <c r="C71">
        <v>4</v>
      </c>
      <c r="D71" t="s">
        <v>3301</v>
      </c>
      <c r="E71" t="s">
        <v>2458</v>
      </c>
      <c r="F71">
        <v>127</v>
      </c>
      <c r="G71" t="s">
        <v>2447</v>
      </c>
    </row>
    <row r="72" spans="1:7" x14ac:dyDescent="0.25">
      <c r="A72">
        <v>125</v>
      </c>
      <c r="B72" t="s">
        <v>3302</v>
      </c>
      <c r="C72" t="s">
        <v>2587</v>
      </c>
      <c r="D72" t="s">
        <v>3301</v>
      </c>
      <c r="E72" t="s">
        <v>2587</v>
      </c>
      <c r="F72">
        <v>127</v>
      </c>
      <c r="G72" t="s">
        <v>2453</v>
      </c>
    </row>
    <row r="73" spans="1:7" x14ac:dyDescent="0.25">
      <c r="A73">
        <v>125</v>
      </c>
      <c r="B73" t="s">
        <v>3302</v>
      </c>
      <c r="C73">
        <v>10</v>
      </c>
      <c r="D73" t="s">
        <v>3301</v>
      </c>
      <c r="E73" t="s">
        <v>2388</v>
      </c>
      <c r="F73">
        <v>127</v>
      </c>
      <c r="G73" t="s">
        <v>2416</v>
      </c>
    </row>
    <row r="74" spans="1:7" x14ac:dyDescent="0.25">
      <c r="A74">
        <v>150</v>
      </c>
      <c r="B74" t="s">
        <v>3303</v>
      </c>
      <c r="C74" t="s">
        <v>2410</v>
      </c>
      <c r="D74" t="s">
        <v>3299</v>
      </c>
      <c r="E74" t="s">
        <v>2481</v>
      </c>
      <c r="F74">
        <v>140</v>
      </c>
      <c r="G74" t="s">
        <v>2399</v>
      </c>
    </row>
    <row r="75" spans="1:7" x14ac:dyDescent="0.25">
      <c r="A75">
        <v>150</v>
      </c>
      <c r="B75" t="s">
        <v>3303</v>
      </c>
      <c r="C75" t="s">
        <v>2475</v>
      </c>
      <c r="D75" t="s">
        <v>3299</v>
      </c>
      <c r="E75" t="s">
        <v>2473</v>
      </c>
      <c r="F75">
        <v>140</v>
      </c>
      <c r="G75" t="s">
        <v>2455</v>
      </c>
    </row>
    <row r="76" spans="1:7" x14ac:dyDescent="0.25">
      <c r="A76">
        <v>150</v>
      </c>
      <c r="B76" t="s">
        <v>3303</v>
      </c>
      <c r="C76">
        <v>11</v>
      </c>
      <c r="D76" t="s">
        <v>3299</v>
      </c>
      <c r="E76" t="s">
        <v>2388</v>
      </c>
      <c r="F76">
        <v>140</v>
      </c>
      <c r="G76">
        <v>6</v>
      </c>
    </row>
    <row r="77" spans="1:7" x14ac:dyDescent="0.25">
      <c r="A77">
        <v>150</v>
      </c>
      <c r="B77" t="s">
        <v>3303</v>
      </c>
      <c r="C77" t="s">
        <v>2410</v>
      </c>
      <c r="D77" t="s">
        <v>3301</v>
      </c>
      <c r="E77" t="s">
        <v>2458</v>
      </c>
      <c r="F77">
        <v>140</v>
      </c>
      <c r="G77" t="s">
        <v>2399</v>
      </c>
    </row>
    <row r="78" spans="1:7" x14ac:dyDescent="0.25">
      <c r="A78">
        <v>150</v>
      </c>
      <c r="B78" t="s">
        <v>3303</v>
      </c>
      <c r="C78" t="s">
        <v>2475</v>
      </c>
      <c r="D78" t="s">
        <v>3301</v>
      </c>
      <c r="E78" t="s">
        <v>2587</v>
      </c>
      <c r="F78">
        <v>140</v>
      </c>
      <c r="G78" t="s">
        <v>2455</v>
      </c>
    </row>
    <row r="79" spans="1:7" x14ac:dyDescent="0.25">
      <c r="A79">
        <v>150</v>
      </c>
      <c r="B79" t="s">
        <v>3303</v>
      </c>
      <c r="C79">
        <v>11</v>
      </c>
      <c r="D79" t="s">
        <v>3301</v>
      </c>
      <c r="E79" t="s">
        <v>2388</v>
      </c>
      <c r="F79">
        <v>140</v>
      </c>
      <c r="G79">
        <v>6</v>
      </c>
    </row>
    <row r="80" spans="1:7" x14ac:dyDescent="0.25">
      <c r="A80">
        <v>150</v>
      </c>
      <c r="B80" t="s">
        <v>3303</v>
      </c>
      <c r="C80" t="s">
        <v>2410</v>
      </c>
      <c r="D80" t="s">
        <v>3302</v>
      </c>
      <c r="E80">
        <v>4</v>
      </c>
      <c r="F80">
        <v>140</v>
      </c>
      <c r="G80" t="s">
        <v>2399</v>
      </c>
    </row>
    <row r="81" spans="1:7" x14ac:dyDescent="0.25">
      <c r="A81">
        <v>150</v>
      </c>
      <c r="B81" t="s">
        <v>3303</v>
      </c>
      <c r="C81" t="s">
        <v>2475</v>
      </c>
      <c r="D81" t="s">
        <v>3302</v>
      </c>
      <c r="E81" t="s">
        <v>2587</v>
      </c>
      <c r="F81">
        <v>140</v>
      </c>
      <c r="G81" t="s">
        <v>2455</v>
      </c>
    </row>
    <row r="82" spans="1:7" x14ac:dyDescent="0.25">
      <c r="A82">
        <v>150</v>
      </c>
      <c r="B82" t="s">
        <v>3303</v>
      </c>
      <c r="C82">
        <v>11</v>
      </c>
      <c r="D82" t="s">
        <v>3302</v>
      </c>
      <c r="E82">
        <v>10</v>
      </c>
      <c r="F82">
        <v>140</v>
      </c>
      <c r="G82">
        <v>6</v>
      </c>
    </row>
    <row r="83" spans="1:7" x14ac:dyDescent="0.25">
      <c r="A83">
        <v>200</v>
      </c>
      <c r="B83" t="s">
        <v>3304</v>
      </c>
      <c r="C83" t="s">
        <v>2587</v>
      </c>
      <c r="D83" t="s">
        <v>3301</v>
      </c>
      <c r="E83" t="s">
        <v>2458</v>
      </c>
      <c r="F83">
        <v>152</v>
      </c>
      <c r="G83" t="s">
        <v>2483</v>
      </c>
    </row>
    <row r="84" spans="1:7" x14ac:dyDescent="0.25">
      <c r="A84">
        <v>200</v>
      </c>
      <c r="B84" t="s">
        <v>3304</v>
      </c>
      <c r="C84">
        <v>8</v>
      </c>
      <c r="D84" t="s">
        <v>3301</v>
      </c>
      <c r="E84" t="s">
        <v>2587</v>
      </c>
      <c r="F84">
        <v>152</v>
      </c>
      <c r="G84" t="s">
        <v>2587</v>
      </c>
    </row>
    <row r="85" spans="1:7" x14ac:dyDescent="0.25">
      <c r="A85">
        <v>200</v>
      </c>
      <c r="B85" t="s">
        <v>3304</v>
      </c>
      <c r="C85" t="s">
        <v>2389</v>
      </c>
      <c r="D85" t="s">
        <v>3301</v>
      </c>
      <c r="E85" t="s">
        <v>2388</v>
      </c>
      <c r="F85">
        <v>152</v>
      </c>
      <c r="G85" t="s">
        <v>3148</v>
      </c>
    </row>
    <row r="86" spans="1:7" x14ac:dyDescent="0.25">
      <c r="A86">
        <v>200</v>
      </c>
      <c r="B86" t="s">
        <v>3304</v>
      </c>
      <c r="C86" t="s">
        <v>2587</v>
      </c>
      <c r="D86" t="s">
        <v>3301</v>
      </c>
      <c r="E86">
        <v>4</v>
      </c>
      <c r="F86">
        <v>152</v>
      </c>
      <c r="G86" t="s">
        <v>2483</v>
      </c>
    </row>
    <row r="87" spans="1:7" x14ac:dyDescent="0.25">
      <c r="A87">
        <v>200</v>
      </c>
      <c r="B87" t="s">
        <v>3304</v>
      </c>
      <c r="C87">
        <v>8</v>
      </c>
      <c r="D87" t="s">
        <v>3302</v>
      </c>
      <c r="E87" t="s">
        <v>2587</v>
      </c>
      <c r="F87">
        <v>152</v>
      </c>
      <c r="G87" t="s">
        <v>2587</v>
      </c>
    </row>
    <row r="88" spans="1:7" x14ac:dyDescent="0.25">
      <c r="A88">
        <v>200</v>
      </c>
      <c r="B88" t="s">
        <v>3304</v>
      </c>
      <c r="C88" t="s">
        <v>2389</v>
      </c>
      <c r="D88" t="s">
        <v>3302</v>
      </c>
      <c r="E88">
        <v>10</v>
      </c>
      <c r="F88">
        <v>152</v>
      </c>
      <c r="G88" t="s">
        <v>3148</v>
      </c>
    </row>
    <row r="89" spans="1:7" x14ac:dyDescent="0.25">
      <c r="A89">
        <v>200</v>
      </c>
      <c r="B89" t="s">
        <v>3304</v>
      </c>
      <c r="C89" t="s">
        <v>2587</v>
      </c>
      <c r="D89" t="s">
        <v>3302</v>
      </c>
      <c r="E89" t="s">
        <v>2410</v>
      </c>
      <c r="F89">
        <v>152</v>
      </c>
      <c r="G89" t="s">
        <v>2483</v>
      </c>
    </row>
    <row r="90" spans="1:7" x14ac:dyDescent="0.25">
      <c r="A90">
        <v>200</v>
      </c>
      <c r="B90" t="s">
        <v>3304</v>
      </c>
      <c r="C90">
        <v>8</v>
      </c>
      <c r="D90" t="s">
        <v>3303</v>
      </c>
      <c r="E90" t="s">
        <v>2475</v>
      </c>
      <c r="F90">
        <v>152</v>
      </c>
      <c r="G90" t="s">
        <v>2587</v>
      </c>
    </row>
    <row r="91" spans="1:7" x14ac:dyDescent="0.25">
      <c r="A91">
        <v>200</v>
      </c>
      <c r="B91" t="s">
        <v>3304</v>
      </c>
      <c r="C91" t="s">
        <v>2389</v>
      </c>
      <c r="D91" t="s">
        <v>3303</v>
      </c>
      <c r="E91">
        <v>11</v>
      </c>
      <c r="F91">
        <v>152</v>
      </c>
      <c r="G91" t="s">
        <v>3148</v>
      </c>
    </row>
    <row r="92" spans="1:7" x14ac:dyDescent="0.25">
      <c r="A92">
        <v>250</v>
      </c>
      <c r="B92">
        <v>273</v>
      </c>
      <c r="C92" t="s">
        <v>2587</v>
      </c>
      <c r="D92" t="s">
        <v>3302</v>
      </c>
      <c r="E92">
        <v>4</v>
      </c>
      <c r="F92">
        <v>178</v>
      </c>
      <c r="G92" t="s">
        <v>2466</v>
      </c>
    </row>
    <row r="93" spans="1:7" x14ac:dyDescent="0.25">
      <c r="A93">
        <v>250</v>
      </c>
      <c r="B93">
        <v>273</v>
      </c>
      <c r="C93">
        <v>10</v>
      </c>
      <c r="D93" t="s">
        <v>3302</v>
      </c>
      <c r="E93" t="s">
        <v>2587</v>
      </c>
      <c r="F93">
        <v>178</v>
      </c>
      <c r="G93">
        <v>12</v>
      </c>
    </row>
    <row r="94" spans="1:7" x14ac:dyDescent="0.25">
      <c r="A94">
        <v>250</v>
      </c>
      <c r="B94">
        <v>273</v>
      </c>
      <c r="C94" t="s">
        <v>2587</v>
      </c>
      <c r="D94" t="s">
        <v>3303</v>
      </c>
      <c r="E94" t="s">
        <v>2410</v>
      </c>
      <c r="F94">
        <v>178</v>
      </c>
      <c r="G94" t="s">
        <v>2466</v>
      </c>
    </row>
    <row r="95" spans="1:7" x14ac:dyDescent="0.25">
      <c r="A95">
        <v>250</v>
      </c>
      <c r="B95">
        <v>273</v>
      </c>
      <c r="C95">
        <v>10</v>
      </c>
      <c r="D95" t="s">
        <v>3303</v>
      </c>
      <c r="E95" t="s">
        <v>2475</v>
      </c>
      <c r="F95">
        <v>178</v>
      </c>
      <c r="G95">
        <v>12</v>
      </c>
    </row>
    <row r="96" spans="1:7" x14ac:dyDescent="0.25">
      <c r="A96">
        <v>250</v>
      </c>
      <c r="B96">
        <v>273</v>
      </c>
      <c r="C96" t="s">
        <v>2587</v>
      </c>
      <c r="D96" t="s">
        <v>3304</v>
      </c>
      <c r="E96" t="s">
        <v>2587</v>
      </c>
      <c r="F96">
        <v>178</v>
      </c>
      <c r="G96" t="s">
        <v>2466</v>
      </c>
    </row>
    <row r="97" spans="1:7" x14ac:dyDescent="0.25">
      <c r="A97">
        <v>250</v>
      </c>
      <c r="B97">
        <v>273</v>
      </c>
      <c r="C97">
        <v>10</v>
      </c>
      <c r="D97" t="s">
        <v>3304</v>
      </c>
      <c r="E97">
        <v>8</v>
      </c>
      <c r="F97">
        <v>178</v>
      </c>
      <c r="G97">
        <v>12</v>
      </c>
    </row>
    <row r="98" spans="1:7" x14ac:dyDescent="0.25">
      <c r="A98">
        <v>300</v>
      </c>
      <c r="B98" t="s">
        <v>3305</v>
      </c>
      <c r="C98" t="s">
        <v>2475</v>
      </c>
      <c r="D98" t="s">
        <v>3303</v>
      </c>
      <c r="E98" t="s">
        <v>2410</v>
      </c>
      <c r="F98">
        <v>178</v>
      </c>
      <c r="G98">
        <v>11</v>
      </c>
    </row>
    <row r="99" spans="1:7" x14ac:dyDescent="0.25">
      <c r="A99">
        <v>300</v>
      </c>
      <c r="B99" t="s">
        <v>3305</v>
      </c>
      <c r="C99">
        <v>10</v>
      </c>
      <c r="D99" t="s">
        <v>3303</v>
      </c>
      <c r="E99" t="s">
        <v>2475</v>
      </c>
      <c r="F99">
        <v>178</v>
      </c>
      <c r="G99">
        <v>16</v>
      </c>
    </row>
    <row r="100" spans="1:7" x14ac:dyDescent="0.25">
      <c r="A100">
        <v>300</v>
      </c>
      <c r="B100" t="s">
        <v>3305</v>
      </c>
      <c r="C100" t="s">
        <v>2475</v>
      </c>
      <c r="D100" t="s">
        <v>3304</v>
      </c>
      <c r="E100" t="s">
        <v>2587</v>
      </c>
      <c r="F100">
        <v>203</v>
      </c>
      <c r="G100">
        <v>11</v>
      </c>
    </row>
    <row r="101" spans="1:7" x14ac:dyDescent="0.25">
      <c r="A101">
        <v>300</v>
      </c>
      <c r="B101" t="s">
        <v>3305</v>
      </c>
      <c r="C101">
        <v>10</v>
      </c>
      <c r="D101" t="s">
        <v>3304</v>
      </c>
      <c r="E101">
        <v>8</v>
      </c>
      <c r="F101">
        <v>203</v>
      </c>
      <c r="G101">
        <v>16</v>
      </c>
    </row>
    <row r="102" spans="1:7" x14ac:dyDescent="0.25">
      <c r="A102">
        <v>300</v>
      </c>
      <c r="B102" t="s">
        <v>3305</v>
      </c>
      <c r="C102" t="s">
        <v>2475</v>
      </c>
      <c r="D102">
        <v>273</v>
      </c>
      <c r="E102" t="s">
        <v>2587</v>
      </c>
      <c r="F102">
        <v>203</v>
      </c>
      <c r="G102">
        <v>11</v>
      </c>
    </row>
    <row r="103" spans="1:7" x14ac:dyDescent="0.25">
      <c r="A103">
        <v>300</v>
      </c>
      <c r="B103" t="s">
        <v>3305</v>
      </c>
      <c r="C103">
        <v>10</v>
      </c>
      <c r="D103">
        <v>273</v>
      </c>
      <c r="E103">
        <v>10</v>
      </c>
      <c r="F103">
        <v>203</v>
      </c>
      <c r="G103">
        <v>16</v>
      </c>
    </row>
    <row r="104" spans="1:7" x14ac:dyDescent="0.25">
      <c r="A104">
        <v>350</v>
      </c>
      <c r="B104" t="s">
        <v>3306</v>
      </c>
      <c r="C104">
        <v>8</v>
      </c>
      <c r="D104" t="s">
        <v>3304</v>
      </c>
      <c r="E104" t="s">
        <v>2587</v>
      </c>
      <c r="F104">
        <v>330</v>
      </c>
      <c r="G104">
        <v>23</v>
      </c>
    </row>
    <row r="105" spans="1:7" x14ac:dyDescent="0.25">
      <c r="A105">
        <v>350</v>
      </c>
      <c r="B105" t="s">
        <v>3306</v>
      </c>
      <c r="C105">
        <v>11</v>
      </c>
      <c r="D105" t="s">
        <v>3304</v>
      </c>
      <c r="E105">
        <v>8</v>
      </c>
      <c r="F105">
        <v>330</v>
      </c>
      <c r="G105">
        <v>31</v>
      </c>
    </row>
    <row r="106" spans="1:7" x14ac:dyDescent="0.25">
      <c r="A106">
        <v>350</v>
      </c>
      <c r="B106" t="s">
        <v>3306</v>
      </c>
      <c r="C106">
        <v>8</v>
      </c>
      <c r="D106">
        <v>273</v>
      </c>
      <c r="E106" t="s">
        <v>2587</v>
      </c>
      <c r="F106">
        <v>330</v>
      </c>
      <c r="G106">
        <v>23</v>
      </c>
    </row>
    <row r="107" spans="1:7" x14ac:dyDescent="0.25">
      <c r="A107">
        <v>350</v>
      </c>
      <c r="B107" t="s">
        <v>3306</v>
      </c>
      <c r="C107">
        <v>11</v>
      </c>
      <c r="D107">
        <v>273</v>
      </c>
      <c r="E107">
        <v>10</v>
      </c>
      <c r="F107">
        <v>330</v>
      </c>
      <c r="G107">
        <v>31</v>
      </c>
    </row>
    <row r="108" spans="1:7" x14ac:dyDescent="0.25">
      <c r="A108">
        <v>350</v>
      </c>
      <c r="B108" t="s">
        <v>3306</v>
      </c>
      <c r="C108">
        <v>8</v>
      </c>
      <c r="D108" t="s">
        <v>3305</v>
      </c>
      <c r="E108" t="s">
        <v>2475</v>
      </c>
      <c r="F108">
        <v>330</v>
      </c>
      <c r="G108">
        <v>23</v>
      </c>
    </row>
    <row r="109" spans="1:7" x14ac:dyDescent="0.25">
      <c r="A109">
        <v>350</v>
      </c>
      <c r="B109" t="s">
        <v>3306</v>
      </c>
      <c r="C109">
        <v>11</v>
      </c>
      <c r="D109" t="s">
        <v>3305</v>
      </c>
      <c r="E109">
        <v>10</v>
      </c>
      <c r="F109">
        <v>330</v>
      </c>
      <c r="G109">
        <v>31</v>
      </c>
    </row>
    <row r="110" spans="1:7" x14ac:dyDescent="0.25">
      <c r="A110">
        <v>400</v>
      </c>
      <c r="B110" t="s">
        <v>3307</v>
      </c>
      <c r="C110" t="s">
        <v>2388</v>
      </c>
      <c r="D110">
        <v>273</v>
      </c>
      <c r="E110" t="s">
        <v>2587</v>
      </c>
      <c r="F110">
        <v>356</v>
      </c>
      <c r="G110">
        <v>31</v>
      </c>
    </row>
    <row r="111" spans="1:7" x14ac:dyDescent="0.25">
      <c r="A111">
        <v>400</v>
      </c>
      <c r="B111" t="s">
        <v>3307</v>
      </c>
      <c r="C111" t="s">
        <v>2389</v>
      </c>
      <c r="D111">
        <v>273</v>
      </c>
      <c r="E111">
        <v>10</v>
      </c>
      <c r="F111">
        <v>356</v>
      </c>
      <c r="G111">
        <v>43</v>
      </c>
    </row>
    <row r="112" spans="1:7" x14ac:dyDescent="0.25">
      <c r="A112">
        <v>400</v>
      </c>
      <c r="B112" t="s">
        <v>3307</v>
      </c>
      <c r="C112" t="s">
        <v>2388</v>
      </c>
      <c r="D112" t="s">
        <v>3305</v>
      </c>
      <c r="E112" t="s">
        <v>2475</v>
      </c>
      <c r="F112">
        <v>356</v>
      </c>
      <c r="G112">
        <v>31</v>
      </c>
    </row>
    <row r="113" spans="1:8" x14ac:dyDescent="0.25">
      <c r="A113">
        <v>400</v>
      </c>
      <c r="B113" t="s">
        <v>3307</v>
      </c>
      <c r="C113" t="s">
        <v>2389</v>
      </c>
      <c r="D113" t="s">
        <v>3305</v>
      </c>
      <c r="E113">
        <v>10</v>
      </c>
      <c r="F113">
        <v>356</v>
      </c>
      <c r="G113">
        <v>43</v>
      </c>
    </row>
    <row r="114" spans="1:8" x14ac:dyDescent="0.25">
      <c r="A114">
        <v>400</v>
      </c>
      <c r="B114" t="s">
        <v>3307</v>
      </c>
      <c r="C114" t="s">
        <v>2388</v>
      </c>
      <c r="D114" t="s">
        <v>3308</v>
      </c>
      <c r="E114">
        <v>8</v>
      </c>
      <c r="F114">
        <v>356</v>
      </c>
      <c r="G114">
        <v>31</v>
      </c>
    </row>
    <row r="115" spans="1:8" x14ac:dyDescent="0.25">
      <c r="A115">
        <v>400</v>
      </c>
      <c r="B115" t="s">
        <v>3307</v>
      </c>
      <c r="C115" t="s">
        <v>2389</v>
      </c>
      <c r="D115" t="s">
        <v>3308</v>
      </c>
      <c r="E115">
        <v>11</v>
      </c>
      <c r="F115">
        <v>356</v>
      </c>
      <c r="G115">
        <v>43</v>
      </c>
    </row>
    <row r="116" spans="1:8" x14ac:dyDescent="0.25">
      <c r="A116">
        <v>450</v>
      </c>
      <c r="B116">
        <v>475</v>
      </c>
      <c r="C116">
        <v>10</v>
      </c>
      <c r="D116" t="s">
        <v>3305</v>
      </c>
      <c r="E116" t="s">
        <v>2475</v>
      </c>
      <c r="F116">
        <v>381</v>
      </c>
      <c r="G116">
        <v>42</v>
      </c>
    </row>
    <row r="117" spans="1:8" x14ac:dyDescent="0.25">
      <c r="A117">
        <v>450</v>
      </c>
      <c r="B117">
        <v>475</v>
      </c>
      <c r="C117">
        <v>10</v>
      </c>
      <c r="D117" t="s">
        <v>3306</v>
      </c>
      <c r="E117">
        <v>8</v>
      </c>
      <c r="F117">
        <v>381</v>
      </c>
      <c r="G117">
        <v>42</v>
      </c>
    </row>
    <row r="118" spans="1:8" x14ac:dyDescent="0.25">
      <c r="A118">
        <v>450</v>
      </c>
      <c r="B118">
        <v>475</v>
      </c>
      <c r="C118">
        <v>10</v>
      </c>
      <c r="D118" t="s">
        <v>3307</v>
      </c>
      <c r="E118" t="s">
        <v>2388</v>
      </c>
      <c r="F118">
        <v>381</v>
      </c>
      <c r="G118">
        <v>42</v>
      </c>
    </row>
    <row r="119" spans="1:8" x14ac:dyDescent="0.25">
      <c r="A119">
        <v>500</v>
      </c>
      <c r="B119">
        <v>508</v>
      </c>
      <c r="C119">
        <v>11</v>
      </c>
      <c r="D119" t="s">
        <v>3306</v>
      </c>
      <c r="E119">
        <v>8</v>
      </c>
      <c r="F119">
        <v>508</v>
      </c>
      <c r="G119">
        <v>65</v>
      </c>
    </row>
    <row r="120" spans="1:8" x14ac:dyDescent="0.25">
      <c r="A120">
        <v>500</v>
      </c>
      <c r="B120">
        <v>508</v>
      </c>
      <c r="C120">
        <v>11</v>
      </c>
      <c r="D120" t="s">
        <v>3307</v>
      </c>
      <c r="E120" t="s">
        <v>2388</v>
      </c>
      <c r="F120">
        <v>508</v>
      </c>
      <c r="G120">
        <v>65</v>
      </c>
    </row>
    <row r="121" spans="1:8" x14ac:dyDescent="0.25">
      <c r="A121">
        <v>500</v>
      </c>
      <c r="B121">
        <v>508</v>
      </c>
      <c r="C121">
        <v>11</v>
      </c>
      <c r="D121">
        <v>457</v>
      </c>
      <c r="E121">
        <v>10</v>
      </c>
      <c r="F121">
        <v>508</v>
      </c>
      <c r="G121">
        <v>65</v>
      </c>
    </row>
    <row r="122" spans="1:8" x14ac:dyDescent="0.25">
      <c r="A122">
        <v>600</v>
      </c>
      <c r="B122">
        <v>610</v>
      </c>
      <c r="C122" t="s">
        <v>2389</v>
      </c>
      <c r="D122" t="s">
        <v>3307</v>
      </c>
      <c r="E122" t="s">
        <v>2388</v>
      </c>
      <c r="F122">
        <v>508</v>
      </c>
      <c r="G122">
        <v>65</v>
      </c>
    </row>
    <row r="123" spans="1:8" x14ac:dyDescent="0.25">
      <c r="A123">
        <v>600</v>
      </c>
      <c r="B123">
        <v>610</v>
      </c>
      <c r="C123" t="s">
        <v>2389</v>
      </c>
      <c r="D123">
        <v>457</v>
      </c>
      <c r="E123">
        <v>10</v>
      </c>
      <c r="F123">
        <v>508</v>
      </c>
      <c r="G123">
        <v>65</v>
      </c>
      <c r="H123" s="23"/>
    </row>
    <row r="124" spans="1:8" x14ac:dyDescent="0.25">
      <c r="A124">
        <v>600</v>
      </c>
      <c r="B124">
        <v>610</v>
      </c>
      <c r="C124" t="s">
        <v>2389</v>
      </c>
      <c r="D124">
        <v>508</v>
      </c>
      <c r="E124">
        <v>11</v>
      </c>
      <c r="F124">
        <v>508</v>
      </c>
      <c r="G124">
        <v>65</v>
      </c>
      <c r="H124" s="24"/>
    </row>
    <row r="125" spans="1:8" x14ac:dyDescent="0.25">
      <c r="A125">
        <v>700</v>
      </c>
      <c r="B125">
        <v>711</v>
      </c>
      <c r="C125" t="s">
        <v>2389</v>
      </c>
      <c r="D125">
        <v>457</v>
      </c>
      <c r="E125">
        <v>10</v>
      </c>
      <c r="F125">
        <v>610</v>
      </c>
      <c r="G125">
        <v>120</v>
      </c>
      <c r="H125" s="23"/>
    </row>
    <row r="126" spans="1:8" x14ac:dyDescent="0.25">
      <c r="A126">
        <v>700</v>
      </c>
      <c r="B126">
        <v>711</v>
      </c>
      <c r="C126" t="s">
        <v>2389</v>
      </c>
      <c r="D126">
        <v>508</v>
      </c>
      <c r="E126">
        <v>11</v>
      </c>
      <c r="F126">
        <v>610</v>
      </c>
      <c r="G126">
        <v>120</v>
      </c>
      <c r="H126" s="23"/>
    </row>
    <row r="127" spans="1:8" x14ac:dyDescent="0.25">
      <c r="A127">
        <v>700</v>
      </c>
      <c r="B127">
        <v>711</v>
      </c>
      <c r="C127" t="s">
        <v>2389</v>
      </c>
      <c r="D127">
        <v>610</v>
      </c>
      <c r="E127" t="s">
        <v>2389</v>
      </c>
      <c r="F127">
        <v>610</v>
      </c>
      <c r="G127">
        <v>120</v>
      </c>
      <c r="H127" s="23"/>
    </row>
    <row r="128" spans="1:8" x14ac:dyDescent="0.25">
      <c r="A128">
        <v>800</v>
      </c>
      <c r="B128">
        <v>813</v>
      </c>
      <c r="C128" t="s">
        <v>2389</v>
      </c>
      <c r="D128">
        <v>508</v>
      </c>
      <c r="E128">
        <v>11</v>
      </c>
      <c r="F128">
        <v>610</v>
      </c>
      <c r="G128">
        <v>120</v>
      </c>
      <c r="H128" s="23"/>
    </row>
    <row r="129" spans="1:8" x14ac:dyDescent="0.25">
      <c r="A129">
        <v>800</v>
      </c>
      <c r="B129">
        <v>813</v>
      </c>
      <c r="C129" t="s">
        <v>2389</v>
      </c>
      <c r="D129">
        <v>610</v>
      </c>
      <c r="E129" t="s">
        <v>2389</v>
      </c>
      <c r="F129">
        <v>610</v>
      </c>
      <c r="G129">
        <v>120</v>
      </c>
      <c r="H129" s="23"/>
    </row>
    <row r="130" spans="1:8" x14ac:dyDescent="0.25">
      <c r="A130">
        <v>800</v>
      </c>
      <c r="B130">
        <v>813</v>
      </c>
      <c r="C130" t="s">
        <v>2389</v>
      </c>
      <c r="D130">
        <v>711</v>
      </c>
      <c r="E130" t="s">
        <v>2389</v>
      </c>
      <c r="F130">
        <v>610</v>
      </c>
      <c r="G130">
        <v>120</v>
      </c>
      <c r="H130" s="23"/>
    </row>
    <row r="131" spans="1:8" x14ac:dyDescent="0.25">
      <c r="A131">
        <v>900</v>
      </c>
      <c r="B131">
        <v>914</v>
      </c>
      <c r="C131" t="s">
        <v>2389</v>
      </c>
      <c r="D131">
        <v>610</v>
      </c>
      <c r="E131" t="s">
        <v>2389</v>
      </c>
      <c r="F131">
        <v>610</v>
      </c>
      <c r="G131">
        <v>120</v>
      </c>
      <c r="H131" s="23"/>
    </row>
    <row r="132" spans="1:8" x14ac:dyDescent="0.25">
      <c r="A132">
        <v>900</v>
      </c>
      <c r="B132">
        <v>914</v>
      </c>
      <c r="C132" t="s">
        <v>2389</v>
      </c>
      <c r="D132">
        <v>711</v>
      </c>
      <c r="E132" t="s">
        <v>2389</v>
      </c>
      <c r="F132">
        <v>610</v>
      </c>
      <c r="G132">
        <v>120</v>
      </c>
      <c r="H132" s="23"/>
    </row>
    <row r="133" spans="1:8" x14ac:dyDescent="0.25">
      <c r="A133">
        <v>900</v>
      </c>
      <c r="B133">
        <v>914</v>
      </c>
      <c r="C133" t="s">
        <v>2389</v>
      </c>
      <c r="D133">
        <v>813</v>
      </c>
      <c r="E133" t="s">
        <v>2389</v>
      </c>
      <c r="F133">
        <v>610</v>
      </c>
      <c r="G133">
        <v>120</v>
      </c>
      <c r="H133" s="24"/>
    </row>
    <row r="134" spans="1:8" x14ac:dyDescent="0.25">
      <c r="A134">
        <v>1000</v>
      </c>
      <c r="B134">
        <v>1016</v>
      </c>
      <c r="C134" t="s">
        <v>2389</v>
      </c>
      <c r="D134">
        <v>711</v>
      </c>
      <c r="E134" t="s">
        <v>2389</v>
      </c>
      <c r="F134">
        <v>610</v>
      </c>
      <c r="G134">
        <v>120</v>
      </c>
      <c r="H134" s="23"/>
    </row>
    <row r="135" spans="1:8" x14ac:dyDescent="0.25">
      <c r="A135">
        <v>1000</v>
      </c>
      <c r="B135">
        <v>1016</v>
      </c>
      <c r="C135" t="s">
        <v>2389</v>
      </c>
      <c r="D135">
        <v>813</v>
      </c>
      <c r="E135" t="s">
        <v>2389</v>
      </c>
      <c r="F135">
        <v>610</v>
      </c>
      <c r="G135">
        <v>120</v>
      </c>
      <c r="H135" s="23"/>
    </row>
    <row r="136" spans="1:8" x14ac:dyDescent="0.25">
      <c r="A136">
        <v>1000</v>
      </c>
      <c r="B136">
        <v>1016</v>
      </c>
      <c r="C136" t="s">
        <v>2389</v>
      </c>
      <c r="D136">
        <v>914</v>
      </c>
      <c r="E136" t="s">
        <v>2389</v>
      </c>
      <c r="F136">
        <v>610</v>
      </c>
      <c r="G136">
        <v>120</v>
      </c>
      <c r="H136" s="23"/>
    </row>
    <row r="137" spans="1:8" x14ac:dyDescent="0.25">
      <c r="H137" s="23"/>
    </row>
  </sheetData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5A72-F44D-468E-AC2E-047953C271EC}">
  <sheetPr codeName="Лист9"/>
  <dimension ref="A1:I376"/>
  <sheetViews>
    <sheetView workbookViewId="0">
      <selection activeCell="O51" sqref="O51"/>
    </sheetView>
  </sheetViews>
  <sheetFormatPr defaultRowHeight="15" x14ac:dyDescent="0.25"/>
  <sheetData>
    <row r="1" spans="1:9" x14ac:dyDescent="0.2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9" x14ac:dyDescent="0.25">
      <c r="A2" s="11">
        <v>32</v>
      </c>
      <c r="B2" s="11">
        <v>38</v>
      </c>
      <c r="C2" s="11">
        <v>2</v>
      </c>
      <c r="D2" s="11">
        <v>32</v>
      </c>
      <c r="E2" s="11">
        <v>2</v>
      </c>
      <c r="F2" s="11">
        <v>30</v>
      </c>
      <c r="G2" s="11" t="s">
        <v>2442</v>
      </c>
      <c r="H2" s="11"/>
      <c r="I2" s="11"/>
    </row>
    <row r="3" spans="1:9" x14ac:dyDescent="0.25">
      <c r="A3" s="12">
        <v>32</v>
      </c>
      <c r="B3" s="12">
        <v>38</v>
      </c>
      <c r="C3" s="11">
        <v>3</v>
      </c>
      <c r="D3" s="12">
        <v>32</v>
      </c>
      <c r="E3" s="11">
        <v>3</v>
      </c>
      <c r="F3" s="12">
        <v>30</v>
      </c>
      <c r="G3" s="11" t="s">
        <v>2396</v>
      </c>
      <c r="H3" s="12"/>
      <c r="I3" s="11"/>
    </row>
    <row r="4" spans="1:9" x14ac:dyDescent="0.25">
      <c r="A4" s="12">
        <v>32</v>
      </c>
      <c r="B4" s="12">
        <v>38</v>
      </c>
      <c r="C4" s="11">
        <v>4</v>
      </c>
      <c r="D4" s="12">
        <v>32</v>
      </c>
      <c r="E4" s="11">
        <v>4</v>
      </c>
      <c r="F4" s="12">
        <v>30</v>
      </c>
      <c r="G4" s="11" t="s">
        <v>2396</v>
      </c>
      <c r="H4" s="12"/>
      <c r="I4" s="11"/>
    </row>
    <row r="5" spans="1:9" x14ac:dyDescent="0.25">
      <c r="A5" s="12">
        <v>32</v>
      </c>
      <c r="B5" s="12">
        <v>38</v>
      </c>
      <c r="C5" s="11">
        <v>2</v>
      </c>
      <c r="D5" s="11">
        <v>25</v>
      </c>
      <c r="E5" s="11" t="s">
        <v>2405</v>
      </c>
      <c r="F5" s="12">
        <v>30</v>
      </c>
      <c r="G5" s="11" t="s">
        <v>2442</v>
      </c>
      <c r="H5" s="12"/>
      <c r="I5" s="11"/>
    </row>
    <row r="6" spans="1:9" x14ac:dyDescent="0.25">
      <c r="A6" s="12">
        <v>32</v>
      </c>
      <c r="B6" s="12">
        <v>38</v>
      </c>
      <c r="C6" s="11">
        <v>3</v>
      </c>
      <c r="D6" s="12">
        <v>25</v>
      </c>
      <c r="E6" s="11">
        <v>3</v>
      </c>
      <c r="F6" s="12">
        <v>30</v>
      </c>
      <c r="G6" s="11" t="s">
        <v>2396</v>
      </c>
      <c r="H6" s="12"/>
      <c r="I6" s="11"/>
    </row>
    <row r="7" spans="1:9" x14ac:dyDescent="0.25">
      <c r="A7" s="12">
        <v>32</v>
      </c>
      <c r="B7" s="12">
        <v>38</v>
      </c>
      <c r="C7" s="11">
        <v>4</v>
      </c>
      <c r="D7" s="12">
        <v>25</v>
      </c>
      <c r="E7" s="11">
        <v>3</v>
      </c>
      <c r="F7" s="12">
        <v>30</v>
      </c>
      <c r="G7" s="11" t="s">
        <v>2396</v>
      </c>
      <c r="H7" s="12"/>
      <c r="I7" s="11"/>
    </row>
    <row r="8" spans="1:9" x14ac:dyDescent="0.25">
      <c r="A8" s="11">
        <v>40</v>
      </c>
      <c r="B8" s="11">
        <v>45</v>
      </c>
      <c r="C8" s="11" t="s">
        <v>2399</v>
      </c>
      <c r="D8" s="12">
        <v>25</v>
      </c>
      <c r="E8" s="11" t="s">
        <v>2405</v>
      </c>
      <c r="F8" s="12">
        <v>30</v>
      </c>
      <c r="G8" s="11" t="s">
        <v>2442</v>
      </c>
      <c r="H8" s="12"/>
      <c r="I8" s="11"/>
    </row>
    <row r="9" spans="1:9" x14ac:dyDescent="0.25">
      <c r="A9" s="12">
        <v>40</v>
      </c>
      <c r="B9" s="12">
        <v>45</v>
      </c>
      <c r="C9" s="11">
        <v>4</v>
      </c>
      <c r="D9" s="12">
        <v>25</v>
      </c>
      <c r="E9" s="11">
        <v>3</v>
      </c>
      <c r="F9" s="12">
        <v>30</v>
      </c>
      <c r="G9" s="11" t="s">
        <v>2396</v>
      </c>
      <c r="H9" s="12"/>
      <c r="I9" s="11"/>
    </row>
    <row r="10" spans="1:9" x14ac:dyDescent="0.25">
      <c r="A10" s="12">
        <v>40</v>
      </c>
      <c r="B10" s="12">
        <v>45</v>
      </c>
      <c r="C10" s="11">
        <v>5</v>
      </c>
      <c r="D10" s="12">
        <v>25</v>
      </c>
      <c r="E10" s="11">
        <v>3</v>
      </c>
      <c r="F10" s="12">
        <v>30</v>
      </c>
      <c r="G10" s="11" t="s">
        <v>2397</v>
      </c>
      <c r="H10" s="11"/>
      <c r="I10" s="11"/>
    </row>
    <row r="11" spans="1:9" x14ac:dyDescent="0.25">
      <c r="A11" s="12">
        <v>40</v>
      </c>
      <c r="B11" s="12">
        <v>45</v>
      </c>
      <c r="C11" s="11" t="s">
        <v>2399</v>
      </c>
      <c r="D11" s="11">
        <v>32</v>
      </c>
      <c r="E11" s="11">
        <v>2</v>
      </c>
      <c r="F11" s="12">
        <v>30</v>
      </c>
      <c r="G11" s="11" t="s">
        <v>2442</v>
      </c>
      <c r="H11" s="12"/>
      <c r="I11" s="11"/>
    </row>
    <row r="12" spans="1:9" x14ac:dyDescent="0.25">
      <c r="A12" s="12">
        <v>40</v>
      </c>
      <c r="B12" s="12">
        <v>45</v>
      </c>
      <c r="C12" s="11">
        <v>4</v>
      </c>
      <c r="D12" s="12">
        <v>32</v>
      </c>
      <c r="E12" s="11">
        <v>4</v>
      </c>
      <c r="F12" s="12">
        <v>30</v>
      </c>
      <c r="G12" s="11" t="s">
        <v>2396</v>
      </c>
      <c r="H12" s="12"/>
      <c r="I12" s="11"/>
    </row>
    <row r="13" spans="1:9" x14ac:dyDescent="0.25">
      <c r="A13" s="12">
        <v>40</v>
      </c>
      <c r="B13" s="12">
        <v>45</v>
      </c>
      <c r="C13" s="11">
        <v>5</v>
      </c>
      <c r="D13" s="12">
        <v>32</v>
      </c>
      <c r="E13" s="11">
        <v>5</v>
      </c>
      <c r="F13" s="12">
        <v>30</v>
      </c>
      <c r="G13" s="11" t="s">
        <v>2397</v>
      </c>
      <c r="H13" s="12"/>
      <c r="I13" s="11"/>
    </row>
    <row r="14" spans="1:9" x14ac:dyDescent="0.25">
      <c r="A14" s="12">
        <v>40</v>
      </c>
      <c r="B14" s="12">
        <v>45</v>
      </c>
      <c r="C14" s="11" t="s">
        <v>2399</v>
      </c>
      <c r="D14" s="11">
        <v>38</v>
      </c>
      <c r="E14" s="11">
        <v>2</v>
      </c>
      <c r="F14" s="12">
        <v>30</v>
      </c>
      <c r="G14" s="11" t="s">
        <v>2442</v>
      </c>
      <c r="H14" s="12"/>
      <c r="I14" s="11"/>
    </row>
    <row r="15" spans="1:9" x14ac:dyDescent="0.25">
      <c r="A15" s="12">
        <v>40</v>
      </c>
      <c r="B15" s="12">
        <v>45</v>
      </c>
      <c r="C15" s="11">
        <v>4</v>
      </c>
      <c r="D15" s="12">
        <v>38</v>
      </c>
      <c r="E15" s="11">
        <v>4</v>
      </c>
      <c r="F15" s="12">
        <v>30</v>
      </c>
      <c r="G15" s="11" t="s">
        <v>2396</v>
      </c>
      <c r="H15" s="12"/>
      <c r="I15" s="11"/>
    </row>
    <row r="16" spans="1:9" x14ac:dyDescent="0.25">
      <c r="A16" s="12">
        <v>40</v>
      </c>
      <c r="B16" s="12">
        <v>45</v>
      </c>
      <c r="C16" s="11">
        <v>5</v>
      </c>
      <c r="D16" s="12">
        <v>38</v>
      </c>
      <c r="E16" s="11">
        <v>5</v>
      </c>
      <c r="F16" s="12">
        <v>30</v>
      </c>
      <c r="G16" s="11" t="s">
        <v>2397</v>
      </c>
      <c r="H16" s="12"/>
      <c r="I16" s="11"/>
    </row>
    <row r="17" spans="1:9" x14ac:dyDescent="0.25">
      <c r="A17" s="11">
        <v>50</v>
      </c>
      <c r="B17" s="11">
        <v>57</v>
      </c>
      <c r="C17" s="11">
        <v>3</v>
      </c>
      <c r="D17" s="11">
        <v>25</v>
      </c>
      <c r="E17" s="11" t="s">
        <v>2405</v>
      </c>
      <c r="F17" s="11">
        <v>45</v>
      </c>
      <c r="G17" s="11" t="s">
        <v>2396</v>
      </c>
      <c r="H17" s="12"/>
      <c r="I17" s="11"/>
    </row>
    <row r="18" spans="1:9" x14ac:dyDescent="0.25">
      <c r="A18" s="12">
        <v>50</v>
      </c>
      <c r="B18" s="12">
        <v>57</v>
      </c>
      <c r="C18" s="11">
        <v>4</v>
      </c>
      <c r="D18" s="12">
        <v>25</v>
      </c>
      <c r="E18" s="11" t="s">
        <v>2405</v>
      </c>
      <c r="F18" s="12">
        <v>45</v>
      </c>
      <c r="G18" s="11" t="s">
        <v>2397</v>
      </c>
      <c r="H18" s="12"/>
      <c r="I18" s="11"/>
    </row>
    <row r="19" spans="1:9" x14ac:dyDescent="0.25">
      <c r="A19" s="12">
        <v>50</v>
      </c>
      <c r="B19" s="12">
        <v>57</v>
      </c>
      <c r="C19" s="11">
        <v>5</v>
      </c>
      <c r="D19" s="12">
        <v>25</v>
      </c>
      <c r="E19" s="11">
        <v>3</v>
      </c>
      <c r="F19" s="12">
        <v>45</v>
      </c>
      <c r="G19" s="11" t="s">
        <v>2397</v>
      </c>
      <c r="H19" s="12"/>
      <c r="I19" s="11"/>
    </row>
    <row r="20" spans="1:9" x14ac:dyDescent="0.25">
      <c r="A20" s="12">
        <v>50</v>
      </c>
      <c r="B20" s="12">
        <v>57</v>
      </c>
      <c r="C20" s="11">
        <v>6</v>
      </c>
      <c r="D20" s="12">
        <v>25</v>
      </c>
      <c r="E20" s="11">
        <v>3</v>
      </c>
      <c r="F20" s="12">
        <v>45</v>
      </c>
      <c r="G20" s="11" t="s">
        <v>2398</v>
      </c>
      <c r="H20" s="11"/>
      <c r="I20" s="11"/>
    </row>
    <row r="21" spans="1:9" x14ac:dyDescent="0.25">
      <c r="A21" s="12">
        <v>50</v>
      </c>
      <c r="B21" s="12">
        <v>57</v>
      </c>
      <c r="C21" s="11">
        <v>3</v>
      </c>
      <c r="D21" s="11">
        <v>32</v>
      </c>
      <c r="E21" s="11">
        <v>2</v>
      </c>
      <c r="F21" s="12">
        <v>45</v>
      </c>
      <c r="G21" s="11" t="s">
        <v>2396</v>
      </c>
      <c r="H21" s="12"/>
      <c r="I21" s="11"/>
    </row>
    <row r="22" spans="1:9" x14ac:dyDescent="0.25">
      <c r="A22" s="12">
        <v>50</v>
      </c>
      <c r="B22" s="12">
        <v>57</v>
      </c>
      <c r="C22" s="11">
        <v>4</v>
      </c>
      <c r="D22" s="12">
        <v>32</v>
      </c>
      <c r="E22" s="11">
        <v>2</v>
      </c>
      <c r="F22" s="12">
        <v>45</v>
      </c>
      <c r="G22" s="11" t="s">
        <v>2397</v>
      </c>
      <c r="H22" s="12"/>
      <c r="I22" s="11"/>
    </row>
    <row r="23" spans="1:9" x14ac:dyDescent="0.25">
      <c r="A23" s="12">
        <v>50</v>
      </c>
      <c r="B23" s="12">
        <v>57</v>
      </c>
      <c r="C23" s="11">
        <v>5</v>
      </c>
      <c r="D23" s="12">
        <v>32</v>
      </c>
      <c r="E23" s="11">
        <v>3</v>
      </c>
      <c r="F23" s="12">
        <v>45</v>
      </c>
      <c r="G23" s="11" t="s">
        <v>2397</v>
      </c>
      <c r="H23" s="12"/>
      <c r="I23" s="11"/>
    </row>
    <row r="24" spans="1:9" x14ac:dyDescent="0.25">
      <c r="A24" s="12">
        <v>50</v>
      </c>
      <c r="B24" s="12">
        <v>57</v>
      </c>
      <c r="C24" s="11">
        <v>6</v>
      </c>
      <c r="D24" s="12">
        <v>32</v>
      </c>
      <c r="E24" s="11">
        <v>4</v>
      </c>
      <c r="F24" s="11">
        <v>45</v>
      </c>
      <c r="G24" s="11" t="s">
        <v>2398</v>
      </c>
      <c r="H24" s="12"/>
      <c r="I24" s="11"/>
    </row>
    <row r="25" spans="1:9" x14ac:dyDescent="0.25">
      <c r="A25" s="12">
        <v>50</v>
      </c>
      <c r="B25" s="12">
        <v>57</v>
      </c>
      <c r="C25" s="11">
        <v>3</v>
      </c>
      <c r="D25" s="11">
        <v>38</v>
      </c>
      <c r="E25" s="11">
        <v>2</v>
      </c>
      <c r="F25" s="12">
        <v>45</v>
      </c>
      <c r="G25" s="11" t="s">
        <v>2396</v>
      </c>
      <c r="H25" s="11"/>
      <c r="I25" s="11"/>
    </row>
    <row r="26" spans="1:9" x14ac:dyDescent="0.25">
      <c r="A26" s="12">
        <v>50</v>
      </c>
      <c r="B26" s="12">
        <v>57</v>
      </c>
      <c r="C26" s="11">
        <v>4</v>
      </c>
      <c r="D26" s="12">
        <v>38</v>
      </c>
      <c r="E26" s="11">
        <v>4</v>
      </c>
      <c r="F26" s="12">
        <v>45</v>
      </c>
      <c r="G26" s="11" t="s">
        <v>2397</v>
      </c>
      <c r="H26" s="12"/>
      <c r="I26" s="11"/>
    </row>
    <row r="27" spans="1:9" x14ac:dyDescent="0.25">
      <c r="A27" s="12">
        <v>50</v>
      </c>
      <c r="B27" s="12">
        <v>57</v>
      </c>
      <c r="C27" s="11">
        <v>5</v>
      </c>
      <c r="D27" s="12">
        <v>38</v>
      </c>
      <c r="E27" s="11">
        <v>4</v>
      </c>
      <c r="F27" s="12">
        <v>45</v>
      </c>
      <c r="G27" s="11" t="s">
        <v>2397</v>
      </c>
      <c r="H27" s="12"/>
      <c r="I27" s="11"/>
    </row>
    <row r="28" spans="1:9" x14ac:dyDescent="0.25">
      <c r="A28" s="12">
        <v>50</v>
      </c>
      <c r="B28" s="12">
        <v>57</v>
      </c>
      <c r="C28" s="11">
        <v>6</v>
      </c>
      <c r="D28" s="12">
        <v>38</v>
      </c>
      <c r="E28" s="11">
        <v>4</v>
      </c>
      <c r="F28" s="12">
        <v>45</v>
      </c>
      <c r="G28" s="11" t="s">
        <v>2398</v>
      </c>
      <c r="H28" s="12"/>
      <c r="I28" s="11"/>
    </row>
    <row r="29" spans="1:9" x14ac:dyDescent="0.25">
      <c r="A29" s="12">
        <v>50</v>
      </c>
      <c r="B29" s="12">
        <v>57</v>
      </c>
      <c r="C29" s="11">
        <v>3</v>
      </c>
      <c r="D29" s="11">
        <v>45</v>
      </c>
      <c r="E29" s="11" t="s">
        <v>2399</v>
      </c>
      <c r="F29" s="12">
        <v>45</v>
      </c>
      <c r="G29" s="11" t="s">
        <v>2396</v>
      </c>
      <c r="H29" s="12"/>
      <c r="I29" s="11"/>
    </row>
    <row r="30" spans="1:9" x14ac:dyDescent="0.25">
      <c r="A30" s="12">
        <v>50</v>
      </c>
      <c r="B30" s="12">
        <v>57</v>
      </c>
      <c r="C30" s="11" t="s">
        <v>2402</v>
      </c>
      <c r="D30" s="12">
        <v>45</v>
      </c>
      <c r="E30" s="11" t="s">
        <v>2399</v>
      </c>
      <c r="F30" s="12">
        <v>45</v>
      </c>
      <c r="G30" s="11" t="s">
        <v>2396</v>
      </c>
      <c r="H30" s="12"/>
      <c r="I30" s="11"/>
    </row>
    <row r="31" spans="1:9" x14ac:dyDescent="0.25">
      <c r="A31" s="12">
        <v>50</v>
      </c>
      <c r="B31" s="12">
        <v>57</v>
      </c>
      <c r="C31" s="11">
        <v>4</v>
      </c>
      <c r="D31" s="12">
        <v>45</v>
      </c>
      <c r="E31" s="11">
        <v>3</v>
      </c>
      <c r="F31" s="12">
        <v>45</v>
      </c>
      <c r="G31" s="11" t="s">
        <v>2397</v>
      </c>
      <c r="H31" s="12"/>
      <c r="I31" s="11"/>
    </row>
    <row r="32" spans="1:9" x14ac:dyDescent="0.25">
      <c r="A32" s="12">
        <v>50</v>
      </c>
      <c r="B32" s="12">
        <v>57</v>
      </c>
      <c r="C32" s="11">
        <v>5</v>
      </c>
      <c r="D32" s="12">
        <v>45</v>
      </c>
      <c r="E32" s="11">
        <v>4</v>
      </c>
      <c r="F32" s="12">
        <v>45</v>
      </c>
      <c r="G32" s="11" t="s">
        <v>2397</v>
      </c>
      <c r="H32" s="11"/>
      <c r="I32" s="11"/>
    </row>
    <row r="33" spans="1:9" x14ac:dyDescent="0.25">
      <c r="A33" s="11">
        <v>50</v>
      </c>
      <c r="B33" s="11">
        <v>57</v>
      </c>
      <c r="C33" s="11">
        <v>6</v>
      </c>
      <c r="D33" s="11">
        <v>45</v>
      </c>
      <c r="E33" s="11">
        <v>5</v>
      </c>
      <c r="F33" s="11"/>
      <c r="G33" s="11" t="s">
        <v>2398</v>
      </c>
      <c r="H33" s="12"/>
      <c r="I33" s="11"/>
    </row>
    <row r="34" spans="1:9" x14ac:dyDescent="0.25">
      <c r="A34" s="12">
        <v>50</v>
      </c>
      <c r="B34" s="12">
        <v>57</v>
      </c>
      <c r="C34" s="11">
        <v>3</v>
      </c>
      <c r="D34" s="12">
        <v>45</v>
      </c>
      <c r="E34" s="11" t="s">
        <v>2399</v>
      </c>
      <c r="F34" s="11">
        <v>60</v>
      </c>
      <c r="G34" s="11" t="s">
        <v>2396</v>
      </c>
      <c r="H34" s="12"/>
      <c r="I34" s="11"/>
    </row>
    <row r="35" spans="1:9" x14ac:dyDescent="0.25">
      <c r="A35" s="12">
        <v>50</v>
      </c>
      <c r="B35" s="12">
        <v>57</v>
      </c>
      <c r="C35" s="11">
        <v>4</v>
      </c>
      <c r="D35" s="12">
        <v>45</v>
      </c>
      <c r="E35" s="11" t="s">
        <v>2399</v>
      </c>
      <c r="F35" s="11">
        <v>60</v>
      </c>
      <c r="G35" s="11" t="s">
        <v>2397</v>
      </c>
      <c r="H35" s="12"/>
      <c r="I35" s="11"/>
    </row>
    <row r="36" spans="1:9" x14ac:dyDescent="0.25">
      <c r="A36" s="12">
        <v>50</v>
      </c>
      <c r="B36" s="12">
        <v>57</v>
      </c>
      <c r="C36" s="11">
        <v>5</v>
      </c>
      <c r="D36" s="12">
        <v>45</v>
      </c>
      <c r="E36" s="11">
        <v>4</v>
      </c>
      <c r="F36" s="12">
        <v>60</v>
      </c>
      <c r="G36" s="11" t="s">
        <v>2397</v>
      </c>
      <c r="H36" s="12"/>
      <c r="I36" s="11"/>
    </row>
    <row r="37" spans="1:9" x14ac:dyDescent="0.25">
      <c r="A37" s="12">
        <v>50</v>
      </c>
      <c r="B37" s="12">
        <v>57</v>
      </c>
      <c r="C37" s="11">
        <v>6</v>
      </c>
      <c r="D37" s="12">
        <v>45</v>
      </c>
      <c r="E37" s="11">
        <v>5</v>
      </c>
      <c r="F37" s="12">
        <v>60</v>
      </c>
      <c r="G37" s="11" t="s">
        <v>2398</v>
      </c>
      <c r="H37" s="12"/>
      <c r="I37" s="11"/>
    </row>
    <row r="38" spans="1:9" x14ac:dyDescent="0.25">
      <c r="A38" s="11">
        <v>65</v>
      </c>
      <c r="B38" s="11">
        <v>76</v>
      </c>
      <c r="C38" s="11">
        <v>3</v>
      </c>
      <c r="D38" s="11">
        <v>38</v>
      </c>
      <c r="E38" s="11">
        <v>2</v>
      </c>
      <c r="F38" s="11">
        <v>55</v>
      </c>
      <c r="G38" s="11" t="s">
        <v>2397</v>
      </c>
      <c r="H38" s="12"/>
      <c r="I38" s="11"/>
    </row>
    <row r="39" spans="1:9" x14ac:dyDescent="0.25">
      <c r="A39" s="12">
        <v>65</v>
      </c>
      <c r="B39" s="12">
        <v>76</v>
      </c>
      <c r="C39" s="11" t="s">
        <v>2402</v>
      </c>
      <c r="D39" s="12">
        <v>38</v>
      </c>
      <c r="E39" s="11" t="s">
        <v>2399</v>
      </c>
      <c r="F39" s="12">
        <v>55</v>
      </c>
      <c r="G39" s="11" t="s">
        <v>2398</v>
      </c>
      <c r="H39" s="12"/>
      <c r="I39" s="11"/>
    </row>
    <row r="40" spans="1:9" x14ac:dyDescent="0.25">
      <c r="A40" s="12">
        <v>65</v>
      </c>
      <c r="B40" s="12">
        <v>76</v>
      </c>
      <c r="C40" s="11">
        <v>5</v>
      </c>
      <c r="D40" s="12">
        <v>38</v>
      </c>
      <c r="E40" s="11">
        <v>3</v>
      </c>
      <c r="F40" s="12">
        <v>55</v>
      </c>
      <c r="G40" s="11" t="s">
        <v>2400</v>
      </c>
      <c r="H40" s="12"/>
      <c r="I40" s="11"/>
    </row>
    <row r="41" spans="1:9" x14ac:dyDescent="0.25">
      <c r="A41" s="12">
        <v>65</v>
      </c>
      <c r="B41" s="12">
        <v>76</v>
      </c>
      <c r="C41" s="11">
        <v>6</v>
      </c>
      <c r="D41" s="12">
        <v>38</v>
      </c>
      <c r="E41" s="11">
        <v>3</v>
      </c>
      <c r="F41" s="12">
        <v>55</v>
      </c>
      <c r="G41" s="11" t="s">
        <v>2400</v>
      </c>
      <c r="H41" s="12"/>
      <c r="I41" s="11"/>
    </row>
    <row r="42" spans="1:9" x14ac:dyDescent="0.25">
      <c r="A42" s="12">
        <v>65</v>
      </c>
      <c r="B42" s="12">
        <v>76</v>
      </c>
      <c r="C42" s="11">
        <v>7</v>
      </c>
      <c r="D42" s="12">
        <v>38</v>
      </c>
      <c r="E42" s="11">
        <v>4</v>
      </c>
      <c r="F42" s="12">
        <v>55</v>
      </c>
      <c r="G42" s="11" t="s">
        <v>2401</v>
      </c>
      <c r="H42" s="12"/>
      <c r="I42" s="11"/>
    </row>
    <row r="43" spans="1:9" x14ac:dyDescent="0.25">
      <c r="A43" s="12">
        <v>65</v>
      </c>
      <c r="B43" s="12">
        <v>76</v>
      </c>
      <c r="C43" s="11">
        <v>3</v>
      </c>
      <c r="D43" s="11">
        <v>45</v>
      </c>
      <c r="E43" s="11" t="s">
        <v>2399</v>
      </c>
      <c r="F43" s="11">
        <v>70</v>
      </c>
      <c r="G43" s="11" t="s">
        <v>2398</v>
      </c>
      <c r="H43" s="12"/>
      <c r="I43" s="11"/>
    </row>
    <row r="44" spans="1:9" x14ac:dyDescent="0.25">
      <c r="A44" s="12">
        <v>65</v>
      </c>
      <c r="B44" s="12">
        <v>76</v>
      </c>
      <c r="C44" s="11" t="s">
        <v>2402</v>
      </c>
      <c r="D44" s="12">
        <v>45</v>
      </c>
      <c r="E44" s="11" t="s">
        <v>2399</v>
      </c>
      <c r="F44" s="12">
        <v>70</v>
      </c>
      <c r="G44" s="11" t="s">
        <v>2443</v>
      </c>
      <c r="H44" s="12"/>
      <c r="I44" s="11"/>
    </row>
    <row r="45" spans="1:9" x14ac:dyDescent="0.25">
      <c r="A45" s="12">
        <v>65</v>
      </c>
      <c r="B45" s="12">
        <v>76</v>
      </c>
      <c r="C45" s="11">
        <v>5</v>
      </c>
      <c r="D45" s="12">
        <v>45</v>
      </c>
      <c r="E45" s="11">
        <v>4</v>
      </c>
      <c r="F45" s="12">
        <v>70</v>
      </c>
      <c r="G45" s="11" t="s">
        <v>2400</v>
      </c>
      <c r="H45" s="12"/>
      <c r="I45" s="11"/>
    </row>
    <row r="46" spans="1:9" x14ac:dyDescent="0.25">
      <c r="A46" s="12">
        <v>65</v>
      </c>
      <c r="B46" s="12">
        <v>76</v>
      </c>
      <c r="C46" s="11">
        <v>6</v>
      </c>
      <c r="D46" s="12">
        <v>45</v>
      </c>
      <c r="E46" s="11">
        <v>4</v>
      </c>
      <c r="F46" s="12">
        <v>70</v>
      </c>
      <c r="G46" s="11" t="s">
        <v>2401</v>
      </c>
      <c r="H46" s="12"/>
      <c r="I46" s="11"/>
    </row>
    <row r="47" spans="1:9" x14ac:dyDescent="0.25">
      <c r="A47" s="12">
        <v>65</v>
      </c>
      <c r="B47" s="12">
        <v>76</v>
      </c>
      <c r="C47" s="11">
        <v>7</v>
      </c>
      <c r="D47" s="12">
        <v>45</v>
      </c>
      <c r="E47" s="11">
        <v>5</v>
      </c>
      <c r="F47" s="12">
        <v>70</v>
      </c>
      <c r="G47" s="11" t="s">
        <v>2403</v>
      </c>
      <c r="H47" s="12"/>
      <c r="I47" s="11"/>
    </row>
    <row r="48" spans="1:9" x14ac:dyDescent="0.25">
      <c r="A48" s="12">
        <v>65</v>
      </c>
      <c r="B48" s="12">
        <v>76</v>
      </c>
      <c r="C48" s="11">
        <v>3</v>
      </c>
      <c r="D48" s="11">
        <v>57</v>
      </c>
      <c r="E48" s="11">
        <v>3</v>
      </c>
      <c r="F48" s="12">
        <v>70</v>
      </c>
      <c r="G48" s="11" t="s">
        <v>2397</v>
      </c>
      <c r="H48" s="12"/>
      <c r="I48" s="11"/>
    </row>
    <row r="49" spans="1:9" x14ac:dyDescent="0.25">
      <c r="A49" s="12">
        <v>65</v>
      </c>
      <c r="B49" s="12">
        <v>76</v>
      </c>
      <c r="C49" s="11" t="s">
        <v>2402</v>
      </c>
      <c r="D49" s="12">
        <v>57</v>
      </c>
      <c r="E49" s="11">
        <v>3</v>
      </c>
      <c r="F49" s="12">
        <v>70</v>
      </c>
      <c r="G49" s="11" t="s">
        <v>2398</v>
      </c>
      <c r="H49" s="12"/>
      <c r="I49" s="11"/>
    </row>
    <row r="50" spans="1:9" x14ac:dyDescent="0.25">
      <c r="A50" s="12">
        <v>65</v>
      </c>
      <c r="B50" s="12">
        <v>76</v>
      </c>
      <c r="C50" s="11">
        <v>5</v>
      </c>
      <c r="D50" s="12">
        <v>57</v>
      </c>
      <c r="E50" s="11">
        <v>4</v>
      </c>
      <c r="F50" s="12">
        <v>70</v>
      </c>
      <c r="G50" s="11" t="s">
        <v>2400</v>
      </c>
      <c r="H50" s="12"/>
      <c r="I50" s="11"/>
    </row>
    <row r="51" spans="1:9" x14ac:dyDescent="0.25">
      <c r="A51" s="12">
        <v>65</v>
      </c>
      <c r="B51" s="12">
        <v>76</v>
      </c>
      <c r="C51" s="11">
        <v>6</v>
      </c>
      <c r="D51" s="12">
        <v>57</v>
      </c>
      <c r="E51" s="11">
        <v>5</v>
      </c>
      <c r="F51" s="12">
        <v>70</v>
      </c>
      <c r="G51" s="11" t="s">
        <v>2401</v>
      </c>
      <c r="H51" s="12"/>
      <c r="I51" s="11"/>
    </row>
    <row r="52" spans="1:9" x14ac:dyDescent="0.25">
      <c r="A52" s="12">
        <v>65</v>
      </c>
      <c r="B52" s="12">
        <v>76</v>
      </c>
      <c r="C52" s="11">
        <v>7</v>
      </c>
      <c r="D52" s="12">
        <v>57</v>
      </c>
      <c r="E52" s="11">
        <v>6</v>
      </c>
      <c r="F52" s="12">
        <v>70</v>
      </c>
      <c r="G52" s="11" t="s">
        <v>2403</v>
      </c>
      <c r="H52" s="12"/>
      <c r="I52" s="11"/>
    </row>
    <row r="53" spans="1:9" x14ac:dyDescent="0.25">
      <c r="A53" s="11">
        <v>80</v>
      </c>
      <c r="B53" s="11">
        <v>89</v>
      </c>
      <c r="C53" s="11" t="s">
        <v>2402</v>
      </c>
      <c r="D53" s="11">
        <v>45</v>
      </c>
      <c r="E53" s="11" t="s">
        <v>2399</v>
      </c>
      <c r="F53" s="11">
        <v>75</v>
      </c>
      <c r="G53" s="11" t="s">
        <v>2400</v>
      </c>
      <c r="H53" s="12"/>
      <c r="I53" s="11"/>
    </row>
    <row r="54" spans="1:9" x14ac:dyDescent="0.25">
      <c r="A54" s="12">
        <v>80</v>
      </c>
      <c r="B54" s="12">
        <v>89</v>
      </c>
      <c r="C54" s="11">
        <v>6</v>
      </c>
      <c r="D54" s="12">
        <v>45</v>
      </c>
      <c r="E54" s="11">
        <v>4</v>
      </c>
      <c r="F54" s="12">
        <v>75</v>
      </c>
      <c r="G54" s="11" t="s">
        <v>2444</v>
      </c>
      <c r="H54" s="12"/>
      <c r="I54" s="11"/>
    </row>
    <row r="55" spans="1:9" x14ac:dyDescent="0.25">
      <c r="A55" s="12">
        <v>80</v>
      </c>
      <c r="B55" s="12">
        <v>89</v>
      </c>
      <c r="C55" s="11">
        <v>8</v>
      </c>
      <c r="D55" s="12">
        <v>45</v>
      </c>
      <c r="E55" s="11">
        <v>5</v>
      </c>
      <c r="F55" s="12">
        <v>75</v>
      </c>
      <c r="G55" s="11" t="s">
        <v>2448</v>
      </c>
      <c r="H55" s="12"/>
      <c r="I55" s="11"/>
    </row>
    <row r="56" spans="1:9" x14ac:dyDescent="0.25">
      <c r="A56" s="12">
        <v>80</v>
      </c>
      <c r="B56" s="12">
        <v>89</v>
      </c>
      <c r="C56" s="11" t="s">
        <v>2402</v>
      </c>
      <c r="D56" s="11">
        <v>57</v>
      </c>
      <c r="E56" s="11">
        <v>3</v>
      </c>
      <c r="F56" s="12">
        <v>75</v>
      </c>
      <c r="G56" s="11" t="s">
        <v>2400</v>
      </c>
      <c r="H56" s="12"/>
      <c r="I56" s="11"/>
    </row>
    <row r="57" spans="1:9" x14ac:dyDescent="0.25">
      <c r="A57" s="12">
        <v>80</v>
      </c>
      <c r="B57" s="12">
        <v>89</v>
      </c>
      <c r="C57" s="11">
        <v>6</v>
      </c>
      <c r="D57" s="12">
        <v>57</v>
      </c>
      <c r="E57" s="11">
        <v>4</v>
      </c>
      <c r="F57" s="12">
        <v>75</v>
      </c>
      <c r="G57" s="11" t="s">
        <v>2444</v>
      </c>
      <c r="H57" s="12"/>
      <c r="I57" s="11"/>
    </row>
    <row r="58" spans="1:9" x14ac:dyDescent="0.25">
      <c r="A58" s="12">
        <v>80</v>
      </c>
      <c r="B58" s="12">
        <v>89</v>
      </c>
      <c r="C58" s="11">
        <v>8</v>
      </c>
      <c r="D58" s="12">
        <v>57</v>
      </c>
      <c r="E58" s="11">
        <v>5</v>
      </c>
      <c r="F58" s="12">
        <v>75</v>
      </c>
      <c r="G58" s="11" t="s">
        <v>2448</v>
      </c>
      <c r="H58" s="12"/>
      <c r="I58" s="11"/>
    </row>
    <row r="59" spans="1:9" x14ac:dyDescent="0.25">
      <c r="A59" s="12">
        <v>80</v>
      </c>
      <c r="B59" s="12">
        <v>89</v>
      </c>
      <c r="C59" s="11" t="s">
        <v>2402</v>
      </c>
      <c r="D59" s="11">
        <v>76</v>
      </c>
      <c r="E59" s="11">
        <v>3</v>
      </c>
      <c r="F59" s="11">
        <v>55</v>
      </c>
      <c r="G59" s="11" t="s">
        <v>2443</v>
      </c>
      <c r="H59" s="12"/>
      <c r="I59" s="11"/>
    </row>
    <row r="60" spans="1:9" x14ac:dyDescent="0.25">
      <c r="A60" s="12">
        <v>80</v>
      </c>
      <c r="B60" s="12">
        <v>89</v>
      </c>
      <c r="C60" s="11">
        <v>4</v>
      </c>
      <c r="D60" s="12">
        <v>76</v>
      </c>
      <c r="E60" s="11" t="s">
        <v>2402</v>
      </c>
      <c r="F60" s="12">
        <v>55</v>
      </c>
      <c r="G60" s="11" t="s">
        <v>2443</v>
      </c>
      <c r="H60" s="12"/>
      <c r="I60" s="11"/>
    </row>
    <row r="61" spans="1:9" x14ac:dyDescent="0.25">
      <c r="A61" s="12">
        <v>80</v>
      </c>
      <c r="B61" s="12">
        <v>89</v>
      </c>
      <c r="C61" s="11">
        <v>6</v>
      </c>
      <c r="D61" s="12">
        <v>76</v>
      </c>
      <c r="E61" s="11">
        <v>5</v>
      </c>
      <c r="F61" s="12">
        <v>55</v>
      </c>
      <c r="G61" s="11" t="s">
        <v>2401</v>
      </c>
      <c r="H61" s="12"/>
      <c r="I61" s="11"/>
    </row>
    <row r="62" spans="1:9" x14ac:dyDescent="0.25">
      <c r="A62" s="11">
        <v>80</v>
      </c>
      <c r="B62" s="11">
        <v>89</v>
      </c>
      <c r="C62" s="11">
        <v>8</v>
      </c>
      <c r="D62" s="11">
        <v>76</v>
      </c>
      <c r="E62" s="11">
        <v>6</v>
      </c>
      <c r="F62" s="11">
        <v>55</v>
      </c>
      <c r="G62" s="11" t="s">
        <v>2444</v>
      </c>
      <c r="H62" s="12"/>
      <c r="I62" s="11"/>
    </row>
    <row r="63" spans="1:9" x14ac:dyDescent="0.25">
      <c r="A63" s="12">
        <v>80</v>
      </c>
      <c r="B63" s="12">
        <v>89</v>
      </c>
      <c r="C63" s="11" t="s">
        <v>2402</v>
      </c>
      <c r="D63" s="11">
        <v>76</v>
      </c>
      <c r="E63" s="11" t="s">
        <v>2402</v>
      </c>
      <c r="F63" s="11">
        <v>75</v>
      </c>
      <c r="G63" s="11" t="s">
        <v>2400</v>
      </c>
      <c r="H63" s="12"/>
      <c r="I63" s="11"/>
    </row>
    <row r="64" spans="1:9" x14ac:dyDescent="0.25">
      <c r="A64" s="12">
        <v>80</v>
      </c>
      <c r="B64" s="12">
        <v>89</v>
      </c>
      <c r="C64" s="11">
        <v>6</v>
      </c>
      <c r="D64" s="12">
        <v>76</v>
      </c>
      <c r="E64" s="11">
        <v>5</v>
      </c>
      <c r="F64" s="12">
        <v>75</v>
      </c>
      <c r="G64" s="11" t="s">
        <v>2444</v>
      </c>
      <c r="H64" s="12"/>
      <c r="I64" s="11"/>
    </row>
    <row r="65" spans="1:9" x14ac:dyDescent="0.25">
      <c r="A65" s="12">
        <v>80</v>
      </c>
      <c r="B65" s="12">
        <v>89</v>
      </c>
      <c r="C65" s="11">
        <v>8</v>
      </c>
      <c r="D65" s="12">
        <v>76</v>
      </c>
      <c r="E65" s="11">
        <v>6</v>
      </c>
      <c r="F65" s="12">
        <v>75</v>
      </c>
      <c r="G65" s="11" t="s">
        <v>2448</v>
      </c>
      <c r="H65" s="12"/>
      <c r="I65" s="11"/>
    </row>
    <row r="66" spans="1:9" x14ac:dyDescent="0.25">
      <c r="A66" s="11">
        <v>100</v>
      </c>
      <c r="B66" s="11">
        <v>108</v>
      </c>
      <c r="C66" s="11">
        <v>4</v>
      </c>
      <c r="D66" s="11">
        <v>57</v>
      </c>
      <c r="E66" s="11">
        <v>3</v>
      </c>
      <c r="F66" s="11">
        <v>80</v>
      </c>
      <c r="G66" s="11" t="s">
        <v>2444</v>
      </c>
      <c r="H66" s="12"/>
      <c r="I66" s="11"/>
    </row>
    <row r="67" spans="1:9" x14ac:dyDescent="0.25">
      <c r="A67" s="12">
        <v>100</v>
      </c>
      <c r="B67" s="12">
        <v>108</v>
      </c>
      <c r="C67" s="11">
        <v>6</v>
      </c>
      <c r="D67" s="11">
        <v>57</v>
      </c>
      <c r="E67" s="11">
        <v>4</v>
      </c>
      <c r="F67" s="12">
        <v>80</v>
      </c>
      <c r="G67" s="11" t="s">
        <v>2448</v>
      </c>
      <c r="H67" s="12"/>
      <c r="I67" s="11"/>
    </row>
    <row r="68" spans="1:9" x14ac:dyDescent="0.25">
      <c r="A68" s="12">
        <v>100</v>
      </c>
      <c r="B68" s="12">
        <v>108</v>
      </c>
      <c r="C68" s="11">
        <v>8</v>
      </c>
      <c r="D68" s="12">
        <v>57</v>
      </c>
      <c r="E68" s="11">
        <v>5</v>
      </c>
      <c r="F68" s="12">
        <v>80</v>
      </c>
      <c r="G68" s="11" t="s">
        <v>2405</v>
      </c>
      <c r="H68" s="12"/>
      <c r="I68" s="11"/>
    </row>
    <row r="69" spans="1:9" x14ac:dyDescent="0.25">
      <c r="A69" s="12">
        <v>100</v>
      </c>
      <c r="B69" s="12">
        <v>108</v>
      </c>
      <c r="C69" s="11">
        <v>9</v>
      </c>
      <c r="D69" s="12">
        <v>57</v>
      </c>
      <c r="E69" s="11">
        <v>6</v>
      </c>
      <c r="F69" s="12">
        <v>80</v>
      </c>
      <c r="G69" s="11" t="s">
        <v>2480</v>
      </c>
      <c r="H69" s="12"/>
      <c r="I69" s="11"/>
    </row>
    <row r="70" spans="1:9" x14ac:dyDescent="0.25">
      <c r="A70" s="12">
        <v>100</v>
      </c>
      <c r="B70" s="11">
        <v>108</v>
      </c>
      <c r="C70" s="11">
        <v>4</v>
      </c>
      <c r="D70" s="11">
        <v>76</v>
      </c>
      <c r="E70" s="11" t="s">
        <v>2402</v>
      </c>
      <c r="F70" s="12">
        <v>80</v>
      </c>
      <c r="G70" s="11" t="s">
        <v>2444</v>
      </c>
      <c r="H70" s="12"/>
      <c r="I70" s="11"/>
    </row>
    <row r="71" spans="1:9" x14ac:dyDescent="0.25">
      <c r="A71" s="12">
        <v>100</v>
      </c>
      <c r="B71" s="12">
        <v>108</v>
      </c>
      <c r="C71" s="11">
        <v>6</v>
      </c>
      <c r="D71" s="12">
        <v>76</v>
      </c>
      <c r="E71" s="11">
        <v>5</v>
      </c>
      <c r="F71" s="12">
        <v>80</v>
      </c>
      <c r="G71" s="11" t="s">
        <v>2448</v>
      </c>
      <c r="H71" s="12"/>
      <c r="I71" s="11"/>
    </row>
    <row r="72" spans="1:9" x14ac:dyDescent="0.25">
      <c r="A72" s="12">
        <v>100</v>
      </c>
      <c r="B72" s="12">
        <v>108</v>
      </c>
      <c r="C72" s="11">
        <v>8</v>
      </c>
      <c r="D72" s="12">
        <v>76</v>
      </c>
      <c r="E72" s="11">
        <v>6</v>
      </c>
      <c r="F72" s="12">
        <v>80</v>
      </c>
      <c r="G72" s="11" t="s">
        <v>2405</v>
      </c>
      <c r="H72" s="12"/>
      <c r="I72" s="11"/>
    </row>
    <row r="73" spans="1:9" x14ac:dyDescent="0.25">
      <c r="A73" s="12">
        <v>100</v>
      </c>
      <c r="B73" s="12">
        <v>108</v>
      </c>
      <c r="C73" s="11">
        <v>9</v>
      </c>
      <c r="D73" s="12">
        <v>76</v>
      </c>
      <c r="E73" s="11">
        <v>7</v>
      </c>
      <c r="F73" s="12">
        <v>80</v>
      </c>
      <c r="G73" s="11" t="s">
        <v>2480</v>
      </c>
      <c r="H73" s="12"/>
      <c r="I73" s="11"/>
    </row>
    <row r="74" spans="1:9" x14ac:dyDescent="0.25">
      <c r="A74" s="12">
        <v>100</v>
      </c>
      <c r="B74" s="12">
        <v>108</v>
      </c>
      <c r="C74" s="11">
        <v>4</v>
      </c>
      <c r="D74" s="11">
        <v>89</v>
      </c>
      <c r="E74" s="11" t="s">
        <v>2402</v>
      </c>
      <c r="F74" s="12">
        <v>80</v>
      </c>
      <c r="G74" s="11" t="s">
        <v>2444</v>
      </c>
      <c r="H74" s="12"/>
      <c r="I74" s="11"/>
    </row>
    <row r="75" spans="1:9" x14ac:dyDescent="0.25">
      <c r="A75" s="12">
        <v>100</v>
      </c>
      <c r="B75" s="12">
        <v>108</v>
      </c>
      <c r="C75" s="11">
        <v>6</v>
      </c>
      <c r="D75" s="12">
        <v>89</v>
      </c>
      <c r="E75" s="11">
        <v>6</v>
      </c>
      <c r="F75" s="12">
        <v>80</v>
      </c>
      <c r="G75" s="11" t="s">
        <v>2448</v>
      </c>
      <c r="H75" s="12"/>
      <c r="I75" s="11"/>
    </row>
    <row r="76" spans="1:9" x14ac:dyDescent="0.25">
      <c r="A76" s="12">
        <v>100</v>
      </c>
      <c r="B76" s="12">
        <v>108</v>
      </c>
      <c r="C76" s="11">
        <v>8</v>
      </c>
      <c r="D76" s="12">
        <v>89</v>
      </c>
      <c r="E76" s="11">
        <v>8</v>
      </c>
      <c r="F76" s="12">
        <v>80</v>
      </c>
      <c r="G76" s="11" t="s">
        <v>2405</v>
      </c>
      <c r="H76" s="12"/>
      <c r="I76" s="11"/>
    </row>
    <row r="77" spans="1:9" x14ac:dyDescent="0.25">
      <c r="A77" s="12">
        <v>100</v>
      </c>
      <c r="B77" s="12">
        <v>108</v>
      </c>
      <c r="C77" s="11">
        <v>9</v>
      </c>
      <c r="D77" s="12">
        <v>89</v>
      </c>
      <c r="E77" s="11">
        <v>8</v>
      </c>
      <c r="F77" s="12">
        <v>80</v>
      </c>
      <c r="G77" s="11" t="s">
        <v>2480</v>
      </c>
      <c r="H77" s="12"/>
      <c r="I77" s="11"/>
    </row>
    <row r="78" spans="1:9" x14ac:dyDescent="0.25">
      <c r="A78" s="12">
        <v>100</v>
      </c>
      <c r="B78" s="11">
        <v>114</v>
      </c>
      <c r="C78" s="11">
        <v>4</v>
      </c>
      <c r="D78" s="11">
        <v>57</v>
      </c>
      <c r="E78" s="11">
        <v>3</v>
      </c>
      <c r="F78" s="12">
        <v>80</v>
      </c>
      <c r="G78" s="11">
        <v>1</v>
      </c>
      <c r="H78" s="12"/>
      <c r="I78" s="11"/>
    </row>
    <row r="79" spans="1:9" x14ac:dyDescent="0.25">
      <c r="A79" s="12">
        <v>100</v>
      </c>
      <c r="B79" s="12">
        <v>114</v>
      </c>
      <c r="C79" s="11">
        <v>6</v>
      </c>
      <c r="D79" s="12">
        <v>57</v>
      </c>
      <c r="E79" s="11">
        <v>4</v>
      </c>
      <c r="F79" s="12">
        <v>80</v>
      </c>
      <c r="G79" s="11" t="s">
        <v>2446</v>
      </c>
      <c r="H79" s="12"/>
      <c r="I79" s="11"/>
    </row>
    <row r="80" spans="1:9" x14ac:dyDescent="0.25">
      <c r="A80" s="12">
        <v>100</v>
      </c>
      <c r="B80" s="12">
        <v>114</v>
      </c>
      <c r="C80" s="11">
        <v>8</v>
      </c>
      <c r="D80" s="12">
        <v>57</v>
      </c>
      <c r="E80" s="11">
        <v>5</v>
      </c>
      <c r="F80" s="12">
        <v>80</v>
      </c>
      <c r="G80" s="11" t="s">
        <v>2447</v>
      </c>
      <c r="H80" s="12"/>
      <c r="I80" s="11"/>
    </row>
    <row r="81" spans="1:9" x14ac:dyDescent="0.25">
      <c r="A81" s="12">
        <v>100</v>
      </c>
      <c r="B81" s="12">
        <v>114</v>
      </c>
      <c r="C81" s="11">
        <v>9</v>
      </c>
      <c r="D81" s="12">
        <v>57</v>
      </c>
      <c r="E81" s="11">
        <v>6</v>
      </c>
      <c r="F81" s="12">
        <v>80</v>
      </c>
      <c r="G81" s="11" t="s">
        <v>2449</v>
      </c>
      <c r="H81" s="12"/>
      <c r="I81" s="11"/>
    </row>
    <row r="82" spans="1:9" x14ac:dyDescent="0.25">
      <c r="A82" s="12">
        <v>100</v>
      </c>
      <c r="B82" s="12">
        <v>114</v>
      </c>
      <c r="C82" s="11">
        <v>4</v>
      </c>
      <c r="D82" s="11">
        <v>76</v>
      </c>
      <c r="E82" s="11" t="s">
        <v>2402</v>
      </c>
      <c r="F82" s="12">
        <v>80</v>
      </c>
      <c r="G82" s="11">
        <v>1</v>
      </c>
      <c r="H82" s="12"/>
      <c r="I82" s="11"/>
    </row>
    <row r="83" spans="1:9" x14ac:dyDescent="0.25">
      <c r="A83" s="12">
        <v>100</v>
      </c>
      <c r="B83" s="12">
        <v>114</v>
      </c>
      <c r="C83" s="11">
        <v>6</v>
      </c>
      <c r="D83" s="12">
        <v>76</v>
      </c>
      <c r="E83" s="11">
        <v>5</v>
      </c>
      <c r="F83" s="12">
        <v>80</v>
      </c>
      <c r="G83" s="11" t="s">
        <v>2446</v>
      </c>
      <c r="H83" s="11"/>
      <c r="I83" s="11"/>
    </row>
    <row r="84" spans="1:9" x14ac:dyDescent="0.25">
      <c r="A84" s="12">
        <v>100</v>
      </c>
      <c r="B84" s="12">
        <v>114</v>
      </c>
      <c r="C84" s="11">
        <v>8</v>
      </c>
      <c r="D84" s="12">
        <v>76</v>
      </c>
      <c r="E84" s="11">
        <v>6</v>
      </c>
      <c r="F84" s="12">
        <v>80</v>
      </c>
      <c r="G84" s="11" t="s">
        <v>2447</v>
      </c>
      <c r="H84" s="12"/>
      <c r="I84" s="11"/>
    </row>
    <row r="85" spans="1:9" x14ac:dyDescent="0.25">
      <c r="A85" s="12">
        <v>100</v>
      </c>
      <c r="B85" s="12">
        <v>114</v>
      </c>
      <c r="C85" s="11">
        <v>9</v>
      </c>
      <c r="D85" s="12">
        <v>76</v>
      </c>
      <c r="E85" s="11">
        <v>7</v>
      </c>
      <c r="F85" s="12">
        <v>80</v>
      </c>
      <c r="G85" s="11" t="s">
        <v>2449</v>
      </c>
      <c r="H85" s="12"/>
      <c r="I85" s="11"/>
    </row>
    <row r="86" spans="1:9" x14ac:dyDescent="0.25">
      <c r="A86" s="12">
        <v>100</v>
      </c>
      <c r="B86" s="12">
        <v>114</v>
      </c>
      <c r="C86" s="11">
        <v>4</v>
      </c>
      <c r="D86" s="11">
        <v>89</v>
      </c>
      <c r="E86" s="11" t="s">
        <v>2402</v>
      </c>
      <c r="F86" s="12">
        <v>80</v>
      </c>
      <c r="G86" s="11">
        <v>1</v>
      </c>
      <c r="H86" s="12"/>
      <c r="I86" s="11"/>
    </row>
    <row r="87" spans="1:9" x14ac:dyDescent="0.25">
      <c r="A87" s="12">
        <v>100</v>
      </c>
      <c r="B87" s="12">
        <v>114</v>
      </c>
      <c r="C87" s="11">
        <v>6</v>
      </c>
      <c r="D87" s="12">
        <v>89</v>
      </c>
      <c r="E87" s="11">
        <v>6</v>
      </c>
      <c r="F87" s="12">
        <v>80</v>
      </c>
      <c r="G87" s="11" t="s">
        <v>2446</v>
      </c>
      <c r="H87" s="12"/>
      <c r="I87" s="11"/>
    </row>
    <row r="88" spans="1:9" x14ac:dyDescent="0.25">
      <c r="A88" s="12">
        <v>100</v>
      </c>
      <c r="B88" s="12">
        <v>114</v>
      </c>
      <c r="C88" s="11">
        <v>8</v>
      </c>
      <c r="D88" s="12">
        <v>89</v>
      </c>
      <c r="E88" s="11">
        <v>8</v>
      </c>
      <c r="F88" s="12">
        <v>80</v>
      </c>
      <c r="G88" s="11" t="s">
        <v>2447</v>
      </c>
      <c r="H88" s="12"/>
      <c r="I88" s="11"/>
    </row>
    <row r="89" spans="1:9" x14ac:dyDescent="0.25">
      <c r="A89" s="12">
        <v>100</v>
      </c>
      <c r="B89" s="12">
        <v>114</v>
      </c>
      <c r="C89" s="11">
        <v>9</v>
      </c>
      <c r="D89" s="12">
        <v>89</v>
      </c>
      <c r="E89" s="11">
        <v>8</v>
      </c>
      <c r="F89" s="12">
        <v>80</v>
      </c>
      <c r="G89" s="11" t="s">
        <v>2449</v>
      </c>
      <c r="H89" s="12"/>
      <c r="I89" s="11"/>
    </row>
    <row r="90" spans="1:9" x14ac:dyDescent="0.25">
      <c r="A90" s="11">
        <v>125</v>
      </c>
      <c r="B90" s="11">
        <v>133</v>
      </c>
      <c r="C90" s="11">
        <v>4</v>
      </c>
      <c r="D90" s="11">
        <v>57</v>
      </c>
      <c r="E90" s="11">
        <v>3</v>
      </c>
      <c r="F90" s="11">
        <v>100</v>
      </c>
      <c r="G90" s="11" t="s">
        <v>2446</v>
      </c>
      <c r="H90" s="12"/>
      <c r="I90" s="11"/>
    </row>
    <row r="91" spans="1:9" x14ac:dyDescent="0.25">
      <c r="A91" s="12">
        <v>125</v>
      </c>
      <c r="B91" s="12">
        <v>133</v>
      </c>
      <c r="C91" s="11">
        <v>8</v>
      </c>
      <c r="D91" s="12">
        <v>57</v>
      </c>
      <c r="E91" s="11">
        <v>4</v>
      </c>
      <c r="F91" s="12">
        <v>100</v>
      </c>
      <c r="G91" s="11" t="s">
        <v>2399</v>
      </c>
      <c r="H91" s="12"/>
      <c r="I91" s="11"/>
    </row>
    <row r="92" spans="1:9" x14ac:dyDescent="0.25">
      <c r="A92" s="12">
        <v>125</v>
      </c>
      <c r="B92" s="12">
        <v>133</v>
      </c>
      <c r="C92" s="11">
        <v>10</v>
      </c>
      <c r="D92" s="12">
        <v>57</v>
      </c>
      <c r="E92" s="11">
        <v>5</v>
      </c>
      <c r="F92" s="12">
        <v>100</v>
      </c>
      <c r="G92" s="11" t="s">
        <v>2457</v>
      </c>
      <c r="H92" s="12"/>
      <c r="I92" s="11"/>
    </row>
    <row r="93" spans="1:9" x14ac:dyDescent="0.25">
      <c r="A93" s="12">
        <v>125</v>
      </c>
      <c r="B93" s="12">
        <v>133</v>
      </c>
      <c r="C93" s="11">
        <v>5</v>
      </c>
      <c r="D93" s="11">
        <v>76</v>
      </c>
      <c r="E93" s="11" t="s">
        <v>2402</v>
      </c>
      <c r="F93" s="12">
        <v>100</v>
      </c>
      <c r="G93" s="11" t="s">
        <v>2405</v>
      </c>
      <c r="H93" s="12"/>
      <c r="I93" s="11"/>
    </row>
    <row r="94" spans="1:9" x14ac:dyDescent="0.25">
      <c r="A94" s="12">
        <v>125</v>
      </c>
      <c r="B94" s="12">
        <v>133</v>
      </c>
      <c r="C94" s="11">
        <v>8</v>
      </c>
      <c r="D94" s="12">
        <v>76</v>
      </c>
      <c r="E94" s="11">
        <v>5</v>
      </c>
      <c r="F94" s="12">
        <v>100</v>
      </c>
      <c r="G94" s="11" t="s">
        <v>2399</v>
      </c>
      <c r="H94" s="12"/>
      <c r="I94" s="11"/>
    </row>
    <row r="95" spans="1:9" x14ac:dyDescent="0.25">
      <c r="A95" s="12">
        <v>125</v>
      </c>
      <c r="B95" s="12">
        <v>133</v>
      </c>
      <c r="C95" s="11">
        <v>10</v>
      </c>
      <c r="D95" s="12">
        <v>76</v>
      </c>
      <c r="E95" s="11">
        <v>6</v>
      </c>
      <c r="F95" s="12">
        <v>100</v>
      </c>
      <c r="G95" s="11" t="s">
        <v>2457</v>
      </c>
      <c r="H95" s="12"/>
      <c r="I95" s="11"/>
    </row>
    <row r="96" spans="1:9" x14ac:dyDescent="0.25">
      <c r="A96" s="12">
        <v>125</v>
      </c>
      <c r="B96" s="12">
        <v>133</v>
      </c>
      <c r="C96" s="11">
        <v>4</v>
      </c>
      <c r="D96" s="11">
        <v>89</v>
      </c>
      <c r="E96" s="11" t="s">
        <v>2402</v>
      </c>
      <c r="F96" s="12">
        <v>100</v>
      </c>
      <c r="G96" s="11" t="s">
        <v>2446</v>
      </c>
      <c r="H96" s="12"/>
      <c r="I96" s="11"/>
    </row>
    <row r="97" spans="1:9" x14ac:dyDescent="0.25">
      <c r="A97" s="12">
        <v>125</v>
      </c>
      <c r="B97" s="12">
        <v>133</v>
      </c>
      <c r="C97" s="11">
        <v>6</v>
      </c>
      <c r="D97" s="11">
        <v>89</v>
      </c>
      <c r="E97" s="11">
        <v>5</v>
      </c>
      <c r="F97" s="12">
        <v>100</v>
      </c>
      <c r="G97" s="11" t="s">
        <v>2449</v>
      </c>
      <c r="H97" s="12"/>
      <c r="I97" s="11"/>
    </row>
    <row r="98" spans="1:9" x14ac:dyDescent="0.25">
      <c r="A98" s="12">
        <v>125</v>
      </c>
      <c r="B98" s="12">
        <v>133</v>
      </c>
      <c r="C98" s="11">
        <v>8</v>
      </c>
      <c r="D98" s="12">
        <v>89</v>
      </c>
      <c r="E98" s="11">
        <v>6</v>
      </c>
      <c r="F98" s="12">
        <v>100</v>
      </c>
      <c r="G98" s="11" t="s">
        <v>2399</v>
      </c>
      <c r="H98" s="11"/>
      <c r="I98" s="11"/>
    </row>
    <row r="99" spans="1:9" x14ac:dyDescent="0.25">
      <c r="A99" s="12">
        <v>125</v>
      </c>
      <c r="B99" s="12">
        <v>133</v>
      </c>
      <c r="C99" s="11">
        <v>5</v>
      </c>
      <c r="D99" s="11">
        <v>108</v>
      </c>
      <c r="E99" s="11">
        <v>4</v>
      </c>
      <c r="F99" s="12">
        <v>100</v>
      </c>
      <c r="G99" s="11" t="s">
        <v>2405</v>
      </c>
      <c r="H99" s="12"/>
      <c r="I99" s="11"/>
    </row>
    <row r="100" spans="1:9" x14ac:dyDescent="0.25">
      <c r="A100" s="12">
        <v>125</v>
      </c>
      <c r="B100" s="12">
        <v>133</v>
      </c>
      <c r="C100" s="11">
        <v>8</v>
      </c>
      <c r="D100" s="11">
        <v>108</v>
      </c>
      <c r="E100" s="11">
        <v>6</v>
      </c>
      <c r="F100" s="12">
        <v>100</v>
      </c>
      <c r="G100" s="11" t="s">
        <v>2399</v>
      </c>
      <c r="H100" s="12"/>
      <c r="I100" s="11"/>
    </row>
    <row r="101" spans="1:9" x14ac:dyDescent="0.25">
      <c r="A101" s="12">
        <v>125</v>
      </c>
      <c r="B101" s="12">
        <v>133</v>
      </c>
      <c r="C101" s="11">
        <v>8</v>
      </c>
      <c r="D101" s="12">
        <v>108</v>
      </c>
      <c r="E101" s="11">
        <v>8</v>
      </c>
      <c r="F101" s="12">
        <v>100</v>
      </c>
      <c r="G101" s="11" t="s">
        <v>2399</v>
      </c>
      <c r="H101" s="12"/>
      <c r="I101" s="11"/>
    </row>
    <row r="102" spans="1:9" x14ac:dyDescent="0.25">
      <c r="A102" s="12">
        <v>125</v>
      </c>
      <c r="B102" s="12">
        <v>133</v>
      </c>
      <c r="C102" s="11">
        <v>10</v>
      </c>
      <c r="D102" s="12">
        <v>108</v>
      </c>
      <c r="E102" s="11">
        <v>9</v>
      </c>
      <c r="F102" s="12">
        <v>100</v>
      </c>
      <c r="G102" s="11" t="s">
        <v>2457</v>
      </c>
      <c r="H102" s="12"/>
      <c r="I102" s="11"/>
    </row>
    <row r="103" spans="1:9" x14ac:dyDescent="0.25">
      <c r="A103" s="12">
        <v>125</v>
      </c>
      <c r="B103" s="12">
        <v>133</v>
      </c>
      <c r="C103" s="11">
        <v>5</v>
      </c>
      <c r="D103" s="12">
        <v>108</v>
      </c>
      <c r="E103" s="11">
        <v>4</v>
      </c>
      <c r="F103" s="11">
        <v>80</v>
      </c>
      <c r="G103" s="11" t="s">
        <v>2446</v>
      </c>
      <c r="H103" s="12"/>
      <c r="I103" s="11"/>
    </row>
    <row r="104" spans="1:9" x14ac:dyDescent="0.25">
      <c r="A104" s="12">
        <v>125</v>
      </c>
      <c r="B104" s="12">
        <v>133</v>
      </c>
      <c r="C104" s="11">
        <v>6</v>
      </c>
      <c r="D104" s="12">
        <v>108</v>
      </c>
      <c r="E104" s="11">
        <v>5</v>
      </c>
      <c r="F104" s="12">
        <v>80</v>
      </c>
      <c r="G104" s="11" t="s">
        <v>2405</v>
      </c>
      <c r="H104" s="12"/>
      <c r="I104" s="11"/>
    </row>
    <row r="105" spans="1:9" x14ac:dyDescent="0.25">
      <c r="A105" s="12">
        <v>125</v>
      </c>
      <c r="B105" s="12">
        <v>133</v>
      </c>
      <c r="C105" s="11">
        <v>8</v>
      </c>
      <c r="D105" s="12">
        <v>108</v>
      </c>
      <c r="E105" s="11">
        <v>7</v>
      </c>
      <c r="F105" s="12">
        <v>80</v>
      </c>
      <c r="G105" s="11">
        <v>2</v>
      </c>
      <c r="H105" s="12"/>
      <c r="I105" s="11"/>
    </row>
    <row r="106" spans="1:9" x14ac:dyDescent="0.25">
      <c r="A106" s="12">
        <v>125</v>
      </c>
      <c r="B106" s="12">
        <v>133</v>
      </c>
      <c r="C106" s="11">
        <v>10</v>
      </c>
      <c r="D106" s="12">
        <v>108</v>
      </c>
      <c r="E106" s="11">
        <v>9</v>
      </c>
      <c r="F106" s="12">
        <v>80</v>
      </c>
      <c r="G106" s="11" t="s">
        <v>2399</v>
      </c>
      <c r="H106" s="12"/>
      <c r="I106" s="11"/>
    </row>
    <row r="107" spans="1:9" x14ac:dyDescent="0.25">
      <c r="A107" s="12">
        <v>125</v>
      </c>
      <c r="B107" s="11">
        <v>133</v>
      </c>
      <c r="C107" s="11">
        <v>5</v>
      </c>
      <c r="D107" s="11">
        <v>114</v>
      </c>
      <c r="E107" s="11" t="s">
        <v>2410</v>
      </c>
      <c r="F107" s="11">
        <v>80</v>
      </c>
      <c r="G107" s="11" t="s">
        <v>2446</v>
      </c>
      <c r="H107" s="12"/>
      <c r="I107" s="11"/>
    </row>
    <row r="108" spans="1:9" x14ac:dyDescent="0.25">
      <c r="A108" s="12">
        <v>125</v>
      </c>
      <c r="B108" s="12">
        <v>133</v>
      </c>
      <c r="C108" s="11">
        <v>6</v>
      </c>
      <c r="D108" s="12">
        <v>114</v>
      </c>
      <c r="E108" s="11">
        <v>5</v>
      </c>
      <c r="F108" s="12">
        <v>80</v>
      </c>
      <c r="G108" s="11" t="s">
        <v>2405</v>
      </c>
      <c r="H108" s="12"/>
      <c r="I108" s="11"/>
    </row>
    <row r="109" spans="1:9" x14ac:dyDescent="0.25">
      <c r="A109" s="12">
        <v>125</v>
      </c>
      <c r="B109" s="12">
        <v>133</v>
      </c>
      <c r="C109" s="11">
        <v>8</v>
      </c>
      <c r="D109" s="11">
        <v>114</v>
      </c>
      <c r="E109" s="11">
        <v>6</v>
      </c>
      <c r="F109" s="12">
        <v>80</v>
      </c>
      <c r="G109" s="11">
        <v>2</v>
      </c>
      <c r="H109" s="12"/>
      <c r="I109" s="11"/>
    </row>
    <row r="110" spans="1:9" x14ac:dyDescent="0.25">
      <c r="A110" s="12">
        <v>125</v>
      </c>
      <c r="B110" s="12">
        <v>133</v>
      </c>
      <c r="C110" s="11">
        <v>10</v>
      </c>
      <c r="D110" s="12">
        <v>114</v>
      </c>
      <c r="E110" s="11">
        <v>8</v>
      </c>
      <c r="F110" s="12">
        <v>80</v>
      </c>
      <c r="G110" s="11" t="s">
        <v>2399</v>
      </c>
      <c r="H110" s="12"/>
      <c r="I110" s="11"/>
    </row>
    <row r="111" spans="1:9" x14ac:dyDescent="0.25">
      <c r="A111" s="12">
        <v>125</v>
      </c>
      <c r="B111" s="12">
        <v>133</v>
      </c>
      <c r="C111" s="11">
        <v>5</v>
      </c>
      <c r="D111" s="12">
        <v>114</v>
      </c>
      <c r="E111" s="11">
        <v>4</v>
      </c>
      <c r="F111" s="11">
        <v>100</v>
      </c>
      <c r="G111" s="11" t="s">
        <v>2405</v>
      </c>
      <c r="H111" s="12"/>
      <c r="I111" s="11"/>
    </row>
    <row r="112" spans="1:9" x14ac:dyDescent="0.25">
      <c r="A112" s="12">
        <v>125</v>
      </c>
      <c r="B112" s="12">
        <v>133</v>
      </c>
      <c r="C112" s="11">
        <v>8</v>
      </c>
      <c r="D112" s="11">
        <v>114</v>
      </c>
      <c r="E112" s="11">
        <v>6</v>
      </c>
      <c r="F112" s="12">
        <v>100</v>
      </c>
      <c r="G112" s="11" t="s">
        <v>2399</v>
      </c>
      <c r="H112" s="12"/>
      <c r="I112" s="11"/>
    </row>
    <row r="113" spans="1:9" x14ac:dyDescent="0.25">
      <c r="A113" s="12">
        <v>125</v>
      </c>
      <c r="B113" s="12">
        <v>133</v>
      </c>
      <c r="C113" s="11">
        <v>8</v>
      </c>
      <c r="D113" s="11">
        <v>114</v>
      </c>
      <c r="E113" s="11">
        <v>8</v>
      </c>
      <c r="F113" s="12">
        <v>100</v>
      </c>
      <c r="G113" s="11" t="s">
        <v>2399</v>
      </c>
      <c r="H113" s="11"/>
      <c r="I113" s="11"/>
    </row>
    <row r="114" spans="1:9" x14ac:dyDescent="0.25">
      <c r="A114" s="12">
        <v>125</v>
      </c>
      <c r="B114" s="12">
        <v>133</v>
      </c>
      <c r="C114" s="11">
        <v>10</v>
      </c>
      <c r="D114" s="12">
        <v>114</v>
      </c>
      <c r="E114" s="11">
        <v>9</v>
      </c>
      <c r="F114" s="12">
        <v>100</v>
      </c>
      <c r="G114" s="11" t="s">
        <v>2457</v>
      </c>
      <c r="H114" s="12"/>
      <c r="I114" s="11"/>
    </row>
    <row r="115" spans="1:9" x14ac:dyDescent="0.25">
      <c r="A115" s="11">
        <v>150</v>
      </c>
      <c r="B115" s="11">
        <v>159</v>
      </c>
      <c r="C115" s="11" t="s">
        <v>2410</v>
      </c>
      <c r="D115" s="11">
        <v>57</v>
      </c>
      <c r="E115" s="11">
        <v>3</v>
      </c>
      <c r="F115" s="11">
        <v>75</v>
      </c>
      <c r="G115" s="11" t="s">
        <v>2406</v>
      </c>
      <c r="H115" s="12"/>
      <c r="I115" s="11"/>
    </row>
    <row r="116" spans="1:9" x14ac:dyDescent="0.25">
      <c r="A116" s="12">
        <v>150</v>
      </c>
      <c r="B116" s="12">
        <v>159</v>
      </c>
      <c r="C116" s="11">
        <v>8</v>
      </c>
      <c r="D116" s="11">
        <v>57</v>
      </c>
      <c r="E116" s="11">
        <v>4</v>
      </c>
      <c r="F116" s="12">
        <v>75</v>
      </c>
      <c r="G116" s="11" t="s">
        <v>2453</v>
      </c>
      <c r="H116" s="12"/>
      <c r="I116" s="11"/>
    </row>
    <row r="117" spans="1:9" x14ac:dyDescent="0.25">
      <c r="A117" s="12">
        <v>150</v>
      </c>
      <c r="B117" s="12">
        <v>159</v>
      </c>
      <c r="C117" s="11">
        <v>10</v>
      </c>
      <c r="D117" s="12">
        <v>57</v>
      </c>
      <c r="E117" s="11">
        <v>5</v>
      </c>
      <c r="F117" s="12">
        <v>75</v>
      </c>
      <c r="G117" s="11" t="s">
        <v>2481</v>
      </c>
      <c r="H117" s="12"/>
      <c r="I117" s="11"/>
    </row>
    <row r="118" spans="1:9" x14ac:dyDescent="0.25">
      <c r="A118" s="12">
        <v>150</v>
      </c>
      <c r="B118" s="12">
        <v>159</v>
      </c>
      <c r="C118" s="11">
        <v>12</v>
      </c>
      <c r="D118" s="12">
        <v>57</v>
      </c>
      <c r="E118" s="11">
        <v>6</v>
      </c>
      <c r="F118" s="12">
        <v>75</v>
      </c>
      <c r="G118" s="11" t="s">
        <v>2455</v>
      </c>
      <c r="H118" s="12"/>
      <c r="I118" s="11"/>
    </row>
    <row r="119" spans="1:9" x14ac:dyDescent="0.25">
      <c r="A119" s="12">
        <v>150</v>
      </c>
      <c r="B119" s="12">
        <v>159</v>
      </c>
      <c r="C119" s="11" t="s">
        <v>2410</v>
      </c>
      <c r="D119" s="11">
        <v>76</v>
      </c>
      <c r="E119" s="11" t="s">
        <v>2402</v>
      </c>
      <c r="F119" s="12">
        <v>75</v>
      </c>
      <c r="G119" s="11" t="s">
        <v>2406</v>
      </c>
      <c r="H119" s="12"/>
      <c r="I119" s="11"/>
    </row>
    <row r="120" spans="1:9" x14ac:dyDescent="0.25">
      <c r="A120" s="12">
        <v>150</v>
      </c>
      <c r="B120" s="12">
        <v>159</v>
      </c>
      <c r="C120" s="11">
        <v>8</v>
      </c>
      <c r="D120" s="11">
        <v>76</v>
      </c>
      <c r="E120" s="11">
        <v>5</v>
      </c>
      <c r="F120" s="12">
        <v>75</v>
      </c>
      <c r="G120" s="11" t="s">
        <v>2453</v>
      </c>
      <c r="H120" s="12"/>
      <c r="I120" s="11"/>
    </row>
    <row r="121" spans="1:9" x14ac:dyDescent="0.25">
      <c r="A121" s="12">
        <v>150</v>
      </c>
      <c r="B121" s="12">
        <v>159</v>
      </c>
      <c r="C121" s="11">
        <v>10</v>
      </c>
      <c r="D121" s="12">
        <v>76</v>
      </c>
      <c r="E121" s="11">
        <v>6</v>
      </c>
      <c r="F121" s="12">
        <v>75</v>
      </c>
      <c r="G121" s="11" t="s">
        <v>2481</v>
      </c>
      <c r="H121" s="12"/>
      <c r="I121" s="11"/>
    </row>
    <row r="122" spans="1:9" x14ac:dyDescent="0.25">
      <c r="A122" s="12">
        <v>150</v>
      </c>
      <c r="B122" s="12">
        <v>159</v>
      </c>
      <c r="C122" s="11">
        <v>12</v>
      </c>
      <c r="D122" s="12">
        <v>76</v>
      </c>
      <c r="E122" s="11">
        <v>7</v>
      </c>
      <c r="F122" s="12">
        <v>75</v>
      </c>
      <c r="G122" s="11" t="s">
        <v>2455</v>
      </c>
      <c r="H122" s="12"/>
      <c r="I122" s="11"/>
    </row>
    <row r="123" spans="1:9" x14ac:dyDescent="0.25">
      <c r="A123" s="12">
        <v>150</v>
      </c>
      <c r="B123" s="12">
        <v>159</v>
      </c>
      <c r="C123" s="11" t="s">
        <v>2410</v>
      </c>
      <c r="D123" s="11">
        <v>89</v>
      </c>
      <c r="E123" s="11" t="s">
        <v>2402</v>
      </c>
      <c r="F123" s="11">
        <v>130</v>
      </c>
      <c r="G123" s="11" t="s">
        <v>2451</v>
      </c>
      <c r="H123" s="12"/>
      <c r="I123" s="11"/>
    </row>
    <row r="124" spans="1:9" x14ac:dyDescent="0.25">
      <c r="A124" s="12">
        <v>150</v>
      </c>
      <c r="B124" s="12">
        <v>159</v>
      </c>
      <c r="C124" s="11">
        <v>8</v>
      </c>
      <c r="D124" s="12">
        <v>89</v>
      </c>
      <c r="E124" s="11">
        <v>6</v>
      </c>
      <c r="F124" s="12">
        <v>130</v>
      </c>
      <c r="G124" s="11" t="s">
        <v>2455</v>
      </c>
      <c r="H124" s="12"/>
      <c r="I124" s="11"/>
    </row>
    <row r="125" spans="1:9" x14ac:dyDescent="0.25">
      <c r="A125" s="12">
        <v>150</v>
      </c>
      <c r="B125" s="12">
        <v>159</v>
      </c>
      <c r="C125" s="11">
        <v>10</v>
      </c>
      <c r="D125" s="12">
        <v>89</v>
      </c>
      <c r="E125" s="11">
        <v>8</v>
      </c>
      <c r="F125" s="12">
        <v>130</v>
      </c>
      <c r="G125" s="11" t="s">
        <v>2419</v>
      </c>
      <c r="H125" s="12"/>
      <c r="I125" s="11"/>
    </row>
    <row r="126" spans="1:9" x14ac:dyDescent="0.25">
      <c r="A126" s="12">
        <v>150</v>
      </c>
      <c r="B126" s="12">
        <v>159</v>
      </c>
      <c r="C126" s="11">
        <v>12</v>
      </c>
      <c r="D126" s="12">
        <v>89</v>
      </c>
      <c r="E126" s="11">
        <v>8</v>
      </c>
      <c r="F126" s="12">
        <v>130</v>
      </c>
      <c r="G126" s="11" t="s">
        <v>2417</v>
      </c>
      <c r="H126" s="12"/>
      <c r="I126" s="11"/>
    </row>
    <row r="127" spans="1:9" x14ac:dyDescent="0.25">
      <c r="A127" s="12">
        <v>150</v>
      </c>
      <c r="B127" s="12">
        <v>159</v>
      </c>
      <c r="C127" s="11" t="s">
        <v>2410</v>
      </c>
      <c r="D127" s="11">
        <v>108</v>
      </c>
      <c r="E127" s="11">
        <v>4</v>
      </c>
      <c r="F127" s="12">
        <v>130</v>
      </c>
      <c r="G127" s="11" t="s">
        <v>2451</v>
      </c>
      <c r="H127" s="12"/>
      <c r="I127" s="11"/>
    </row>
    <row r="128" spans="1:9" x14ac:dyDescent="0.25">
      <c r="A128" s="12">
        <v>150</v>
      </c>
      <c r="B128" s="12">
        <v>159</v>
      </c>
      <c r="C128" s="11">
        <v>8</v>
      </c>
      <c r="D128" s="12">
        <v>108</v>
      </c>
      <c r="E128" s="11">
        <v>6</v>
      </c>
      <c r="F128" s="12">
        <v>130</v>
      </c>
      <c r="G128" s="11" t="s">
        <v>2455</v>
      </c>
      <c r="H128" s="11"/>
      <c r="I128" s="11"/>
    </row>
    <row r="129" spans="1:9" x14ac:dyDescent="0.25">
      <c r="A129" s="12">
        <v>150</v>
      </c>
      <c r="B129" s="12">
        <v>159</v>
      </c>
      <c r="C129" s="11">
        <v>10</v>
      </c>
      <c r="D129" s="12">
        <v>108</v>
      </c>
      <c r="E129" s="11">
        <v>8</v>
      </c>
      <c r="F129" s="12">
        <v>130</v>
      </c>
      <c r="G129" s="11" t="s">
        <v>2419</v>
      </c>
      <c r="H129" s="12"/>
      <c r="I129" s="11"/>
    </row>
    <row r="130" spans="1:9" x14ac:dyDescent="0.25">
      <c r="A130" s="12">
        <v>150</v>
      </c>
      <c r="B130" s="12">
        <v>159</v>
      </c>
      <c r="C130" s="11">
        <v>12</v>
      </c>
      <c r="D130" s="12">
        <v>108</v>
      </c>
      <c r="E130" s="11">
        <v>9</v>
      </c>
      <c r="F130" s="12">
        <v>130</v>
      </c>
      <c r="G130" s="11" t="s">
        <v>2417</v>
      </c>
      <c r="H130" s="12"/>
      <c r="I130" s="11"/>
    </row>
    <row r="131" spans="1:9" x14ac:dyDescent="0.25">
      <c r="A131" s="12">
        <v>150</v>
      </c>
      <c r="B131" s="12">
        <v>159</v>
      </c>
      <c r="C131" s="11" t="s">
        <v>2410</v>
      </c>
      <c r="D131" s="11">
        <v>114</v>
      </c>
      <c r="E131" s="11">
        <v>4</v>
      </c>
      <c r="F131" s="12">
        <v>130</v>
      </c>
      <c r="G131" s="11" t="s">
        <v>2451</v>
      </c>
      <c r="H131" s="12"/>
      <c r="I131" s="11"/>
    </row>
    <row r="132" spans="1:9" x14ac:dyDescent="0.25">
      <c r="A132" s="12">
        <v>150</v>
      </c>
      <c r="B132" s="12">
        <v>159</v>
      </c>
      <c r="C132" s="11">
        <v>8</v>
      </c>
      <c r="D132" s="12">
        <v>114</v>
      </c>
      <c r="E132" s="11">
        <v>6</v>
      </c>
      <c r="F132" s="12">
        <v>130</v>
      </c>
      <c r="G132" s="11" t="s">
        <v>2455</v>
      </c>
      <c r="H132" s="12"/>
      <c r="I132" s="11"/>
    </row>
    <row r="133" spans="1:9" x14ac:dyDescent="0.25">
      <c r="A133" s="12">
        <v>150</v>
      </c>
      <c r="B133" s="12">
        <v>159</v>
      </c>
      <c r="C133" s="11">
        <v>10</v>
      </c>
      <c r="D133" s="12">
        <v>114</v>
      </c>
      <c r="E133" s="11">
        <v>8</v>
      </c>
      <c r="F133" s="12">
        <v>130</v>
      </c>
      <c r="G133" s="11" t="s">
        <v>2419</v>
      </c>
      <c r="H133" s="12"/>
      <c r="I133" s="11"/>
    </row>
    <row r="134" spans="1:9" x14ac:dyDescent="0.25">
      <c r="A134" s="12">
        <v>150</v>
      </c>
      <c r="B134" s="12">
        <v>159</v>
      </c>
      <c r="C134" s="11">
        <v>12</v>
      </c>
      <c r="D134" s="12">
        <v>114</v>
      </c>
      <c r="E134" s="11">
        <v>9</v>
      </c>
      <c r="F134" s="12">
        <v>130</v>
      </c>
      <c r="G134" s="11" t="s">
        <v>2417</v>
      </c>
      <c r="H134" s="12"/>
      <c r="I134" s="11"/>
    </row>
    <row r="135" spans="1:9" x14ac:dyDescent="0.25">
      <c r="A135" s="12">
        <v>150</v>
      </c>
      <c r="B135" s="12">
        <v>159</v>
      </c>
      <c r="C135" s="11">
        <v>5</v>
      </c>
      <c r="D135" s="12">
        <v>114</v>
      </c>
      <c r="E135" s="11">
        <v>4</v>
      </c>
      <c r="F135" s="11">
        <v>105</v>
      </c>
      <c r="G135" s="11">
        <v>2</v>
      </c>
      <c r="H135" s="12"/>
      <c r="I135" s="11"/>
    </row>
    <row r="136" spans="1:9" x14ac:dyDescent="0.25">
      <c r="A136" s="12">
        <v>150</v>
      </c>
      <c r="B136" s="12">
        <v>159</v>
      </c>
      <c r="C136" s="11">
        <v>6</v>
      </c>
      <c r="D136" s="12">
        <v>114</v>
      </c>
      <c r="E136" s="11">
        <v>5</v>
      </c>
      <c r="F136" s="12">
        <v>105</v>
      </c>
      <c r="G136" s="11" t="s">
        <v>2399</v>
      </c>
      <c r="H136" s="12"/>
      <c r="I136" s="11"/>
    </row>
    <row r="137" spans="1:9" x14ac:dyDescent="0.25">
      <c r="A137" s="12">
        <v>150</v>
      </c>
      <c r="B137" s="12">
        <v>159</v>
      </c>
      <c r="C137" s="11">
        <v>8</v>
      </c>
      <c r="D137" s="12">
        <v>114</v>
      </c>
      <c r="E137" s="11">
        <v>6</v>
      </c>
      <c r="F137" s="12">
        <v>105</v>
      </c>
      <c r="G137" s="11" t="s">
        <v>2457</v>
      </c>
      <c r="H137" s="12"/>
      <c r="I137" s="11"/>
    </row>
    <row r="138" spans="1:9" x14ac:dyDescent="0.25">
      <c r="A138" s="12">
        <v>150</v>
      </c>
      <c r="B138" s="12">
        <v>159</v>
      </c>
      <c r="C138" s="11">
        <v>10</v>
      </c>
      <c r="D138" s="12">
        <v>114</v>
      </c>
      <c r="E138" s="11">
        <v>8</v>
      </c>
      <c r="F138" s="12">
        <v>105</v>
      </c>
      <c r="G138" s="11" t="s">
        <v>2462</v>
      </c>
      <c r="H138" s="12"/>
      <c r="I138" s="11"/>
    </row>
    <row r="139" spans="1:9" x14ac:dyDescent="0.25">
      <c r="A139" s="12">
        <v>150</v>
      </c>
      <c r="B139" s="12">
        <v>159</v>
      </c>
      <c r="C139" s="11">
        <v>5</v>
      </c>
      <c r="D139" s="11">
        <v>133</v>
      </c>
      <c r="E139" s="11" t="s">
        <v>2410</v>
      </c>
      <c r="F139" s="12">
        <v>105</v>
      </c>
      <c r="G139" s="11">
        <v>2</v>
      </c>
      <c r="H139" s="12"/>
      <c r="I139" s="11"/>
    </row>
    <row r="140" spans="1:9" x14ac:dyDescent="0.25">
      <c r="A140" s="12">
        <v>150</v>
      </c>
      <c r="B140" s="12">
        <v>159</v>
      </c>
      <c r="C140" s="11">
        <v>6</v>
      </c>
      <c r="D140" s="12">
        <v>133</v>
      </c>
      <c r="E140" s="11">
        <v>5</v>
      </c>
      <c r="F140" s="12">
        <v>105</v>
      </c>
      <c r="G140" s="11" t="s">
        <v>2399</v>
      </c>
      <c r="H140" s="12"/>
      <c r="I140" s="11"/>
    </row>
    <row r="141" spans="1:9" x14ac:dyDescent="0.25">
      <c r="A141" s="12">
        <v>150</v>
      </c>
      <c r="B141" s="12">
        <v>159</v>
      </c>
      <c r="C141" s="11">
        <v>8</v>
      </c>
      <c r="D141" s="12">
        <v>133</v>
      </c>
      <c r="E141" s="11">
        <v>7</v>
      </c>
      <c r="F141" s="12">
        <v>105</v>
      </c>
      <c r="G141" s="11" t="s">
        <v>2457</v>
      </c>
      <c r="H141" s="12"/>
      <c r="I141" s="11"/>
    </row>
    <row r="142" spans="1:9" x14ac:dyDescent="0.25">
      <c r="A142" s="12">
        <v>150</v>
      </c>
      <c r="B142" s="12">
        <v>159</v>
      </c>
      <c r="C142" s="11">
        <v>10</v>
      </c>
      <c r="D142" s="12">
        <v>133</v>
      </c>
      <c r="E142" s="11">
        <v>9</v>
      </c>
      <c r="F142" s="12">
        <v>105</v>
      </c>
      <c r="G142" s="11" t="s">
        <v>2462</v>
      </c>
      <c r="H142" s="12"/>
      <c r="I142" s="11"/>
    </row>
    <row r="143" spans="1:9" x14ac:dyDescent="0.25">
      <c r="A143" s="12">
        <v>150</v>
      </c>
      <c r="B143" s="12">
        <v>159</v>
      </c>
      <c r="C143" s="11" t="s">
        <v>2410</v>
      </c>
      <c r="D143" s="12">
        <v>133</v>
      </c>
      <c r="E143" s="11">
        <v>4</v>
      </c>
      <c r="F143" s="11">
        <v>130</v>
      </c>
      <c r="G143" s="11" t="s">
        <v>2451</v>
      </c>
      <c r="H143" s="11"/>
      <c r="I143" s="11"/>
    </row>
    <row r="144" spans="1:9" x14ac:dyDescent="0.25">
      <c r="A144" s="12">
        <v>150</v>
      </c>
      <c r="B144" s="12">
        <v>159</v>
      </c>
      <c r="C144" s="11">
        <v>8</v>
      </c>
      <c r="D144" s="12">
        <v>133</v>
      </c>
      <c r="E144" s="11">
        <v>8</v>
      </c>
      <c r="F144" s="12">
        <v>130</v>
      </c>
      <c r="G144" s="11" t="s">
        <v>2455</v>
      </c>
      <c r="H144" s="12"/>
      <c r="I144" s="11"/>
    </row>
    <row r="145" spans="1:9" x14ac:dyDescent="0.25">
      <c r="A145" s="12">
        <v>150</v>
      </c>
      <c r="B145" s="12">
        <v>159</v>
      </c>
      <c r="C145" s="11">
        <v>10</v>
      </c>
      <c r="D145" s="11">
        <v>133</v>
      </c>
      <c r="E145" s="11" t="s">
        <v>2482</v>
      </c>
      <c r="F145" s="12">
        <v>130</v>
      </c>
      <c r="G145" s="11" t="s">
        <v>2419</v>
      </c>
      <c r="H145" s="12"/>
      <c r="I145" s="11"/>
    </row>
    <row r="146" spans="1:9" x14ac:dyDescent="0.25">
      <c r="A146" s="12">
        <v>150</v>
      </c>
      <c r="B146" s="12">
        <v>159</v>
      </c>
      <c r="C146" s="11">
        <v>12</v>
      </c>
      <c r="D146" s="12">
        <v>133</v>
      </c>
      <c r="E146" s="11">
        <v>10</v>
      </c>
      <c r="F146" s="12">
        <v>130</v>
      </c>
      <c r="G146" s="11" t="s">
        <v>2417</v>
      </c>
      <c r="H146" s="12"/>
      <c r="I146" s="11"/>
    </row>
    <row r="147" spans="1:9" x14ac:dyDescent="0.25">
      <c r="A147" s="12">
        <v>150</v>
      </c>
      <c r="B147" s="11">
        <v>168</v>
      </c>
      <c r="C147" s="11" t="s">
        <v>2410</v>
      </c>
      <c r="D147" s="11">
        <v>57</v>
      </c>
      <c r="E147" s="11">
        <v>3</v>
      </c>
      <c r="F147" s="11">
        <v>75</v>
      </c>
      <c r="G147" s="11" t="s">
        <v>2405</v>
      </c>
      <c r="H147" s="12"/>
      <c r="I147" s="11"/>
    </row>
    <row r="148" spans="1:9" x14ac:dyDescent="0.25">
      <c r="A148" s="12">
        <v>150</v>
      </c>
      <c r="B148" s="12">
        <v>168</v>
      </c>
      <c r="C148" s="11">
        <v>8</v>
      </c>
      <c r="D148" s="12">
        <v>57</v>
      </c>
      <c r="E148" s="11">
        <v>4</v>
      </c>
      <c r="F148" s="12">
        <v>75</v>
      </c>
      <c r="G148" s="11" t="s">
        <v>2407</v>
      </c>
      <c r="H148" s="12"/>
      <c r="I148" s="11"/>
    </row>
    <row r="149" spans="1:9" x14ac:dyDescent="0.25">
      <c r="A149" s="12">
        <v>150</v>
      </c>
      <c r="B149" s="12">
        <v>168</v>
      </c>
      <c r="C149" s="11">
        <v>10</v>
      </c>
      <c r="D149" s="12">
        <v>57</v>
      </c>
      <c r="E149" s="11">
        <v>5</v>
      </c>
      <c r="F149" s="12">
        <v>75</v>
      </c>
      <c r="G149" s="11" t="s">
        <v>2409</v>
      </c>
      <c r="H149" s="12"/>
      <c r="I149" s="11"/>
    </row>
    <row r="150" spans="1:9" x14ac:dyDescent="0.25">
      <c r="A150" s="12">
        <v>150</v>
      </c>
      <c r="B150" s="12">
        <v>168</v>
      </c>
      <c r="C150" s="11">
        <v>12</v>
      </c>
      <c r="D150" s="12">
        <v>57</v>
      </c>
      <c r="E150" s="11">
        <v>6</v>
      </c>
      <c r="F150" s="12">
        <v>75</v>
      </c>
      <c r="G150" s="11">
        <v>4</v>
      </c>
      <c r="H150" s="12"/>
      <c r="I150" s="11"/>
    </row>
    <row r="151" spans="1:9" x14ac:dyDescent="0.25">
      <c r="A151" s="12">
        <v>150</v>
      </c>
      <c r="B151" s="12">
        <v>168</v>
      </c>
      <c r="C151" s="11" t="s">
        <v>2410</v>
      </c>
      <c r="D151" s="11">
        <v>76</v>
      </c>
      <c r="E151" s="11" t="s">
        <v>2402</v>
      </c>
      <c r="F151" s="12">
        <v>75</v>
      </c>
      <c r="G151" s="11" t="s">
        <v>2405</v>
      </c>
      <c r="H151" s="12"/>
      <c r="I151" s="11"/>
    </row>
    <row r="152" spans="1:9" x14ac:dyDescent="0.25">
      <c r="A152" s="12">
        <v>150</v>
      </c>
      <c r="B152" s="12">
        <v>168</v>
      </c>
      <c r="C152" s="11">
        <v>8</v>
      </c>
      <c r="D152" s="12">
        <v>76</v>
      </c>
      <c r="E152" s="11">
        <v>5</v>
      </c>
      <c r="F152" s="12">
        <v>75</v>
      </c>
      <c r="G152" s="11" t="s">
        <v>2407</v>
      </c>
      <c r="H152" s="12"/>
      <c r="I152" s="11"/>
    </row>
    <row r="153" spans="1:9" x14ac:dyDescent="0.25">
      <c r="A153" s="12">
        <v>150</v>
      </c>
      <c r="B153" s="12">
        <v>168</v>
      </c>
      <c r="C153" s="11">
        <v>10</v>
      </c>
      <c r="D153" s="12">
        <v>76</v>
      </c>
      <c r="E153" s="11">
        <v>6</v>
      </c>
      <c r="F153" s="12">
        <v>75</v>
      </c>
      <c r="G153" s="11" t="s">
        <v>2409</v>
      </c>
      <c r="H153" s="12"/>
      <c r="I153" s="11"/>
    </row>
    <row r="154" spans="1:9" x14ac:dyDescent="0.25">
      <c r="A154" s="12">
        <v>150</v>
      </c>
      <c r="B154" s="12">
        <v>168</v>
      </c>
      <c r="C154" s="11">
        <v>12</v>
      </c>
      <c r="D154" s="12">
        <v>76</v>
      </c>
      <c r="E154" s="11">
        <v>7</v>
      </c>
      <c r="F154" s="12">
        <v>75</v>
      </c>
      <c r="G154" s="11">
        <v>4</v>
      </c>
      <c r="H154" s="12"/>
      <c r="I154" s="11"/>
    </row>
    <row r="155" spans="1:9" x14ac:dyDescent="0.25">
      <c r="A155" s="12">
        <v>150</v>
      </c>
      <c r="B155" s="12">
        <v>168</v>
      </c>
      <c r="C155" s="11" t="s">
        <v>2410</v>
      </c>
      <c r="D155" s="11">
        <v>89</v>
      </c>
      <c r="E155" s="11" t="s">
        <v>2402</v>
      </c>
      <c r="F155" s="11">
        <v>130</v>
      </c>
      <c r="G155" s="11" t="s">
        <v>2453</v>
      </c>
      <c r="H155" s="12"/>
      <c r="I155" s="11"/>
    </row>
    <row r="156" spans="1:9" x14ac:dyDescent="0.25">
      <c r="A156" s="12">
        <v>150</v>
      </c>
      <c r="B156" s="12">
        <v>168</v>
      </c>
      <c r="C156" s="11">
        <v>8</v>
      </c>
      <c r="D156" s="11">
        <v>89</v>
      </c>
      <c r="E156" s="11">
        <v>6</v>
      </c>
      <c r="F156" s="12">
        <v>130</v>
      </c>
      <c r="G156" s="11" t="s">
        <v>2416</v>
      </c>
      <c r="H156" s="12"/>
      <c r="I156" s="11"/>
    </row>
    <row r="157" spans="1:9" x14ac:dyDescent="0.25">
      <c r="A157" s="12">
        <v>150</v>
      </c>
      <c r="B157" s="12">
        <v>168</v>
      </c>
      <c r="C157" s="11">
        <v>10</v>
      </c>
      <c r="D157" s="12">
        <v>89</v>
      </c>
      <c r="E157" s="11">
        <v>8</v>
      </c>
      <c r="F157" s="12">
        <v>130</v>
      </c>
      <c r="G157" s="11" t="s">
        <v>2483</v>
      </c>
      <c r="H157" s="12"/>
      <c r="I157" s="11"/>
    </row>
    <row r="158" spans="1:9" x14ac:dyDescent="0.25">
      <c r="A158" s="12">
        <v>150</v>
      </c>
      <c r="B158" s="12">
        <v>168</v>
      </c>
      <c r="C158" s="11">
        <v>12</v>
      </c>
      <c r="D158" s="12">
        <v>89</v>
      </c>
      <c r="E158" s="11">
        <v>8</v>
      </c>
      <c r="F158" s="12">
        <v>130</v>
      </c>
      <c r="G158" s="11" t="s">
        <v>2484</v>
      </c>
      <c r="H158" s="12"/>
      <c r="I158" s="11"/>
    </row>
    <row r="159" spans="1:9" x14ac:dyDescent="0.25">
      <c r="A159" s="12">
        <v>150</v>
      </c>
      <c r="B159" s="12">
        <v>168</v>
      </c>
      <c r="C159" s="11" t="s">
        <v>2410</v>
      </c>
      <c r="D159" s="11">
        <v>108</v>
      </c>
      <c r="E159" s="11">
        <v>4</v>
      </c>
      <c r="F159" s="12">
        <v>130</v>
      </c>
      <c r="G159" s="11" t="s">
        <v>2453</v>
      </c>
      <c r="H159" s="12"/>
      <c r="I159" s="11"/>
    </row>
    <row r="160" spans="1:9" x14ac:dyDescent="0.25">
      <c r="A160" s="12">
        <v>150</v>
      </c>
      <c r="B160" s="12">
        <v>168</v>
      </c>
      <c r="C160" s="11">
        <v>8</v>
      </c>
      <c r="D160" s="12">
        <v>108</v>
      </c>
      <c r="E160" s="11">
        <v>6</v>
      </c>
      <c r="F160" s="12">
        <v>130</v>
      </c>
      <c r="G160" s="11" t="s">
        <v>2416</v>
      </c>
      <c r="H160" s="12"/>
      <c r="I160" s="11"/>
    </row>
    <row r="161" spans="1:9" x14ac:dyDescent="0.25">
      <c r="A161" s="12">
        <v>150</v>
      </c>
      <c r="B161" s="12">
        <v>168</v>
      </c>
      <c r="C161" s="11">
        <v>10</v>
      </c>
      <c r="D161" s="12">
        <v>108</v>
      </c>
      <c r="E161" s="11">
        <v>8</v>
      </c>
      <c r="F161" s="12">
        <v>130</v>
      </c>
      <c r="G161" s="11" t="s">
        <v>2483</v>
      </c>
      <c r="H161" s="12"/>
      <c r="I161" s="11"/>
    </row>
    <row r="162" spans="1:9" x14ac:dyDescent="0.25">
      <c r="A162" s="12">
        <v>150</v>
      </c>
      <c r="B162" s="12">
        <v>168</v>
      </c>
      <c r="C162" s="11">
        <v>12</v>
      </c>
      <c r="D162" s="12">
        <v>108</v>
      </c>
      <c r="E162" s="11">
        <v>9</v>
      </c>
      <c r="F162" s="12">
        <v>130</v>
      </c>
      <c r="G162" s="11" t="s">
        <v>2484</v>
      </c>
      <c r="H162" s="12"/>
      <c r="I162" s="11"/>
    </row>
    <row r="163" spans="1:9" x14ac:dyDescent="0.25">
      <c r="A163" s="12">
        <v>150</v>
      </c>
      <c r="B163" s="12">
        <v>168</v>
      </c>
      <c r="C163" s="11" t="s">
        <v>2410</v>
      </c>
      <c r="D163" s="11">
        <v>114</v>
      </c>
      <c r="E163" s="11">
        <v>4</v>
      </c>
      <c r="F163" s="12">
        <v>130</v>
      </c>
      <c r="G163" s="11" t="s">
        <v>2453</v>
      </c>
      <c r="H163" s="12"/>
      <c r="I163" s="11"/>
    </row>
    <row r="164" spans="1:9" x14ac:dyDescent="0.25">
      <c r="A164" s="12">
        <v>150</v>
      </c>
      <c r="B164" s="12">
        <v>168</v>
      </c>
      <c r="C164" s="11">
        <v>8</v>
      </c>
      <c r="D164" s="12">
        <v>114</v>
      </c>
      <c r="E164" s="11">
        <v>6</v>
      </c>
      <c r="F164" s="12">
        <v>130</v>
      </c>
      <c r="G164" s="11" t="s">
        <v>2416</v>
      </c>
      <c r="H164" s="12"/>
      <c r="I164" s="11"/>
    </row>
    <row r="165" spans="1:9" x14ac:dyDescent="0.25">
      <c r="A165" s="12">
        <v>150</v>
      </c>
      <c r="B165" s="12">
        <v>168</v>
      </c>
      <c r="C165" s="11">
        <v>10</v>
      </c>
      <c r="D165" s="12">
        <v>114</v>
      </c>
      <c r="E165" s="11">
        <v>8</v>
      </c>
      <c r="F165" s="12">
        <v>130</v>
      </c>
      <c r="G165" s="11" t="s">
        <v>2483</v>
      </c>
      <c r="H165" s="12"/>
      <c r="I165" s="11"/>
    </row>
    <row r="166" spans="1:9" x14ac:dyDescent="0.25">
      <c r="A166" s="12">
        <v>150</v>
      </c>
      <c r="B166" s="12">
        <v>168</v>
      </c>
      <c r="C166" s="11">
        <v>12</v>
      </c>
      <c r="D166" s="12">
        <v>114</v>
      </c>
      <c r="E166" s="11">
        <v>9</v>
      </c>
      <c r="F166" s="12">
        <v>130</v>
      </c>
      <c r="G166" s="11" t="s">
        <v>2484</v>
      </c>
      <c r="H166" s="12"/>
      <c r="I166" s="11"/>
    </row>
    <row r="167" spans="1:9" x14ac:dyDescent="0.25">
      <c r="A167" s="12">
        <v>150</v>
      </c>
      <c r="B167" s="12">
        <v>168</v>
      </c>
      <c r="C167" s="11" t="s">
        <v>2410</v>
      </c>
      <c r="D167" s="11">
        <v>133</v>
      </c>
      <c r="E167" s="11">
        <v>4</v>
      </c>
      <c r="F167" s="12">
        <v>130</v>
      </c>
      <c r="G167" s="11" t="s">
        <v>2453</v>
      </c>
      <c r="H167" s="12"/>
      <c r="I167" s="11"/>
    </row>
    <row r="168" spans="1:9" x14ac:dyDescent="0.25">
      <c r="A168" s="12">
        <v>150</v>
      </c>
      <c r="B168" s="12">
        <v>168</v>
      </c>
      <c r="C168" s="11">
        <v>8</v>
      </c>
      <c r="D168" s="12">
        <v>133</v>
      </c>
      <c r="E168" s="11">
        <v>8</v>
      </c>
      <c r="F168" s="12">
        <v>130</v>
      </c>
      <c r="G168" s="11" t="s">
        <v>2416</v>
      </c>
      <c r="H168" s="12"/>
      <c r="I168" s="11"/>
    </row>
    <row r="169" spans="1:9" x14ac:dyDescent="0.25">
      <c r="A169" s="12">
        <v>150</v>
      </c>
      <c r="B169" s="12">
        <v>168</v>
      </c>
      <c r="C169" s="11">
        <v>10</v>
      </c>
      <c r="D169" s="12">
        <v>133</v>
      </c>
      <c r="E169" s="11">
        <v>10</v>
      </c>
      <c r="F169" s="12">
        <v>130</v>
      </c>
      <c r="G169" s="11" t="s">
        <v>2483</v>
      </c>
      <c r="H169" s="12"/>
      <c r="I169" s="11"/>
    </row>
    <row r="170" spans="1:9" x14ac:dyDescent="0.25">
      <c r="A170" s="12">
        <v>150</v>
      </c>
      <c r="B170" s="12">
        <v>168</v>
      </c>
      <c r="C170" s="11">
        <v>12</v>
      </c>
      <c r="D170" s="12">
        <v>133</v>
      </c>
      <c r="E170" s="11">
        <v>10</v>
      </c>
      <c r="F170" s="12">
        <v>130</v>
      </c>
      <c r="G170" s="11" t="s">
        <v>2484</v>
      </c>
      <c r="H170" s="11"/>
      <c r="I170" s="11"/>
    </row>
    <row r="171" spans="1:9" x14ac:dyDescent="0.25">
      <c r="A171" s="11">
        <v>200</v>
      </c>
      <c r="B171" s="11">
        <v>219</v>
      </c>
      <c r="C171" s="11">
        <v>6</v>
      </c>
      <c r="D171" s="11">
        <v>57</v>
      </c>
      <c r="E171" s="11">
        <v>3</v>
      </c>
      <c r="F171" s="11">
        <v>95</v>
      </c>
      <c r="G171" s="11" t="s">
        <v>2415</v>
      </c>
      <c r="H171" s="12"/>
      <c r="I171" s="11"/>
    </row>
    <row r="172" spans="1:9" x14ac:dyDescent="0.25">
      <c r="A172" s="12">
        <v>200</v>
      </c>
      <c r="B172" s="12">
        <v>219</v>
      </c>
      <c r="C172" s="11">
        <v>10</v>
      </c>
      <c r="D172" s="12">
        <v>57</v>
      </c>
      <c r="E172" s="11">
        <v>4</v>
      </c>
      <c r="F172" s="12">
        <v>95</v>
      </c>
      <c r="G172" s="11" t="s">
        <v>2485</v>
      </c>
      <c r="H172" s="12"/>
      <c r="I172" s="11"/>
    </row>
    <row r="173" spans="1:9" x14ac:dyDescent="0.25">
      <c r="A173" s="12">
        <v>200</v>
      </c>
      <c r="B173" s="12">
        <v>219</v>
      </c>
      <c r="C173" s="11">
        <v>12</v>
      </c>
      <c r="D173" s="12">
        <v>57</v>
      </c>
      <c r="E173" s="11">
        <v>4</v>
      </c>
      <c r="F173" s="12">
        <v>95</v>
      </c>
      <c r="G173" s="11" t="s">
        <v>2395</v>
      </c>
      <c r="H173" s="12"/>
      <c r="I173" s="11"/>
    </row>
    <row r="174" spans="1:9" x14ac:dyDescent="0.25">
      <c r="A174" s="12">
        <v>200</v>
      </c>
      <c r="B174" s="12">
        <v>219</v>
      </c>
      <c r="C174" s="11">
        <v>14</v>
      </c>
      <c r="D174" s="12">
        <v>57</v>
      </c>
      <c r="E174" s="11">
        <v>5</v>
      </c>
      <c r="F174" s="12">
        <v>95</v>
      </c>
      <c r="G174" s="11" t="s">
        <v>2474</v>
      </c>
      <c r="H174" s="12"/>
      <c r="I174" s="11"/>
    </row>
    <row r="175" spans="1:9" x14ac:dyDescent="0.25">
      <c r="A175" s="11">
        <v>200</v>
      </c>
      <c r="B175" s="12">
        <v>219</v>
      </c>
      <c r="C175" s="11">
        <v>16</v>
      </c>
      <c r="D175" s="12">
        <v>57</v>
      </c>
      <c r="E175" s="11">
        <v>6</v>
      </c>
      <c r="F175" s="12">
        <v>95</v>
      </c>
      <c r="G175" s="11" t="s">
        <v>2486</v>
      </c>
      <c r="H175" s="12"/>
      <c r="I175" s="11"/>
    </row>
    <row r="176" spans="1:9" x14ac:dyDescent="0.25">
      <c r="A176" s="12">
        <v>200</v>
      </c>
      <c r="B176" s="12">
        <v>219</v>
      </c>
      <c r="C176" s="11">
        <v>6</v>
      </c>
      <c r="D176" s="11">
        <v>76</v>
      </c>
      <c r="E176" s="11" t="s">
        <v>2402</v>
      </c>
      <c r="F176" s="12">
        <v>95</v>
      </c>
      <c r="G176" s="11" t="s">
        <v>2415</v>
      </c>
      <c r="H176" s="12"/>
      <c r="I176" s="11"/>
    </row>
    <row r="177" spans="1:9" x14ac:dyDescent="0.25">
      <c r="A177" s="12">
        <v>200</v>
      </c>
      <c r="B177" s="12">
        <v>219</v>
      </c>
      <c r="C177" s="11">
        <v>10</v>
      </c>
      <c r="D177" s="12">
        <v>76</v>
      </c>
      <c r="E177" s="11">
        <v>5</v>
      </c>
      <c r="F177" s="12">
        <v>95</v>
      </c>
      <c r="G177" s="11" t="s">
        <v>2485</v>
      </c>
      <c r="H177" s="12"/>
      <c r="I177" s="11"/>
    </row>
    <row r="178" spans="1:9" x14ac:dyDescent="0.25">
      <c r="A178" s="12">
        <v>200</v>
      </c>
      <c r="B178" s="12">
        <v>219</v>
      </c>
      <c r="C178" s="11">
        <v>12</v>
      </c>
      <c r="D178" s="12">
        <v>76</v>
      </c>
      <c r="E178" s="11">
        <v>5</v>
      </c>
      <c r="F178" s="12">
        <v>95</v>
      </c>
      <c r="G178" s="11" t="s">
        <v>2395</v>
      </c>
      <c r="H178" s="12"/>
      <c r="I178" s="11"/>
    </row>
    <row r="179" spans="1:9" x14ac:dyDescent="0.25">
      <c r="A179" s="12">
        <v>200</v>
      </c>
      <c r="B179" s="12">
        <v>219</v>
      </c>
      <c r="C179" s="11">
        <v>14</v>
      </c>
      <c r="D179" s="12">
        <v>76</v>
      </c>
      <c r="E179" s="11">
        <v>6</v>
      </c>
      <c r="F179" s="12">
        <v>95</v>
      </c>
      <c r="G179" s="11" t="s">
        <v>2474</v>
      </c>
      <c r="H179" s="12"/>
      <c r="I179" s="11"/>
    </row>
    <row r="180" spans="1:9" x14ac:dyDescent="0.25">
      <c r="A180" s="12">
        <v>200</v>
      </c>
      <c r="B180" s="12">
        <v>219</v>
      </c>
      <c r="C180" s="11">
        <v>16</v>
      </c>
      <c r="D180" s="12">
        <v>76</v>
      </c>
      <c r="E180" s="11">
        <v>7</v>
      </c>
      <c r="F180" s="12">
        <v>95</v>
      </c>
      <c r="G180" s="11" t="s">
        <v>2486</v>
      </c>
      <c r="H180" s="12"/>
      <c r="I180" s="11"/>
    </row>
    <row r="181" spans="1:9" x14ac:dyDescent="0.25">
      <c r="A181" s="12">
        <v>200</v>
      </c>
      <c r="B181" s="12">
        <v>219</v>
      </c>
      <c r="C181" s="11">
        <v>6</v>
      </c>
      <c r="D181" s="11">
        <v>89</v>
      </c>
      <c r="E181" s="11" t="s">
        <v>2402</v>
      </c>
      <c r="F181" s="12">
        <v>95</v>
      </c>
      <c r="G181" s="11" t="s">
        <v>2415</v>
      </c>
      <c r="H181" s="12"/>
      <c r="I181" s="11"/>
    </row>
    <row r="182" spans="1:9" x14ac:dyDescent="0.25">
      <c r="A182" s="12">
        <v>200</v>
      </c>
      <c r="B182" s="12">
        <v>219</v>
      </c>
      <c r="C182" s="11">
        <v>10</v>
      </c>
      <c r="D182" s="12">
        <v>89</v>
      </c>
      <c r="E182" s="11">
        <v>5</v>
      </c>
      <c r="F182" s="12">
        <v>95</v>
      </c>
      <c r="G182" s="11" t="s">
        <v>2485</v>
      </c>
    </row>
    <row r="183" spans="1:9" x14ac:dyDescent="0.25">
      <c r="A183" s="12">
        <v>200</v>
      </c>
      <c r="B183" s="12">
        <v>219</v>
      </c>
      <c r="C183" s="11">
        <v>12</v>
      </c>
      <c r="D183" s="12">
        <v>89</v>
      </c>
      <c r="E183" s="11">
        <v>5</v>
      </c>
      <c r="F183" s="12">
        <v>95</v>
      </c>
      <c r="G183" s="11" t="s">
        <v>2395</v>
      </c>
    </row>
    <row r="184" spans="1:9" x14ac:dyDescent="0.25">
      <c r="A184" s="12">
        <v>200</v>
      </c>
      <c r="B184" s="12">
        <v>219</v>
      </c>
      <c r="C184" s="11">
        <v>14</v>
      </c>
      <c r="D184" s="12">
        <v>89</v>
      </c>
      <c r="E184" s="11">
        <v>6</v>
      </c>
      <c r="F184" s="12">
        <v>95</v>
      </c>
      <c r="G184" s="11" t="s">
        <v>2474</v>
      </c>
    </row>
    <row r="185" spans="1:9" x14ac:dyDescent="0.25">
      <c r="A185" s="12">
        <v>200</v>
      </c>
      <c r="B185" s="12">
        <v>219</v>
      </c>
      <c r="C185" s="11">
        <v>16</v>
      </c>
      <c r="D185" s="12">
        <v>89</v>
      </c>
      <c r="E185" s="11">
        <v>8</v>
      </c>
      <c r="F185" s="12">
        <v>95</v>
      </c>
      <c r="G185" s="11" t="s">
        <v>2486</v>
      </c>
    </row>
    <row r="186" spans="1:9" x14ac:dyDescent="0.25">
      <c r="A186" s="12">
        <v>200</v>
      </c>
      <c r="B186" s="12">
        <v>219</v>
      </c>
      <c r="C186" s="11">
        <v>6</v>
      </c>
      <c r="D186" s="11">
        <v>108</v>
      </c>
      <c r="E186" s="11">
        <v>4</v>
      </c>
      <c r="F186" s="12">
        <v>95</v>
      </c>
      <c r="G186" s="11" t="s">
        <v>2415</v>
      </c>
    </row>
    <row r="187" spans="1:9" x14ac:dyDescent="0.25">
      <c r="A187" s="12">
        <v>200</v>
      </c>
      <c r="B187" s="12">
        <v>219</v>
      </c>
      <c r="C187" s="11">
        <v>10</v>
      </c>
      <c r="D187" s="12">
        <v>108</v>
      </c>
      <c r="E187" s="11">
        <v>6</v>
      </c>
      <c r="F187" s="12">
        <v>95</v>
      </c>
      <c r="G187" s="11" t="s">
        <v>2485</v>
      </c>
    </row>
    <row r="188" spans="1:9" x14ac:dyDescent="0.25">
      <c r="A188" s="12">
        <v>200</v>
      </c>
      <c r="B188" s="12">
        <v>219</v>
      </c>
      <c r="C188" s="11">
        <v>12</v>
      </c>
      <c r="D188" s="12">
        <v>108</v>
      </c>
      <c r="E188" s="11">
        <v>8</v>
      </c>
      <c r="F188" s="12">
        <v>95</v>
      </c>
      <c r="G188" s="11" t="s">
        <v>2395</v>
      </c>
    </row>
    <row r="189" spans="1:9" x14ac:dyDescent="0.25">
      <c r="A189" s="12">
        <v>200</v>
      </c>
      <c r="B189" s="12">
        <v>219</v>
      </c>
      <c r="C189" s="11">
        <v>14</v>
      </c>
      <c r="D189" s="12">
        <v>108</v>
      </c>
      <c r="E189" s="11">
        <v>8</v>
      </c>
      <c r="F189" s="12">
        <v>95</v>
      </c>
      <c r="G189" s="11" t="s">
        <v>2474</v>
      </c>
    </row>
    <row r="190" spans="1:9" x14ac:dyDescent="0.25">
      <c r="A190" s="12">
        <v>200</v>
      </c>
      <c r="B190" s="12">
        <v>219</v>
      </c>
      <c r="C190" s="11">
        <v>16</v>
      </c>
      <c r="D190" s="12">
        <v>108</v>
      </c>
      <c r="E190" s="11">
        <v>9</v>
      </c>
      <c r="F190" s="12">
        <v>95</v>
      </c>
      <c r="G190" s="11" t="s">
        <v>2486</v>
      </c>
    </row>
    <row r="191" spans="1:9" x14ac:dyDescent="0.25">
      <c r="A191" s="12">
        <v>200</v>
      </c>
      <c r="B191" s="12">
        <v>219</v>
      </c>
      <c r="C191" s="11">
        <v>6</v>
      </c>
      <c r="D191" s="11">
        <v>114</v>
      </c>
      <c r="E191" s="11">
        <v>4</v>
      </c>
      <c r="F191" s="12">
        <v>95</v>
      </c>
      <c r="G191" s="11" t="s">
        <v>2415</v>
      </c>
    </row>
    <row r="192" spans="1:9" x14ac:dyDescent="0.25">
      <c r="A192" s="12">
        <v>200</v>
      </c>
      <c r="B192" s="12">
        <v>219</v>
      </c>
      <c r="C192" s="11">
        <v>10</v>
      </c>
      <c r="D192" s="12">
        <v>114</v>
      </c>
      <c r="E192" s="11">
        <v>6</v>
      </c>
      <c r="F192" s="12">
        <v>95</v>
      </c>
      <c r="G192" s="11" t="s">
        <v>2485</v>
      </c>
    </row>
    <row r="193" spans="1:7" x14ac:dyDescent="0.25">
      <c r="A193" s="12">
        <v>200</v>
      </c>
      <c r="B193" s="12">
        <v>219</v>
      </c>
      <c r="C193" s="11">
        <v>12</v>
      </c>
      <c r="D193" s="12">
        <v>114</v>
      </c>
      <c r="E193" s="11">
        <v>8</v>
      </c>
      <c r="F193" s="12">
        <v>95</v>
      </c>
      <c r="G193" s="11" t="s">
        <v>2395</v>
      </c>
    </row>
    <row r="194" spans="1:7" x14ac:dyDescent="0.25">
      <c r="A194" s="12">
        <v>200</v>
      </c>
      <c r="B194" s="12">
        <v>219</v>
      </c>
      <c r="C194" s="11">
        <v>14</v>
      </c>
      <c r="D194" s="12">
        <v>114</v>
      </c>
      <c r="E194" s="11">
        <v>8</v>
      </c>
      <c r="F194" s="12">
        <v>95</v>
      </c>
      <c r="G194" s="11" t="s">
        <v>2474</v>
      </c>
    </row>
    <row r="195" spans="1:7" x14ac:dyDescent="0.25">
      <c r="A195" s="12">
        <v>200</v>
      </c>
      <c r="B195" s="12">
        <v>219</v>
      </c>
      <c r="C195" s="11">
        <v>16</v>
      </c>
      <c r="D195" s="12">
        <v>114</v>
      </c>
      <c r="E195" s="11">
        <v>9</v>
      </c>
      <c r="F195" s="12">
        <v>95</v>
      </c>
      <c r="G195" s="11" t="s">
        <v>2486</v>
      </c>
    </row>
    <row r="196" spans="1:7" x14ac:dyDescent="0.25">
      <c r="A196" s="12">
        <v>200</v>
      </c>
      <c r="B196" s="12">
        <v>219</v>
      </c>
      <c r="C196" s="11">
        <v>6</v>
      </c>
      <c r="D196" s="11">
        <v>133</v>
      </c>
      <c r="E196" s="11">
        <v>4</v>
      </c>
      <c r="F196" s="11">
        <v>140</v>
      </c>
      <c r="G196" s="11" t="s">
        <v>2413</v>
      </c>
    </row>
    <row r="197" spans="1:7" x14ac:dyDescent="0.25">
      <c r="A197" s="12">
        <v>200</v>
      </c>
      <c r="B197" s="12">
        <v>219</v>
      </c>
      <c r="C197" s="11">
        <v>10</v>
      </c>
      <c r="D197" s="12">
        <v>133</v>
      </c>
      <c r="E197" s="11">
        <v>8</v>
      </c>
      <c r="F197" s="12">
        <v>140</v>
      </c>
      <c r="G197" s="11" t="s">
        <v>2487</v>
      </c>
    </row>
    <row r="198" spans="1:7" x14ac:dyDescent="0.25">
      <c r="A198" s="12">
        <v>200</v>
      </c>
      <c r="B198" s="12">
        <v>219</v>
      </c>
      <c r="C198" s="11">
        <v>12</v>
      </c>
      <c r="D198" s="11">
        <v>133</v>
      </c>
      <c r="E198" s="11">
        <v>8</v>
      </c>
      <c r="F198" s="12">
        <v>140</v>
      </c>
      <c r="G198" s="11" t="s">
        <v>2388</v>
      </c>
    </row>
    <row r="199" spans="1:7" x14ac:dyDescent="0.25">
      <c r="A199" s="12">
        <v>200</v>
      </c>
      <c r="B199" s="12">
        <v>219</v>
      </c>
      <c r="C199" s="11">
        <v>14</v>
      </c>
      <c r="D199" s="12">
        <v>133</v>
      </c>
      <c r="E199" s="11">
        <v>10</v>
      </c>
      <c r="F199" s="12">
        <v>140</v>
      </c>
      <c r="G199" s="11">
        <v>10</v>
      </c>
    </row>
    <row r="200" spans="1:7" x14ac:dyDescent="0.25">
      <c r="A200" s="12">
        <v>200</v>
      </c>
      <c r="B200" s="12">
        <v>219</v>
      </c>
      <c r="C200" s="11">
        <v>16</v>
      </c>
      <c r="D200" s="12">
        <v>133</v>
      </c>
      <c r="E200" s="11">
        <v>10</v>
      </c>
      <c r="F200" s="12">
        <v>140</v>
      </c>
      <c r="G200" s="11">
        <v>12</v>
      </c>
    </row>
    <row r="201" spans="1:7" x14ac:dyDescent="0.25">
      <c r="A201" s="12">
        <v>200</v>
      </c>
      <c r="B201" s="12">
        <v>219</v>
      </c>
      <c r="C201" s="11">
        <v>6</v>
      </c>
      <c r="D201" s="11">
        <v>159</v>
      </c>
      <c r="E201" s="11" t="s">
        <v>2410</v>
      </c>
      <c r="F201" s="12">
        <v>140</v>
      </c>
      <c r="G201" s="11" t="s">
        <v>2413</v>
      </c>
    </row>
    <row r="202" spans="1:7" x14ac:dyDescent="0.25">
      <c r="A202" s="12">
        <v>200</v>
      </c>
      <c r="B202" s="12">
        <v>219</v>
      </c>
      <c r="C202" s="11">
        <v>10</v>
      </c>
      <c r="D202" s="12">
        <v>159</v>
      </c>
      <c r="E202" s="11">
        <v>8</v>
      </c>
      <c r="F202" s="12">
        <v>140</v>
      </c>
      <c r="G202" s="11" t="s">
        <v>2487</v>
      </c>
    </row>
    <row r="203" spans="1:7" x14ac:dyDescent="0.25">
      <c r="A203" s="12">
        <v>200</v>
      </c>
      <c r="B203" s="12">
        <v>219</v>
      </c>
      <c r="C203" s="11">
        <v>12</v>
      </c>
      <c r="D203" s="12">
        <v>159</v>
      </c>
      <c r="E203" s="11">
        <v>10</v>
      </c>
      <c r="F203" s="12">
        <v>140</v>
      </c>
      <c r="G203" s="11" t="s">
        <v>2388</v>
      </c>
    </row>
    <row r="204" spans="1:7" x14ac:dyDescent="0.25">
      <c r="A204" s="12">
        <v>200</v>
      </c>
      <c r="B204" s="12">
        <v>219</v>
      </c>
      <c r="C204" s="11">
        <v>14</v>
      </c>
      <c r="D204" s="12">
        <v>159</v>
      </c>
      <c r="E204" s="11">
        <v>12</v>
      </c>
      <c r="F204" s="12">
        <v>140</v>
      </c>
      <c r="G204" s="11">
        <v>10</v>
      </c>
    </row>
    <row r="205" spans="1:7" x14ac:dyDescent="0.25">
      <c r="A205" s="12">
        <v>200</v>
      </c>
      <c r="B205" s="12">
        <v>219</v>
      </c>
      <c r="C205" s="11">
        <v>16</v>
      </c>
      <c r="D205" s="12">
        <v>159</v>
      </c>
      <c r="E205" s="11">
        <v>12</v>
      </c>
      <c r="F205" s="12">
        <v>140</v>
      </c>
      <c r="G205" s="11">
        <v>12</v>
      </c>
    </row>
    <row r="206" spans="1:7" x14ac:dyDescent="0.25">
      <c r="A206" s="12">
        <v>200</v>
      </c>
      <c r="B206" s="12">
        <v>219</v>
      </c>
      <c r="C206" s="11">
        <v>6</v>
      </c>
      <c r="D206" s="11">
        <v>168</v>
      </c>
      <c r="E206" s="11" t="s">
        <v>2410</v>
      </c>
      <c r="F206" s="12">
        <v>140</v>
      </c>
      <c r="G206" s="11" t="s">
        <v>2413</v>
      </c>
    </row>
    <row r="207" spans="1:7" x14ac:dyDescent="0.25">
      <c r="A207" s="12">
        <v>200</v>
      </c>
      <c r="B207" s="12">
        <v>219</v>
      </c>
      <c r="C207" s="11">
        <v>10</v>
      </c>
      <c r="D207" s="12">
        <v>168</v>
      </c>
      <c r="E207" s="11">
        <v>8</v>
      </c>
      <c r="F207" s="12">
        <v>140</v>
      </c>
      <c r="G207" s="11" t="s">
        <v>2487</v>
      </c>
    </row>
    <row r="208" spans="1:7" x14ac:dyDescent="0.25">
      <c r="A208" s="12">
        <v>200</v>
      </c>
      <c r="B208" s="12">
        <v>219</v>
      </c>
      <c r="C208" s="11">
        <v>12</v>
      </c>
      <c r="D208" s="12">
        <v>168</v>
      </c>
      <c r="E208" s="11">
        <v>10</v>
      </c>
      <c r="F208" s="12">
        <v>140</v>
      </c>
      <c r="G208" s="11" t="s">
        <v>2388</v>
      </c>
    </row>
    <row r="209" spans="1:7" x14ac:dyDescent="0.25">
      <c r="A209" s="12">
        <v>200</v>
      </c>
      <c r="B209" s="12">
        <v>219</v>
      </c>
      <c r="C209" s="11">
        <v>14</v>
      </c>
      <c r="D209" s="12">
        <v>168</v>
      </c>
      <c r="E209" s="11">
        <v>12</v>
      </c>
      <c r="F209" s="12">
        <v>140</v>
      </c>
      <c r="G209" s="11">
        <v>10</v>
      </c>
    </row>
    <row r="210" spans="1:7" x14ac:dyDescent="0.25">
      <c r="A210" s="12">
        <v>200</v>
      </c>
      <c r="B210" s="12">
        <v>219</v>
      </c>
      <c r="C210" s="11">
        <v>16</v>
      </c>
      <c r="D210" s="12">
        <v>168</v>
      </c>
      <c r="E210" s="11">
        <v>12</v>
      </c>
      <c r="F210" s="12">
        <v>140</v>
      </c>
      <c r="G210" s="11">
        <v>12</v>
      </c>
    </row>
    <row r="211" spans="1:7" x14ac:dyDescent="0.25">
      <c r="A211" s="11">
        <v>250</v>
      </c>
      <c r="B211" s="11">
        <v>273</v>
      </c>
      <c r="C211" s="11">
        <v>7</v>
      </c>
      <c r="D211" s="11">
        <v>108</v>
      </c>
      <c r="E211" s="11">
        <v>4</v>
      </c>
      <c r="F211" s="11">
        <v>140</v>
      </c>
      <c r="G211" s="11">
        <v>6</v>
      </c>
    </row>
    <row r="212" spans="1:7" x14ac:dyDescent="0.25">
      <c r="A212" s="12">
        <v>250</v>
      </c>
      <c r="B212" s="12">
        <v>273</v>
      </c>
      <c r="C212" s="11">
        <v>10</v>
      </c>
      <c r="D212" s="12">
        <v>108</v>
      </c>
      <c r="E212" s="11">
        <v>6</v>
      </c>
      <c r="F212" s="12">
        <v>140</v>
      </c>
      <c r="G212" s="11" t="s">
        <v>2476</v>
      </c>
    </row>
    <row r="213" spans="1:7" x14ac:dyDescent="0.25">
      <c r="A213" s="12">
        <v>250</v>
      </c>
      <c r="B213" s="12">
        <v>273</v>
      </c>
      <c r="C213" s="11">
        <v>12</v>
      </c>
      <c r="D213" s="12">
        <v>108</v>
      </c>
      <c r="E213" s="11">
        <v>8</v>
      </c>
      <c r="F213" s="12">
        <v>140</v>
      </c>
      <c r="G213" s="11">
        <v>10</v>
      </c>
    </row>
    <row r="214" spans="1:7" x14ac:dyDescent="0.25">
      <c r="A214" s="12">
        <v>250</v>
      </c>
      <c r="B214" s="12">
        <v>273</v>
      </c>
      <c r="C214" s="11">
        <v>14</v>
      </c>
      <c r="D214" s="12">
        <v>108</v>
      </c>
      <c r="E214" s="11">
        <v>8</v>
      </c>
      <c r="F214" s="12">
        <v>140</v>
      </c>
      <c r="G214" s="11">
        <v>12</v>
      </c>
    </row>
    <row r="215" spans="1:7" x14ac:dyDescent="0.25">
      <c r="A215" s="12">
        <v>250</v>
      </c>
      <c r="B215" s="12">
        <v>273</v>
      </c>
      <c r="C215" s="11">
        <v>16</v>
      </c>
      <c r="D215" s="12">
        <v>108</v>
      </c>
      <c r="E215" s="11">
        <v>9</v>
      </c>
      <c r="F215" s="12">
        <v>140</v>
      </c>
      <c r="G215" s="11">
        <v>13</v>
      </c>
    </row>
    <row r="216" spans="1:7" x14ac:dyDescent="0.25">
      <c r="A216" s="12">
        <v>250</v>
      </c>
      <c r="B216" s="12">
        <v>273</v>
      </c>
      <c r="C216" s="11">
        <v>18</v>
      </c>
      <c r="D216" s="12">
        <v>108</v>
      </c>
      <c r="E216" s="11">
        <v>9</v>
      </c>
      <c r="F216" s="12">
        <v>140</v>
      </c>
      <c r="G216" s="11">
        <v>15</v>
      </c>
    </row>
    <row r="217" spans="1:7" x14ac:dyDescent="0.25">
      <c r="A217" s="12">
        <v>250</v>
      </c>
      <c r="B217" s="12">
        <v>273</v>
      </c>
      <c r="C217" s="11">
        <v>7</v>
      </c>
      <c r="D217" s="11">
        <v>114</v>
      </c>
      <c r="E217" s="11">
        <v>4</v>
      </c>
      <c r="F217" s="12">
        <v>140</v>
      </c>
      <c r="G217" s="11">
        <v>6</v>
      </c>
    </row>
    <row r="218" spans="1:7" x14ac:dyDescent="0.25">
      <c r="A218" s="12">
        <v>250</v>
      </c>
      <c r="B218" s="12">
        <v>273</v>
      </c>
      <c r="C218" s="11">
        <v>10</v>
      </c>
      <c r="D218" s="12">
        <v>114</v>
      </c>
      <c r="E218" s="11">
        <v>6</v>
      </c>
      <c r="F218" s="12">
        <v>140</v>
      </c>
      <c r="G218" s="11" t="s">
        <v>2476</v>
      </c>
    </row>
    <row r="219" spans="1:7" x14ac:dyDescent="0.25">
      <c r="A219" s="12">
        <v>250</v>
      </c>
      <c r="B219" s="12">
        <v>273</v>
      </c>
      <c r="C219" s="11">
        <v>12</v>
      </c>
      <c r="D219" s="12">
        <v>114</v>
      </c>
      <c r="E219" s="11">
        <v>8</v>
      </c>
      <c r="F219" s="12">
        <v>140</v>
      </c>
      <c r="G219" s="11">
        <v>10</v>
      </c>
    </row>
    <row r="220" spans="1:7" x14ac:dyDescent="0.25">
      <c r="A220" s="12">
        <v>250</v>
      </c>
      <c r="B220" s="12">
        <v>273</v>
      </c>
      <c r="C220" s="11">
        <v>14</v>
      </c>
      <c r="D220" s="12">
        <v>114</v>
      </c>
      <c r="E220" s="11">
        <v>8</v>
      </c>
      <c r="F220" s="12">
        <v>140</v>
      </c>
      <c r="G220" s="11">
        <v>12</v>
      </c>
    </row>
    <row r="221" spans="1:7" x14ac:dyDescent="0.25">
      <c r="A221" s="12">
        <v>250</v>
      </c>
      <c r="B221" s="12">
        <v>273</v>
      </c>
      <c r="C221" s="11">
        <v>16</v>
      </c>
      <c r="D221" s="12">
        <v>114</v>
      </c>
      <c r="E221" s="11">
        <v>9</v>
      </c>
      <c r="F221" s="12">
        <v>140</v>
      </c>
      <c r="G221" s="11">
        <v>13</v>
      </c>
    </row>
    <row r="222" spans="1:7" x14ac:dyDescent="0.25">
      <c r="A222" s="12">
        <v>250</v>
      </c>
      <c r="B222" s="12">
        <v>273</v>
      </c>
      <c r="C222" s="11">
        <v>18</v>
      </c>
      <c r="D222" s="12">
        <v>114</v>
      </c>
      <c r="E222" s="11">
        <v>9</v>
      </c>
      <c r="F222" s="12">
        <v>140</v>
      </c>
      <c r="G222" s="11">
        <v>15</v>
      </c>
    </row>
    <row r="223" spans="1:7" x14ac:dyDescent="0.25">
      <c r="A223" s="12">
        <v>250</v>
      </c>
      <c r="B223" s="12">
        <v>273</v>
      </c>
      <c r="C223" s="11">
        <v>7</v>
      </c>
      <c r="D223" s="11">
        <v>133</v>
      </c>
      <c r="E223" s="11">
        <v>4</v>
      </c>
      <c r="F223" s="12">
        <v>140</v>
      </c>
      <c r="G223" s="11">
        <v>6</v>
      </c>
    </row>
    <row r="224" spans="1:7" x14ac:dyDescent="0.25">
      <c r="A224" s="12">
        <v>250</v>
      </c>
      <c r="B224" s="12">
        <v>273</v>
      </c>
      <c r="C224" s="11">
        <v>10</v>
      </c>
      <c r="D224" s="12">
        <v>133</v>
      </c>
      <c r="E224" s="11">
        <v>6</v>
      </c>
      <c r="F224" s="12">
        <v>140</v>
      </c>
      <c r="G224" s="11" t="s">
        <v>2476</v>
      </c>
    </row>
    <row r="225" spans="1:7" x14ac:dyDescent="0.25">
      <c r="A225" s="12">
        <v>250</v>
      </c>
      <c r="B225" s="12">
        <v>273</v>
      </c>
      <c r="C225" s="11">
        <v>12</v>
      </c>
      <c r="D225" s="12">
        <v>133</v>
      </c>
      <c r="E225" s="11">
        <v>8</v>
      </c>
      <c r="F225" s="12">
        <v>140</v>
      </c>
      <c r="G225" s="11">
        <v>10</v>
      </c>
    </row>
    <row r="226" spans="1:7" x14ac:dyDescent="0.25">
      <c r="A226" s="12">
        <v>250</v>
      </c>
      <c r="B226" s="12">
        <v>273</v>
      </c>
      <c r="C226" s="11">
        <v>14</v>
      </c>
      <c r="D226" s="12">
        <v>133</v>
      </c>
      <c r="E226" s="11">
        <v>8</v>
      </c>
      <c r="F226" s="12">
        <v>140</v>
      </c>
      <c r="G226" s="11">
        <v>12</v>
      </c>
    </row>
    <row r="227" spans="1:7" x14ac:dyDescent="0.25">
      <c r="A227" s="12">
        <v>250</v>
      </c>
      <c r="B227" s="12">
        <v>273</v>
      </c>
      <c r="C227" s="11">
        <v>16</v>
      </c>
      <c r="D227" s="12">
        <v>133</v>
      </c>
      <c r="E227" s="11">
        <v>10</v>
      </c>
      <c r="F227" s="12">
        <v>140</v>
      </c>
      <c r="G227" s="11">
        <v>13</v>
      </c>
    </row>
    <row r="228" spans="1:7" x14ac:dyDescent="0.25">
      <c r="A228" s="12">
        <v>250</v>
      </c>
      <c r="B228" s="12">
        <v>273</v>
      </c>
      <c r="C228" s="11">
        <v>18</v>
      </c>
      <c r="D228" s="12">
        <v>133</v>
      </c>
      <c r="E228" s="11">
        <v>10</v>
      </c>
      <c r="F228" s="12">
        <v>140</v>
      </c>
      <c r="G228" s="11">
        <v>15</v>
      </c>
    </row>
    <row r="229" spans="1:7" x14ac:dyDescent="0.25">
      <c r="A229" s="12">
        <v>250</v>
      </c>
      <c r="B229" s="12">
        <v>273</v>
      </c>
      <c r="C229" s="11">
        <v>7</v>
      </c>
      <c r="D229" s="11">
        <v>159</v>
      </c>
      <c r="E229" s="11" t="s">
        <v>2410</v>
      </c>
      <c r="F229" s="11">
        <v>180</v>
      </c>
      <c r="G229" s="11" t="s">
        <v>2488</v>
      </c>
    </row>
    <row r="230" spans="1:7" x14ac:dyDescent="0.25">
      <c r="A230" s="12">
        <v>250</v>
      </c>
      <c r="B230" s="12">
        <v>273</v>
      </c>
      <c r="C230" s="11">
        <v>10</v>
      </c>
      <c r="D230" s="12">
        <v>159</v>
      </c>
      <c r="E230" s="11">
        <v>8</v>
      </c>
      <c r="F230" s="12">
        <v>180</v>
      </c>
      <c r="G230" s="11">
        <v>12</v>
      </c>
    </row>
    <row r="231" spans="1:7" x14ac:dyDescent="0.25">
      <c r="A231" s="12">
        <v>250</v>
      </c>
      <c r="B231" s="12">
        <v>273</v>
      </c>
      <c r="C231" s="11">
        <v>12</v>
      </c>
      <c r="D231" s="12">
        <v>159</v>
      </c>
      <c r="E231" s="11">
        <v>10</v>
      </c>
      <c r="F231" s="12">
        <v>180</v>
      </c>
      <c r="G231" s="11">
        <v>14</v>
      </c>
    </row>
    <row r="232" spans="1:7" x14ac:dyDescent="0.25">
      <c r="A232" s="12">
        <v>250</v>
      </c>
      <c r="B232" s="12">
        <v>273</v>
      </c>
      <c r="C232" s="11">
        <v>14</v>
      </c>
      <c r="D232" s="12">
        <v>159</v>
      </c>
      <c r="E232" s="11">
        <v>10</v>
      </c>
      <c r="F232" s="12">
        <v>180</v>
      </c>
      <c r="G232" s="11">
        <v>16</v>
      </c>
    </row>
    <row r="233" spans="1:7" x14ac:dyDescent="0.25">
      <c r="A233" s="12">
        <v>250</v>
      </c>
      <c r="B233" s="12">
        <v>273</v>
      </c>
      <c r="C233" s="11">
        <v>16</v>
      </c>
      <c r="D233" s="12">
        <v>159</v>
      </c>
      <c r="E233" s="11">
        <v>12</v>
      </c>
      <c r="F233" s="12">
        <v>180</v>
      </c>
      <c r="G233" s="11">
        <v>18</v>
      </c>
    </row>
    <row r="234" spans="1:7" x14ac:dyDescent="0.25">
      <c r="A234" s="12">
        <v>250</v>
      </c>
      <c r="B234" s="12">
        <v>273</v>
      </c>
      <c r="C234" s="11">
        <v>18</v>
      </c>
      <c r="D234" s="12">
        <v>159</v>
      </c>
      <c r="E234" s="11">
        <v>12</v>
      </c>
      <c r="F234" s="12">
        <v>180</v>
      </c>
      <c r="G234" s="11">
        <v>20</v>
      </c>
    </row>
    <row r="235" spans="1:7" x14ac:dyDescent="0.25">
      <c r="A235" s="12">
        <v>250</v>
      </c>
      <c r="B235" s="12">
        <v>273</v>
      </c>
      <c r="C235" s="11">
        <v>7</v>
      </c>
      <c r="D235" s="11">
        <v>168</v>
      </c>
      <c r="E235" s="11" t="s">
        <v>2410</v>
      </c>
      <c r="F235" s="12">
        <v>180</v>
      </c>
      <c r="G235" s="11" t="s">
        <v>2488</v>
      </c>
    </row>
    <row r="236" spans="1:7" x14ac:dyDescent="0.25">
      <c r="A236" s="12">
        <v>250</v>
      </c>
      <c r="B236" s="12">
        <v>273</v>
      </c>
      <c r="C236" s="11">
        <v>10</v>
      </c>
      <c r="D236" s="12">
        <v>168</v>
      </c>
      <c r="E236" s="11">
        <v>8</v>
      </c>
      <c r="F236" s="12">
        <v>180</v>
      </c>
      <c r="G236" s="11">
        <v>12</v>
      </c>
    </row>
    <row r="237" spans="1:7" x14ac:dyDescent="0.25">
      <c r="A237" s="12">
        <v>250</v>
      </c>
      <c r="B237" s="12">
        <v>273</v>
      </c>
      <c r="C237" s="11">
        <v>12</v>
      </c>
      <c r="D237" s="11">
        <v>168</v>
      </c>
      <c r="E237" s="11">
        <v>10</v>
      </c>
      <c r="F237" s="12">
        <v>180</v>
      </c>
      <c r="G237" s="11">
        <v>14</v>
      </c>
    </row>
    <row r="238" spans="1:7" x14ac:dyDescent="0.25">
      <c r="A238" s="12">
        <v>250</v>
      </c>
      <c r="B238" s="12">
        <v>273</v>
      </c>
      <c r="C238" s="11">
        <v>14</v>
      </c>
      <c r="D238" s="12">
        <v>168</v>
      </c>
      <c r="E238" s="11">
        <v>10</v>
      </c>
      <c r="F238" s="12">
        <v>180</v>
      </c>
      <c r="G238" s="11">
        <v>16</v>
      </c>
    </row>
    <row r="239" spans="1:7" x14ac:dyDescent="0.25">
      <c r="A239" s="12">
        <v>250</v>
      </c>
      <c r="B239" s="12">
        <v>273</v>
      </c>
      <c r="C239" s="11">
        <v>16</v>
      </c>
      <c r="D239" s="12">
        <v>168</v>
      </c>
      <c r="E239" s="11">
        <v>12</v>
      </c>
      <c r="F239" s="12">
        <v>180</v>
      </c>
      <c r="G239" s="11">
        <v>18</v>
      </c>
    </row>
    <row r="240" spans="1:7" x14ac:dyDescent="0.25">
      <c r="A240" s="12">
        <v>250</v>
      </c>
      <c r="B240" s="12">
        <v>273</v>
      </c>
      <c r="C240" s="11">
        <v>18</v>
      </c>
      <c r="D240" s="12">
        <v>168</v>
      </c>
      <c r="E240" s="11">
        <v>12</v>
      </c>
      <c r="F240" s="12">
        <v>180</v>
      </c>
      <c r="G240" s="11">
        <v>20</v>
      </c>
    </row>
    <row r="241" spans="1:7" x14ac:dyDescent="0.25">
      <c r="A241" s="12">
        <v>250</v>
      </c>
      <c r="B241" s="12">
        <v>273</v>
      </c>
      <c r="C241" s="11">
        <v>7</v>
      </c>
      <c r="D241" s="11">
        <v>219</v>
      </c>
      <c r="E241" s="11">
        <v>6</v>
      </c>
      <c r="F241" s="12">
        <v>180</v>
      </c>
      <c r="G241" s="11" t="s">
        <v>2488</v>
      </c>
    </row>
    <row r="242" spans="1:7" x14ac:dyDescent="0.25">
      <c r="A242" s="12">
        <v>250</v>
      </c>
      <c r="B242" s="12">
        <v>273</v>
      </c>
      <c r="C242" s="11">
        <v>10</v>
      </c>
      <c r="D242" s="12">
        <v>219</v>
      </c>
      <c r="E242" s="11">
        <v>8</v>
      </c>
      <c r="F242" s="12">
        <v>180</v>
      </c>
      <c r="G242" s="11">
        <v>12</v>
      </c>
    </row>
    <row r="243" spans="1:7" x14ac:dyDescent="0.25">
      <c r="A243" s="12">
        <v>250</v>
      </c>
      <c r="B243" s="12">
        <v>273</v>
      </c>
      <c r="C243" s="11">
        <v>12</v>
      </c>
      <c r="D243" s="12">
        <v>219</v>
      </c>
      <c r="E243" s="11">
        <v>10</v>
      </c>
      <c r="F243" s="12">
        <v>180</v>
      </c>
      <c r="G243" s="11">
        <v>14</v>
      </c>
    </row>
    <row r="244" spans="1:7" x14ac:dyDescent="0.25">
      <c r="A244" s="12">
        <v>250</v>
      </c>
      <c r="B244" s="12">
        <v>273</v>
      </c>
      <c r="C244" s="11">
        <v>14</v>
      </c>
      <c r="D244" s="12">
        <v>219</v>
      </c>
      <c r="E244" s="11">
        <v>12</v>
      </c>
      <c r="F244" s="12">
        <v>180</v>
      </c>
      <c r="G244" s="11">
        <v>16</v>
      </c>
    </row>
    <row r="245" spans="1:7" x14ac:dyDescent="0.25">
      <c r="A245" s="12">
        <v>250</v>
      </c>
      <c r="B245" s="12">
        <v>273</v>
      </c>
      <c r="C245" s="11">
        <v>16</v>
      </c>
      <c r="D245" s="12">
        <v>219</v>
      </c>
      <c r="E245" s="11">
        <v>14</v>
      </c>
      <c r="F245" s="12">
        <v>180</v>
      </c>
      <c r="G245" s="11">
        <v>18</v>
      </c>
    </row>
    <row r="246" spans="1:7" x14ac:dyDescent="0.25">
      <c r="A246" s="12">
        <v>250</v>
      </c>
      <c r="B246" s="12">
        <v>273</v>
      </c>
      <c r="C246" s="11">
        <v>18</v>
      </c>
      <c r="D246" s="12">
        <v>219</v>
      </c>
      <c r="E246" s="11">
        <v>16</v>
      </c>
      <c r="F246" s="12">
        <v>180</v>
      </c>
      <c r="G246" s="11">
        <v>20</v>
      </c>
    </row>
    <row r="247" spans="1:7" x14ac:dyDescent="0.25">
      <c r="A247" s="11">
        <v>300</v>
      </c>
      <c r="B247" s="11">
        <v>325</v>
      </c>
      <c r="C247" s="11">
        <v>8</v>
      </c>
      <c r="D247" s="11">
        <v>108</v>
      </c>
      <c r="E247" s="11">
        <v>4</v>
      </c>
      <c r="F247" s="11">
        <v>140</v>
      </c>
      <c r="G247" s="11">
        <v>9</v>
      </c>
    </row>
    <row r="248" spans="1:7" x14ac:dyDescent="0.25">
      <c r="A248" s="12">
        <v>300</v>
      </c>
      <c r="B248" s="12">
        <v>325</v>
      </c>
      <c r="C248" s="11">
        <v>10</v>
      </c>
      <c r="D248" s="12">
        <v>108</v>
      </c>
      <c r="E248" s="11">
        <v>4</v>
      </c>
      <c r="F248" s="12">
        <v>140</v>
      </c>
      <c r="G248" s="11">
        <v>11</v>
      </c>
    </row>
    <row r="249" spans="1:7" x14ac:dyDescent="0.25">
      <c r="A249" s="12">
        <v>300</v>
      </c>
      <c r="B249" s="12">
        <v>325</v>
      </c>
      <c r="C249" s="11">
        <v>12</v>
      </c>
      <c r="D249" s="12">
        <v>108</v>
      </c>
      <c r="E249" s="11">
        <v>6</v>
      </c>
      <c r="F249" s="12">
        <v>140</v>
      </c>
      <c r="G249" s="11">
        <v>16</v>
      </c>
    </row>
    <row r="250" spans="1:7" x14ac:dyDescent="0.25">
      <c r="A250" s="12">
        <v>300</v>
      </c>
      <c r="B250" s="12">
        <v>325</v>
      </c>
      <c r="C250" s="11">
        <v>14</v>
      </c>
      <c r="D250" s="12">
        <v>108</v>
      </c>
      <c r="E250" s="11">
        <v>6</v>
      </c>
      <c r="F250" s="12">
        <v>140</v>
      </c>
      <c r="G250" s="11">
        <v>18</v>
      </c>
    </row>
    <row r="251" spans="1:7" x14ac:dyDescent="0.25">
      <c r="A251" s="12">
        <v>300</v>
      </c>
      <c r="B251" s="12">
        <v>325</v>
      </c>
      <c r="C251" s="11">
        <v>16</v>
      </c>
      <c r="D251" s="12">
        <v>108</v>
      </c>
      <c r="E251" s="11">
        <v>8</v>
      </c>
      <c r="F251" s="12">
        <v>140</v>
      </c>
      <c r="G251" s="11">
        <v>20</v>
      </c>
    </row>
    <row r="252" spans="1:7" x14ac:dyDescent="0.25">
      <c r="A252" s="12">
        <v>300</v>
      </c>
      <c r="B252" s="12">
        <v>325</v>
      </c>
      <c r="C252" s="11">
        <v>18</v>
      </c>
      <c r="D252" s="12">
        <v>108</v>
      </c>
      <c r="E252" s="11">
        <v>8</v>
      </c>
      <c r="F252" s="12">
        <v>140</v>
      </c>
      <c r="G252" s="11">
        <v>23</v>
      </c>
    </row>
    <row r="253" spans="1:7" x14ac:dyDescent="0.25">
      <c r="A253" s="12">
        <v>300</v>
      </c>
      <c r="B253" s="12">
        <v>325</v>
      </c>
      <c r="C253" s="11">
        <v>22</v>
      </c>
      <c r="D253" s="12">
        <v>108</v>
      </c>
      <c r="E253" s="11">
        <v>9</v>
      </c>
      <c r="F253" s="12">
        <v>140</v>
      </c>
      <c r="G253" s="11">
        <v>28</v>
      </c>
    </row>
    <row r="254" spans="1:7" x14ac:dyDescent="0.25">
      <c r="A254" s="12">
        <v>300</v>
      </c>
      <c r="B254" s="12">
        <v>325</v>
      </c>
      <c r="C254" s="11">
        <v>8</v>
      </c>
      <c r="D254" s="11">
        <v>114</v>
      </c>
      <c r="E254" s="11">
        <v>4</v>
      </c>
      <c r="F254" s="12">
        <v>140</v>
      </c>
      <c r="G254" s="11">
        <v>9</v>
      </c>
    </row>
    <row r="255" spans="1:7" x14ac:dyDescent="0.25">
      <c r="A255" s="12">
        <v>300</v>
      </c>
      <c r="B255" s="12">
        <v>325</v>
      </c>
      <c r="C255" s="11">
        <v>10</v>
      </c>
      <c r="D255" s="12">
        <v>114</v>
      </c>
      <c r="E255" s="11">
        <v>4</v>
      </c>
      <c r="F255" s="12">
        <v>140</v>
      </c>
      <c r="G255" s="11">
        <v>11</v>
      </c>
    </row>
    <row r="256" spans="1:7" x14ac:dyDescent="0.25">
      <c r="A256" s="12">
        <v>300</v>
      </c>
      <c r="B256" s="12">
        <v>325</v>
      </c>
      <c r="C256" s="11">
        <v>12</v>
      </c>
      <c r="D256" s="12">
        <v>114</v>
      </c>
      <c r="E256" s="11">
        <v>6</v>
      </c>
      <c r="F256" s="12">
        <v>140</v>
      </c>
      <c r="G256" s="11">
        <v>16</v>
      </c>
    </row>
    <row r="257" spans="1:7" x14ac:dyDescent="0.25">
      <c r="A257" s="12">
        <v>300</v>
      </c>
      <c r="B257" s="12">
        <v>325</v>
      </c>
      <c r="C257" s="11">
        <v>14</v>
      </c>
      <c r="D257" s="12">
        <v>114</v>
      </c>
      <c r="E257" s="11">
        <v>6</v>
      </c>
      <c r="F257" s="12">
        <v>140</v>
      </c>
      <c r="G257" s="11">
        <v>18</v>
      </c>
    </row>
    <row r="258" spans="1:7" x14ac:dyDescent="0.25">
      <c r="A258" s="12">
        <v>300</v>
      </c>
      <c r="B258" s="12">
        <v>325</v>
      </c>
      <c r="C258" s="11">
        <v>16</v>
      </c>
      <c r="D258" s="12">
        <v>114</v>
      </c>
      <c r="E258" s="11">
        <v>8</v>
      </c>
      <c r="F258" s="12">
        <v>140</v>
      </c>
      <c r="G258" s="11">
        <v>20</v>
      </c>
    </row>
    <row r="259" spans="1:7" x14ac:dyDescent="0.25">
      <c r="A259" s="12">
        <v>300</v>
      </c>
      <c r="B259" s="12">
        <v>325</v>
      </c>
      <c r="C259" s="11">
        <v>18</v>
      </c>
      <c r="D259" s="12">
        <v>114</v>
      </c>
      <c r="E259" s="11">
        <v>8</v>
      </c>
      <c r="F259" s="12">
        <v>140</v>
      </c>
      <c r="G259" s="11">
        <v>23</v>
      </c>
    </row>
    <row r="260" spans="1:7" x14ac:dyDescent="0.25">
      <c r="A260" s="12">
        <v>300</v>
      </c>
      <c r="B260" s="12">
        <v>325</v>
      </c>
      <c r="C260" s="11">
        <v>22</v>
      </c>
      <c r="D260" s="12">
        <v>114</v>
      </c>
      <c r="E260" s="11">
        <v>9</v>
      </c>
      <c r="F260" s="12">
        <v>140</v>
      </c>
      <c r="G260" s="11">
        <v>28</v>
      </c>
    </row>
    <row r="261" spans="1:7" x14ac:dyDescent="0.25">
      <c r="A261" s="12">
        <v>300</v>
      </c>
      <c r="B261" s="12">
        <v>325</v>
      </c>
      <c r="C261" s="11">
        <v>8</v>
      </c>
      <c r="D261" s="11">
        <v>133</v>
      </c>
      <c r="E261" s="11">
        <v>5</v>
      </c>
      <c r="F261" s="12">
        <v>140</v>
      </c>
      <c r="G261" s="11">
        <v>11</v>
      </c>
    </row>
    <row r="262" spans="1:7" x14ac:dyDescent="0.25">
      <c r="A262" s="12">
        <v>300</v>
      </c>
      <c r="B262" s="12">
        <v>325</v>
      </c>
      <c r="C262" s="11">
        <v>10</v>
      </c>
      <c r="D262" s="12">
        <v>133</v>
      </c>
      <c r="E262" s="11">
        <v>6</v>
      </c>
      <c r="F262" s="12">
        <v>140</v>
      </c>
      <c r="G262" s="11">
        <v>13</v>
      </c>
    </row>
    <row r="263" spans="1:7" x14ac:dyDescent="0.25">
      <c r="A263" s="12">
        <v>300</v>
      </c>
      <c r="B263" s="12">
        <v>325</v>
      </c>
      <c r="C263" s="11">
        <v>12</v>
      </c>
      <c r="D263" s="12">
        <v>133</v>
      </c>
      <c r="E263" s="11">
        <v>8</v>
      </c>
      <c r="F263" s="12">
        <v>140</v>
      </c>
      <c r="G263" s="11">
        <v>16</v>
      </c>
    </row>
    <row r="264" spans="1:7" x14ac:dyDescent="0.25">
      <c r="A264" s="12">
        <v>300</v>
      </c>
      <c r="B264" s="12">
        <v>325</v>
      </c>
      <c r="C264" s="11">
        <v>14</v>
      </c>
      <c r="D264" s="12">
        <v>133</v>
      </c>
      <c r="E264" s="11">
        <v>8</v>
      </c>
      <c r="F264" s="12">
        <v>140</v>
      </c>
      <c r="G264" s="11">
        <v>18</v>
      </c>
    </row>
    <row r="265" spans="1:7" x14ac:dyDescent="0.25">
      <c r="A265" s="12">
        <v>300</v>
      </c>
      <c r="B265" s="12">
        <v>325</v>
      </c>
      <c r="C265" s="11">
        <v>16</v>
      </c>
      <c r="D265" s="12">
        <v>133</v>
      </c>
      <c r="E265" s="11">
        <v>8</v>
      </c>
      <c r="F265" s="12">
        <v>140</v>
      </c>
      <c r="G265" s="11">
        <v>20</v>
      </c>
    </row>
    <row r="266" spans="1:7" x14ac:dyDescent="0.25">
      <c r="A266" s="12">
        <v>300</v>
      </c>
      <c r="B266" s="12">
        <v>325</v>
      </c>
      <c r="C266" s="11">
        <v>18</v>
      </c>
      <c r="D266" s="12">
        <v>133</v>
      </c>
      <c r="E266" s="11">
        <v>10</v>
      </c>
      <c r="F266" s="12">
        <v>140</v>
      </c>
      <c r="G266" s="11">
        <v>23</v>
      </c>
    </row>
    <row r="267" spans="1:7" x14ac:dyDescent="0.25">
      <c r="A267" s="12">
        <v>300</v>
      </c>
      <c r="B267" s="12">
        <v>325</v>
      </c>
      <c r="C267" s="11">
        <v>22</v>
      </c>
      <c r="D267" s="12">
        <v>133</v>
      </c>
      <c r="E267" s="11">
        <v>10</v>
      </c>
      <c r="F267" s="12">
        <v>140</v>
      </c>
      <c r="G267" s="11">
        <v>28</v>
      </c>
    </row>
    <row r="268" spans="1:7" x14ac:dyDescent="0.25">
      <c r="A268" s="12">
        <v>300</v>
      </c>
      <c r="B268" s="12">
        <v>325</v>
      </c>
      <c r="C268" s="11">
        <v>8</v>
      </c>
      <c r="D268" s="11">
        <v>159</v>
      </c>
      <c r="E268" s="11" t="s">
        <v>2410</v>
      </c>
      <c r="F268" s="12">
        <v>140</v>
      </c>
      <c r="G268" s="11">
        <v>11</v>
      </c>
    </row>
    <row r="269" spans="1:7" x14ac:dyDescent="0.25">
      <c r="A269" s="12">
        <v>300</v>
      </c>
      <c r="B269" s="12">
        <v>325</v>
      </c>
      <c r="C269" s="11">
        <v>10</v>
      </c>
      <c r="D269" s="12">
        <v>159</v>
      </c>
      <c r="E269" s="11">
        <v>6</v>
      </c>
      <c r="F269" s="12">
        <v>140</v>
      </c>
      <c r="G269" s="11">
        <v>14</v>
      </c>
    </row>
    <row r="270" spans="1:7" x14ac:dyDescent="0.25">
      <c r="A270" s="12">
        <v>300</v>
      </c>
      <c r="B270" s="12">
        <v>325</v>
      </c>
      <c r="C270" s="11">
        <v>12</v>
      </c>
      <c r="D270" s="12">
        <v>159</v>
      </c>
      <c r="E270" s="11">
        <v>8</v>
      </c>
      <c r="F270" s="12">
        <v>140</v>
      </c>
      <c r="G270" s="11">
        <v>16</v>
      </c>
    </row>
    <row r="271" spans="1:7" x14ac:dyDescent="0.25">
      <c r="A271" s="12">
        <v>300</v>
      </c>
      <c r="B271" s="12">
        <v>325</v>
      </c>
      <c r="C271" s="11">
        <v>14</v>
      </c>
      <c r="D271" s="12">
        <v>159</v>
      </c>
      <c r="E271" s="11">
        <v>8</v>
      </c>
      <c r="F271" s="12">
        <v>140</v>
      </c>
      <c r="G271" s="11">
        <v>18</v>
      </c>
    </row>
    <row r="272" spans="1:7" x14ac:dyDescent="0.25">
      <c r="A272" s="12">
        <v>300</v>
      </c>
      <c r="B272" s="12">
        <v>325</v>
      </c>
      <c r="C272" s="11">
        <v>16</v>
      </c>
      <c r="D272" s="12">
        <v>159</v>
      </c>
      <c r="E272" s="11">
        <v>10</v>
      </c>
      <c r="F272" s="12">
        <v>140</v>
      </c>
      <c r="G272" s="11">
        <v>20</v>
      </c>
    </row>
    <row r="273" spans="1:7" x14ac:dyDescent="0.25">
      <c r="A273" s="12">
        <v>300</v>
      </c>
      <c r="B273" s="12">
        <v>325</v>
      </c>
      <c r="C273" s="11">
        <v>18</v>
      </c>
      <c r="D273" s="12">
        <v>159</v>
      </c>
      <c r="E273" s="11">
        <v>10</v>
      </c>
      <c r="F273" s="12">
        <v>140</v>
      </c>
      <c r="G273" s="11">
        <v>23</v>
      </c>
    </row>
    <row r="274" spans="1:7" x14ac:dyDescent="0.25">
      <c r="A274" s="12">
        <v>300</v>
      </c>
      <c r="B274" s="12">
        <v>325</v>
      </c>
      <c r="C274" s="11">
        <v>22</v>
      </c>
      <c r="D274" s="12">
        <v>159</v>
      </c>
      <c r="E274" s="11">
        <v>12</v>
      </c>
      <c r="F274" s="12">
        <v>140</v>
      </c>
      <c r="G274" s="11">
        <v>28</v>
      </c>
    </row>
    <row r="275" spans="1:7" x14ac:dyDescent="0.25">
      <c r="A275" s="12">
        <v>300</v>
      </c>
      <c r="B275" s="12">
        <v>325</v>
      </c>
      <c r="C275" s="11">
        <v>8</v>
      </c>
      <c r="D275" s="11">
        <v>168</v>
      </c>
      <c r="E275" s="11">
        <v>4</v>
      </c>
      <c r="F275" s="12">
        <v>140</v>
      </c>
      <c r="G275" s="11">
        <v>11</v>
      </c>
    </row>
    <row r="276" spans="1:7" x14ac:dyDescent="0.25">
      <c r="A276" s="12">
        <v>300</v>
      </c>
      <c r="B276" s="12">
        <v>325</v>
      </c>
      <c r="C276" s="11">
        <v>10</v>
      </c>
      <c r="D276" s="12">
        <v>168</v>
      </c>
      <c r="E276" s="11">
        <v>6</v>
      </c>
      <c r="F276" s="12">
        <v>140</v>
      </c>
      <c r="G276" s="11">
        <v>14</v>
      </c>
    </row>
    <row r="277" spans="1:7" x14ac:dyDescent="0.25">
      <c r="A277" s="12">
        <v>300</v>
      </c>
      <c r="B277" s="12">
        <v>325</v>
      </c>
      <c r="C277" s="11">
        <v>12</v>
      </c>
      <c r="D277" s="12">
        <v>168</v>
      </c>
      <c r="E277" s="11">
        <v>8</v>
      </c>
      <c r="F277" s="12">
        <v>140</v>
      </c>
      <c r="G277" s="11">
        <v>16</v>
      </c>
    </row>
    <row r="278" spans="1:7" x14ac:dyDescent="0.25">
      <c r="A278" s="12">
        <v>300</v>
      </c>
      <c r="B278" s="12">
        <v>325</v>
      </c>
      <c r="C278" s="11">
        <v>14</v>
      </c>
      <c r="D278" s="12">
        <v>168</v>
      </c>
      <c r="E278" s="11">
        <v>8</v>
      </c>
      <c r="F278" s="12">
        <v>140</v>
      </c>
      <c r="G278" s="11">
        <v>18</v>
      </c>
    </row>
    <row r="279" spans="1:7" x14ac:dyDescent="0.25">
      <c r="A279" s="12">
        <v>300</v>
      </c>
      <c r="B279" s="12">
        <v>325</v>
      </c>
      <c r="C279" s="11">
        <v>16</v>
      </c>
      <c r="D279" s="12">
        <v>168</v>
      </c>
      <c r="E279" s="11">
        <v>10</v>
      </c>
      <c r="F279" s="12">
        <v>140</v>
      </c>
      <c r="G279" s="11">
        <v>20</v>
      </c>
    </row>
    <row r="280" spans="1:7" x14ac:dyDescent="0.25">
      <c r="A280" s="12">
        <v>300</v>
      </c>
      <c r="B280" s="12">
        <v>325</v>
      </c>
      <c r="C280" s="11">
        <v>18</v>
      </c>
      <c r="D280" s="12">
        <v>168</v>
      </c>
      <c r="E280" s="11">
        <v>10</v>
      </c>
      <c r="F280" s="12">
        <v>140</v>
      </c>
      <c r="G280" s="11">
        <v>23</v>
      </c>
    </row>
    <row r="281" spans="1:7" x14ac:dyDescent="0.25">
      <c r="A281" s="12">
        <v>300</v>
      </c>
      <c r="B281" s="12">
        <v>325</v>
      </c>
      <c r="C281" s="11">
        <v>22</v>
      </c>
      <c r="D281" s="12">
        <v>168</v>
      </c>
      <c r="E281" s="11">
        <v>12</v>
      </c>
      <c r="F281" s="12">
        <v>140</v>
      </c>
      <c r="G281" s="11">
        <v>28</v>
      </c>
    </row>
    <row r="282" spans="1:7" x14ac:dyDescent="0.25">
      <c r="A282" s="12">
        <v>300</v>
      </c>
      <c r="B282" s="12">
        <v>325</v>
      </c>
      <c r="C282" s="11">
        <v>8</v>
      </c>
      <c r="D282" s="11">
        <v>219</v>
      </c>
      <c r="E282" s="11">
        <v>7</v>
      </c>
      <c r="F282" s="11">
        <v>180</v>
      </c>
      <c r="G282" s="11">
        <v>11</v>
      </c>
    </row>
    <row r="283" spans="1:7" x14ac:dyDescent="0.25">
      <c r="A283" s="12">
        <v>300</v>
      </c>
      <c r="B283" s="12">
        <v>325</v>
      </c>
      <c r="C283" s="11">
        <v>10</v>
      </c>
      <c r="D283" s="12">
        <v>219</v>
      </c>
      <c r="E283" s="11">
        <v>8</v>
      </c>
      <c r="F283" s="12">
        <v>180</v>
      </c>
      <c r="G283" s="11">
        <v>14</v>
      </c>
    </row>
    <row r="284" spans="1:7" x14ac:dyDescent="0.25">
      <c r="A284" s="12">
        <v>300</v>
      </c>
      <c r="B284" s="12">
        <v>325</v>
      </c>
      <c r="C284" s="11">
        <v>12</v>
      </c>
      <c r="D284" s="12">
        <v>219</v>
      </c>
      <c r="E284" s="11">
        <v>10</v>
      </c>
      <c r="F284" s="12">
        <v>180</v>
      </c>
      <c r="G284" s="11">
        <v>17</v>
      </c>
    </row>
    <row r="285" spans="1:7" x14ac:dyDescent="0.25">
      <c r="A285" s="12">
        <v>300</v>
      </c>
      <c r="B285" s="12">
        <v>325</v>
      </c>
      <c r="C285" s="11">
        <v>14</v>
      </c>
      <c r="D285" s="12">
        <v>219</v>
      </c>
      <c r="E285" s="11">
        <v>10</v>
      </c>
      <c r="F285" s="12">
        <v>180</v>
      </c>
      <c r="G285" s="11">
        <v>20</v>
      </c>
    </row>
    <row r="286" spans="1:7" x14ac:dyDescent="0.25">
      <c r="A286" s="12">
        <v>300</v>
      </c>
      <c r="B286" s="12">
        <v>325</v>
      </c>
      <c r="C286" s="11">
        <v>16</v>
      </c>
      <c r="D286" s="12">
        <v>219</v>
      </c>
      <c r="E286" s="11">
        <v>12</v>
      </c>
      <c r="F286" s="12">
        <v>180</v>
      </c>
      <c r="G286" s="11">
        <v>22</v>
      </c>
    </row>
    <row r="287" spans="1:7" x14ac:dyDescent="0.25">
      <c r="A287" s="12">
        <v>300</v>
      </c>
      <c r="B287" s="12">
        <v>325</v>
      </c>
      <c r="C287" s="11">
        <v>18</v>
      </c>
      <c r="D287" s="12">
        <v>219</v>
      </c>
      <c r="E287" s="11">
        <v>14</v>
      </c>
      <c r="F287" s="12">
        <v>180</v>
      </c>
      <c r="G287" s="11">
        <v>25</v>
      </c>
    </row>
    <row r="288" spans="1:7" x14ac:dyDescent="0.25">
      <c r="A288" s="12">
        <v>300</v>
      </c>
      <c r="B288" s="11">
        <v>325</v>
      </c>
      <c r="C288" s="11">
        <v>22</v>
      </c>
      <c r="D288" s="12">
        <v>219</v>
      </c>
      <c r="E288" s="11">
        <v>16</v>
      </c>
      <c r="F288" s="11">
        <v>180</v>
      </c>
      <c r="G288" s="11">
        <v>31</v>
      </c>
    </row>
    <row r="289" spans="1:7" x14ac:dyDescent="0.25">
      <c r="A289" s="12">
        <v>300</v>
      </c>
      <c r="B289" s="12">
        <v>325</v>
      </c>
      <c r="C289" s="11">
        <v>8</v>
      </c>
      <c r="D289" s="11">
        <v>273</v>
      </c>
      <c r="E289" s="11">
        <v>7</v>
      </c>
      <c r="F289" s="12">
        <v>180</v>
      </c>
      <c r="G289" s="11">
        <v>11</v>
      </c>
    </row>
    <row r="290" spans="1:7" x14ac:dyDescent="0.25">
      <c r="A290" s="12">
        <v>300</v>
      </c>
      <c r="B290" s="12">
        <v>325</v>
      </c>
      <c r="C290" s="11">
        <v>10</v>
      </c>
      <c r="D290" s="12">
        <v>273</v>
      </c>
      <c r="E290" s="11">
        <v>10</v>
      </c>
      <c r="F290" s="12">
        <v>180</v>
      </c>
      <c r="G290" s="11">
        <v>14</v>
      </c>
    </row>
    <row r="291" spans="1:7" x14ac:dyDescent="0.25">
      <c r="A291" s="12">
        <v>300</v>
      </c>
      <c r="B291" s="12">
        <v>325</v>
      </c>
      <c r="C291" s="11">
        <v>12</v>
      </c>
      <c r="D291" s="12">
        <v>273</v>
      </c>
      <c r="E291" s="11">
        <v>12</v>
      </c>
      <c r="F291" s="12">
        <v>180</v>
      </c>
      <c r="G291" s="11">
        <v>17</v>
      </c>
    </row>
    <row r="292" spans="1:7" x14ac:dyDescent="0.25">
      <c r="A292" s="12">
        <v>300</v>
      </c>
      <c r="B292" s="12">
        <v>325</v>
      </c>
      <c r="C292" s="11">
        <v>14</v>
      </c>
      <c r="D292" s="12">
        <v>273</v>
      </c>
      <c r="E292" s="11">
        <v>12</v>
      </c>
      <c r="F292" s="12">
        <v>180</v>
      </c>
      <c r="G292" s="11">
        <v>20</v>
      </c>
    </row>
    <row r="293" spans="1:7" x14ac:dyDescent="0.25">
      <c r="A293" s="12">
        <v>300</v>
      </c>
      <c r="B293" s="12">
        <v>325</v>
      </c>
      <c r="C293" s="11">
        <v>16</v>
      </c>
      <c r="D293" s="12">
        <v>273</v>
      </c>
      <c r="E293" s="11">
        <v>14</v>
      </c>
      <c r="F293" s="12">
        <v>180</v>
      </c>
      <c r="G293" s="11">
        <v>22</v>
      </c>
    </row>
    <row r="294" spans="1:7" x14ac:dyDescent="0.25">
      <c r="A294" s="12">
        <v>300</v>
      </c>
      <c r="B294" s="12">
        <v>325</v>
      </c>
      <c r="C294" s="11">
        <v>18</v>
      </c>
      <c r="D294" s="12">
        <v>273</v>
      </c>
      <c r="E294" s="11">
        <v>16</v>
      </c>
      <c r="F294" s="12">
        <v>180</v>
      </c>
      <c r="G294" s="11">
        <v>25</v>
      </c>
    </row>
    <row r="295" spans="1:7" x14ac:dyDescent="0.25">
      <c r="A295" s="12">
        <v>300</v>
      </c>
      <c r="B295" s="12">
        <v>325</v>
      </c>
      <c r="C295" s="11">
        <v>22</v>
      </c>
      <c r="D295" s="12">
        <v>273</v>
      </c>
      <c r="E295" s="11">
        <v>18</v>
      </c>
      <c r="F295" s="12">
        <v>180</v>
      </c>
      <c r="G295" s="11">
        <v>31</v>
      </c>
    </row>
    <row r="296" spans="1:7" x14ac:dyDescent="0.25">
      <c r="A296" s="11">
        <v>350</v>
      </c>
      <c r="B296" s="11">
        <v>377</v>
      </c>
      <c r="C296" s="11">
        <v>12</v>
      </c>
      <c r="D296" s="11">
        <v>159</v>
      </c>
      <c r="E296" s="11">
        <v>6</v>
      </c>
      <c r="F296" s="11">
        <v>220</v>
      </c>
      <c r="G296" s="11">
        <v>22</v>
      </c>
    </row>
    <row r="297" spans="1:7" x14ac:dyDescent="0.25">
      <c r="A297" s="12">
        <v>350</v>
      </c>
      <c r="B297" s="12">
        <v>377</v>
      </c>
      <c r="C297" s="11">
        <v>16</v>
      </c>
      <c r="D297" s="12">
        <v>159</v>
      </c>
      <c r="E297" s="11">
        <v>8</v>
      </c>
      <c r="F297" s="12">
        <v>220</v>
      </c>
      <c r="G297" s="11">
        <v>29</v>
      </c>
    </row>
    <row r="298" spans="1:7" x14ac:dyDescent="0.25">
      <c r="A298" s="12">
        <v>350</v>
      </c>
      <c r="B298" s="12">
        <v>377</v>
      </c>
      <c r="C298" s="11">
        <v>20</v>
      </c>
      <c r="D298" s="12">
        <v>159</v>
      </c>
      <c r="E298" s="11">
        <v>10</v>
      </c>
      <c r="F298" s="12">
        <v>220</v>
      </c>
      <c r="G298" s="11">
        <v>35</v>
      </c>
    </row>
    <row r="299" spans="1:7" x14ac:dyDescent="0.25">
      <c r="A299" s="12">
        <v>350</v>
      </c>
      <c r="B299" s="12">
        <v>377</v>
      </c>
      <c r="C299" s="11">
        <v>24</v>
      </c>
      <c r="D299" s="12">
        <v>159</v>
      </c>
      <c r="E299" s="11">
        <v>12</v>
      </c>
      <c r="F299" s="12">
        <v>220</v>
      </c>
      <c r="G299" s="11">
        <v>42</v>
      </c>
    </row>
    <row r="300" spans="1:7" x14ac:dyDescent="0.25">
      <c r="A300" s="12">
        <v>350</v>
      </c>
      <c r="B300" s="12">
        <v>377</v>
      </c>
      <c r="C300" s="11">
        <v>26</v>
      </c>
      <c r="D300" s="12">
        <v>159</v>
      </c>
      <c r="E300" s="11">
        <v>12</v>
      </c>
      <c r="F300" s="12">
        <v>220</v>
      </c>
      <c r="G300" s="11">
        <v>45</v>
      </c>
    </row>
    <row r="301" spans="1:7" x14ac:dyDescent="0.25">
      <c r="A301" s="12">
        <v>350</v>
      </c>
      <c r="B301" s="12">
        <v>377</v>
      </c>
      <c r="C301" s="11">
        <v>12</v>
      </c>
      <c r="D301" s="11">
        <v>168</v>
      </c>
      <c r="E301" s="11">
        <v>6</v>
      </c>
      <c r="F301" s="12">
        <v>220</v>
      </c>
      <c r="G301" s="11">
        <v>22</v>
      </c>
    </row>
    <row r="302" spans="1:7" x14ac:dyDescent="0.25">
      <c r="A302" s="12">
        <v>350</v>
      </c>
      <c r="B302" s="12">
        <v>377</v>
      </c>
      <c r="C302" s="11">
        <v>16</v>
      </c>
      <c r="D302" s="12">
        <v>168</v>
      </c>
      <c r="E302" s="11">
        <v>8</v>
      </c>
      <c r="F302" s="12">
        <v>220</v>
      </c>
      <c r="G302" s="11">
        <v>29</v>
      </c>
    </row>
    <row r="303" spans="1:7" x14ac:dyDescent="0.25">
      <c r="A303" s="12">
        <v>350</v>
      </c>
      <c r="B303" s="12">
        <v>377</v>
      </c>
      <c r="C303" s="11">
        <v>20</v>
      </c>
      <c r="D303" s="12">
        <v>168</v>
      </c>
      <c r="E303" s="11">
        <v>10</v>
      </c>
      <c r="F303" s="12">
        <v>220</v>
      </c>
      <c r="G303" s="11">
        <v>35</v>
      </c>
    </row>
    <row r="304" spans="1:7" x14ac:dyDescent="0.25">
      <c r="A304" s="12">
        <v>350</v>
      </c>
      <c r="B304" s="12">
        <v>377</v>
      </c>
      <c r="C304" s="11">
        <v>24</v>
      </c>
      <c r="D304" s="12">
        <v>168</v>
      </c>
      <c r="E304" s="11">
        <v>12</v>
      </c>
      <c r="F304" s="12">
        <v>220</v>
      </c>
      <c r="G304" s="11">
        <v>42</v>
      </c>
    </row>
    <row r="305" spans="1:7" x14ac:dyDescent="0.25">
      <c r="A305" s="12">
        <v>350</v>
      </c>
      <c r="B305" s="12">
        <v>377</v>
      </c>
      <c r="C305" s="11">
        <v>26</v>
      </c>
      <c r="D305" s="12">
        <v>168</v>
      </c>
      <c r="E305" s="11">
        <v>12</v>
      </c>
      <c r="F305" s="12">
        <v>220</v>
      </c>
      <c r="G305" s="11">
        <v>45</v>
      </c>
    </row>
    <row r="306" spans="1:7" x14ac:dyDescent="0.25">
      <c r="A306" s="12">
        <v>350</v>
      </c>
      <c r="B306" s="12">
        <v>377</v>
      </c>
      <c r="C306" s="11">
        <v>12</v>
      </c>
      <c r="D306" s="11">
        <v>219</v>
      </c>
      <c r="E306" s="11">
        <v>8</v>
      </c>
      <c r="F306" s="12">
        <v>220</v>
      </c>
      <c r="G306" s="11">
        <v>22</v>
      </c>
    </row>
    <row r="307" spans="1:7" x14ac:dyDescent="0.25">
      <c r="A307" s="12">
        <v>350</v>
      </c>
      <c r="B307" s="12">
        <v>377</v>
      </c>
      <c r="C307" s="11">
        <v>16</v>
      </c>
      <c r="D307" s="12">
        <v>219</v>
      </c>
      <c r="E307" s="11">
        <v>10</v>
      </c>
      <c r="F307" s="12">
        <v>220</v>
      </c>
      <c r="G307" s="11">
        <v>29</v>
      </c>
    </row>
    <row r="308" spans="1:7" x14ac:dyDescent="0.25">
      <c r="A308" s="12">
        <v>350</v>
      </c>
      <c r="B308" s="12">
        <v>377</v>
      </c>
      <c r="C308" s="11">
        <v>20</v>
      </c>
      <c r="D308" s="12">
        <v>219</v>
      </c>
      <c r="E308" s="11">
        <v>12</v>
      </c>
      <c r="F308" s="12">
        <v>220</v>
      </c>
      <c r="G308" s="11">
        <v>35</v>
      </c>
    </row>
    <row r="309" spans="1:7" x14ac:dyDescent="0.25">
      <c r="A309" s="12">
        <v>350</v>
      </c>
      <c r="B309" s="12">
        <v>377</v>
      </c>
      <c r="C309" s="11">
        <v>24</v>
      </c>
      <c r="D309" s="12">
        <v>219</v>
      </c>
      <c r="E309" s="11">
        <v>14</v>
      </c>
      <c r="F309" s="12">
        <v>220</v>
      </c>
      <c r="G309" s="11">
        <v>42</v>
      </c>
    </row>
    <row r="310" spans="1:7" x14ac:dyDescent="0.25">
      <c r="A310" s="12">
        <v>350</v>
      </c>
      <c r="B310" s="12">
        <v>377</v>
      </c>
      <c r="C310" s="11">
        <v>26</v>
      </c>
      <c r="D310" s="12">
        <v>219</v>
      </c>
      <c r="E310" s="11">
        <v>16</v>
      </c>
      <c r="F310" s="12">
        <v>220</v>
      </c>
      <c r="G310" s="11">
        <v>45</v>
      </c>
    </row>
    <row r="311" spans="1:7" x14ac:dyDescent="0.25">
      <c r="A311" s="12">
        <v>350</v>
      </c>
      <c r="B311" s="12">
        <v>377</v>
      </c>
      <c r="C311" s="11">
        <v>10</v>
      </c>
      <c r="D311" s="11">
        <v>273</v>
      </c>
      <c r="E311" s="11">
        <v>7</v>
      </c>
      <c r="F311" s="12">
        <v>220</v>
      </c>
      <c r="G311" s="11">
        <v>20</v>
      </c>
    </row>
    <row r="312" spans="1:7" x14ac:dyDescent="0.25">
      <c r="A312" s="12">
        <v>350</v>
      </c>
      <c r="B312" s="12">
        <v>377</v>
      </c>
      <c r="C312" s="11">
        <v>12</v>
      </c>
      <c r="D312" s="12">
        <v>273</v>
      </c>
      <c r="E312" s="11">
        <v>10</v>
      </c>
      <c r="F312" s="12">
        <v>220</v>
      </c>
      <c r="G312" s="11">
        <v>24</v>
      </c>
    </row>
    <row r="313" spans="1:7" x14ac:dyDescent="0.25">
      <c r="A313" s="12">
        <v>350</v>
      </c>
      <c r="B313" s="12">
        <v>377</v>
      </c>
      <c r="C313" s="11">
        <v>14</v>
      </c>
      <c r="D313" s="12">
        <v>273</v>
      </c>
      <c r="E313" s="11">
        <v>12</v>
      </c>
      <c r="F313" s="12">
        <v>220</v>
      </c>
      <c r="G313" s="11">
        <v>28</v>
      </c>
    </row>
    <row r="314" spans="1:7" x14ac:dyDescent="0.25">
      <c r="A314" s="12">
        <v>350</v>
      </c>
      <c r="B314" s="12">
        <v>377</v>
      </c>
      <c r="C314" s="11">
        <v>16</v>
      </c>
      <c r="D314" s="12">
        <v>273</v>
      </c>
      <c r="E314" s="11">
        <v>12</v>
      </c>
      <c r="F314" s="12">
        <v>220</v>
      </c>
      <c r="G314" s="11">
        <v>31</v>
      </c>
    </row>
    <row r="315" spans="1:7" x14ac:dyDescent="0.25">
      <c r="A315" s="12">
        <v>350</v>
      </c>
      <c r="B315" s="12">
        <v>377</v>
      </c>
      <c r="C315" s="11">
        <v>20</v>
      </c>
      <c r="D315" s="12">
        <v>273</v>
      </c>
      <c r="E315" s="11">
        <v>16</v>
      </c>
      <c r="F315" s="12">
        <v>220</v>
      </c>
      <c r="G315" s="11">
        <v>38</v>
      </c>
    </row>
    <row r="316" spans="1:7" x14ac:dyDescent="0.25">
      <c r="A316" s="12">
        <v>350</v>
      </c>
      <c r="B316" s="12">
        <v>377</v>
      </c>
      <c r="C316" s="11">
        <v>24</v>
      </c>
      <c r="D316" s="12">
        <v>273</v>
      </c>
      <c r="E316" s="11">
        <v>18</v>
      </c>
      <c r="F316" s="12">
        <v>220</v>
      </c>
      <c r="G316" s="11">
        <v>45</v>
      </c>
    </row>
    <row r="317" spans="1:7" x14ac:dyDescent="0.25">
      <c r="A317" s="12">
        <v>350</v>
      </c>
      <c r="B317" s="12">
        <v>377</v>
      </c>
      <c r="C317" s="11">
        <v>26</v>
      </c>
      <c r="D317" s="12">
        <v>273</v>
      </c>
      <c r="E317" s="11">
        <v>18</v>
      </c>
      <c r="F317" s="12">
        <v>220</v>
      </c>
      <c r="G317" s="11">
        <v>49</v>
      </c>
    </row>
    <row r="318" spans="1:7" x14ac:dyDescent="0.25">
      <c r="A318" s="12">
        <v>350</v>
      </c>
      <c r="B318" s="12">
        <v>377</v>
      </c>
      <c r="C318" s="11">
        <v>10</v>
      </c>
      <c r="D318" s="11">
        <v>325</v>
      </c>
      <c r="E318" s="11">
        <v>8</v>
      </c>
      <c r="F318" s="12">
        <v>220</v>
      </c>
      <c r="G318" s="11">
        <v>20</v>
      </c>
    </row>
    <row r="319" spans="1:7" x14ac:dyDescent="0.25">
      <c r="A319" s="12">
        <v>350</v>
      </c>
      <c r="B319" s="12">
        <v>377</v>
      </c>
      <c r="C319" s="11">
        <v>12</v>
      </c>
      <c r="D319" s="12">
        <v>325</v>
      </c>
      <c r="E319" s="11">
        <v>10</v>
      </c>
      <c r="F319" s="12">
        <v>220</v>
      </c>
      <c r="G319" s="11">
        <v>24</v>
      </c>
    </row>
    <row r="320" spans="1:7" x14ac:dyDescent="0.25">
      <c r="A320" s="12">
        <v>350</v>
      </c>
      <c r="B320" s="12">
        <v>377</v>
      </c>
      <c r="C320" s="11">
        <v>14</v>
      </c>
      <c r="D320" s="12">
        <v>325</v>
      </c>
      <c r="E320" s="11">
        <v>12</v>
      </c>
      <c r="F320" s="12">
        <v>220</v>
      </c>
      <c r="G320" s="11">
        <v>28</v>
      </c>
    </row>
    <row r="321" spans="1:7" x14ac:dyDescent="0.25">
      <c r="A321" s="12">
        <v>350</v>
      </c>
      <c r="B321" s="12">
        <v>377</v>
      </c>
      <c r="C321" s="11">
        <v>16</v>
      </c>
      <c r="D321" s="12">
        <v>325</v>
      </c>
      <c r="E321" s="11">
        <v>16</v>
      </c>
      <c r="F321" s="12">
        <v>220</v>
      </c>
      <c r="G321" s="11">
        <v>31</v>
      </c>
    </row>
    <row r="322" spans="1:7" x14ac:dyDescent="0.25">
      <c r="A322" s="12">
        <v>350</v>
      </c>
      <c r="B322" s="12">
        <v>377</v>
      </c>
      <c r="C322" s="11">
        <v>20</v>
      </c>
      <c r="D322" s="12">
        <v>325</v>
      </c>
      <c r="E322" s="11">
        <v>18</v>
      </c>
      <c r="F322" s="12">
        <v>220</v>
      </c>
      <c r="G322" s="11">
        <v>38</v>
      </c>
    </row>
    <row r="323" spans="1:7" x14ac:dyDescent="0.25">
      <c r="A323" s="12">
        <v>350</v>
      </c>
      <c r="B323" s="12">
        <v>377</v>
      </c>
      <c r="C323" s="11">
        <v>24</v>
      </c>
      <c r="D323" s="12">
        <v>325</v>
      </c>
      <c r="E323" s="11">
        <v>22</v>
      </c>
      <c r="F323" s="12">
        <v>220</v>
      </c>
      <c r="G323" s="11">
        <v>45</v>
      </c>
    </row>
    <row r="324" spans="1:7" x14ac:dyDescent="0.25">
      <c r="A324" s="12">
        <v>350</v>
      </c>
      <c r="B324" s="12">
        <v>377</v>
      </c>
      <c r="C324" s="11">
        <v>26</v>
      </c>
      <c r="D324" s="12">
        <v>325</v>
      </c>
      <c r="E324" s="11">
        <v>22</v>
      </c>
      <c r="F324" s="12">
        <v>220</v>
      </c>
      <c r="G324" s="11">
        <v>49</v>
      </c>
    </row>
    <row r="325" spans="1:7" x14ac:dyDescent="0.25">
      <c r="A325" s="11">
        <v>400</v>
      </c>
      <c r="B325" s="11">
        <v>426</v>
      </c>
      <c r="C325" s="11">
        <v>12</v>
      </c>
      <c r="D325" s="11">
        <v>159</v>
      </c>
      <c r="E325" s="11">
        <v>8</v>
      </c>
      <c r="F325" s="12">
        <v>220</v>
      </c>
      <c r="G325" s="11">
        <v>37</v>
      </c>
    </row>
    <row r="326" spans="1:7" x14ac:dyDescent="0.25">
      <c r="A326" s="12">
        <v>400</v>
      </c>
      <c r="B326" s="12">
        <v>426</v>
      </c>
      <c r="C326" s="11">
        <v>16</v>
      </c>
      <c r="D326" s="12">
        <v>159</v>
      </c>
      <c r="E326" s="11">
        <v>10</v>
      </c>
      <c r="F326" s="12">
        <v>220</v>
      </c>
      <c r="G326" s="11">
        <v>53</v>
      </c>
    </row>
    <row r="327" spans="1:7" x14ac:dyDescent="0.25">
      <c r="A327" s="12">
        <v>400</v>
      </c>
      <c r="B327" s="12">
        <v>426</v>
      </c>
      <c r="C327" s="11">
        <v>20</v>
      </c>
      <c r="D327" s="12">
        <v>159</v>
      </c>
      <c r="E327" s="11">
        <v>10</v>
      </c>
      <c r="F327" s="12">
        <v>220</v>
      </c>
      <c r="G327" s="11">
        <v>65</v>
      </c>
    </row>
    <row r="328" spans="1:7" x14ac:dyDescent="0.25">
      <c r="A328" s="12">
        <v>400</v>
      </c>
      <c r="B328" s="12">
        <v>426</v>
      </c>
      <c r="C328" s="11">
        <v>22</v>
      </c>
      <c r="D328" s="12">
        <v>159</v>
      </c>
      <c r="E328" s="11">
        <v>10</v>
      </c>
      <c r="F328" s="12">
        <v>220</v>
      </c>
      <c r="G328" s="11">
        <v>71</v>
      </c>
    </row>
    <row r="329" spans="1:7" x14ac:dyDescent="0.25">
      <c r="A329" s="12">
        <v>400</v>
      </c>
      <c r="B329" s="12">
        <v>426</v>
      </c>
      <c r="C329" s="11">
        <v>26</v>
      </c>
      <c r="D329" s="12">
        <v>159</v>
      </c>
      <c r="E329" s="11">
        <v>12</v>
      </c>
      <c r="F329" s="12">
        <v>220</v>
      </c>
      <c r="G329" s="11">
        <v>83</v>
      </c>
    </row>
    <row r="330" spans="1:7" x14ac:dyDescent="0.25">
      <c r="A330" s="12">
        <v>400</v>
      </c>
      <c r="B330" s="12">
        <v>426</v>
      </c>
      <c r="C330" s="11">
        <v>28</v>
      </c>
      <c r="D330" s="12">
        <v>159</v>
      </c>
      <c r="E330" s="11">
        <v>12</v>
      </c>
      <c r="F330" s="12">
        <v>220</v>
      </c>
      <c r="G330" s="11">
        <v>89</v>
      </c>
    </row>
    <row r="331" spans="1:7" x14ac:dyDescent="0.25">
      <c r="A331" s="12">
        <v>400</v>
      </c>
      <c r="B331" s="12">
        <v>426</v>
      </c>
      <c r="C331" s="11">
        <v>12</v>
      </c>
      <c r="D331" s="11">
        <v>168</v>
      </c>
      <c r="E331" s="11">
        <v>8</v>
      </c>
      <c r="F331" s="12">
        <v>220</v>
      </c>
      <c r="G331" s="11">
        <v>37</v>
      </c>
    </row>
    <row r="332" spans="1:7" x14ac:dyDescent="0.25">
      <c r="A332" s="12">
        <v>400</v>
      </c>
      <c r="B332" s="12">
        <v>426</v>
      </c>
      <c r="C332" s="11">
        <v>16</v>
      </c>
      <c r="D332" s="12">
        <v>168</v>
      </c>
      <c r="E332" s="11">
        <v>10</v>
      </c>
      <c r="F332" s="12">
        <v>220</v>
      </c>
      <c r="G332" s="11">
        <v>53</v>
      </c>
    </row>
    <row r="333" spans="1:7" x14ac:dyDescent="0.25">
      <c r="A333" s="12">
        <v>400</v>
      </c>
      <c r="B333" s="12">
        <v>426</v>
      </c>
      <c r="C333" s="11">
        <v>20</v>
      </c>
      <c r="D333" s="12">
        <v>168</v>
      </c>
      <c r="E333" s="11">
        <v>10</v>
      </c>
      <c r="F333" s="12">
        <v>220</v>
      </c>
      <c r="G333" s="11">
        <v>65</v>
      </c>
    </row>
    <row r="334" spans="1:7" x14ac:dyDescent="0.25">
      <c r="A334" s="12">
        <v>400</v>
      </c>
      <c r="B334" s="12">
        <v>426</v>
      </c>
      <c r="C334" s="11">
        <v>22</v>
      </c>
      <c r="D334" s="12">
        <v>168</v>
      </c>
      <c r="E334" s="11">
        <v>10</v>
      </c>
      <c r="F334" s="12">
        <v>220</v>
      </c>
      <c r="G334" s="11">
        <v>71</v>
      </c>
    </row>
    <row r="335" spans="1:7" x14ac:dyDescent="0.25">
      <c r="A335" s="12">
        <v>400</v>
      </c>
      <c r="B335" s="12">
        <v>426</v>
      </c>
      <c r="C335" s="11">
        <v>26</v>
      </c>
      <c r="D335" s="12">
        <v>168</v>
      </c>
      <c r="E335" s="11">
        <v>12</v>
      </c>
      <c r="F335" s="12">
        <v>220</v>
      </c>
      <c r="G335" s="11">
        <v>83</v>
      </c>
    </row>
    <row r="336" spans="1:7" x14ac:dyDescent="0.25">
      <c r="A336" s="12">
        <v>400</v>
      </c>
      <c r="B336" s="12">
        <v>426</v>
      </c>
      <c r="C336" s="11">
        <v>28</v>
      </c>
      <c r="D336" s="12">
        <v>168</v>
      </c>
      <c r="E336" s="11">
        <v>12</v>
      </c>
      <c r="F336" s="12">
        <v>220</v>
      </c>
      <c r="G336" s="11">
        <v>89</v>
      </c>
    </row>
    <row r="337" spans="1:7" x14ac:dyDescent="0.25">
      <c r="A337" s="12">
        <v>400</v>
      </c>
      <c r="B337" s="12">
        <v>426</v>
      </c>
      <c r="C337" s="11">
        <v>12</v>
      </c>
      <c r="D337" s="11">
        <v>219</v>
      </c>
      <c r="E337" s="11">
        <v>8</v>
      </c>
      <c r="F337" s="12">
        <v>220</v>
      </c>
      <c r="G337" s="11">
        <v>32</v>
      </c>
    </row>
    <row r="338" spans="1:7" x14ac:dyDescent="0.25">
      <c r="A338" s="12">
        <v>400</v>
      </c>
      <c r="B338" s="12">
        <v>426</v>
      </c>
      <c r="C338" s="11">
        <v>16</v>
      </c>
      <c r="D338" s="12">
        <v>219</v>
      </c>
      <c r="E338" s="11">
        <v>10</v>
      </c>
      <c r="F338" s="12">
        <v>220</v>
      </c>
      <c r="G338" s="11">
        <v>45</v>
      </c>
    </row>
    <row r="339" spans="1:7" x14ac:dyDescent="0.25">
      <c r="A339" s="12">
        <v>400</v>
      </c>
      <c r="B339" s="12">
        <v>426</v>
      </c>
      <c r="C339" s="11">
        <v>20</v>
      </c>
      <c r="D339" s="12">
        <v>219</v>
      </c>
      <c r="E339" s="11">
        <v>12</v>
      </c>
      <c r="F339" s="12">
        <v>220</v>
      </c>
      <c r="G339" s="11">
        <v>56</v>
      </c>
    </row>
    <row r="340" spans="1:7" x14ac:dyDescent="0.25">
      <c r="A340" s="12">
        <v>400</v>
      </c>
      <c r="B340" s="12">
        <v>426</v>
      </c>
      <c r="C340" s="11">
        <v>22</v>
      </c>
      <c r="D340" s="12">
        <v>219</v>
      </c>
      <c r="E340" s="11">
        <v>12</v>
      </c>
      <c r="F340" s="12">
        <v>220</v>
      </c>
      <c r="G340" s="11">
        <v>61</v>
      </c>
    </row>
    <row r="341" spans="1:7" x14ac:dyDescent="0.25">
      <c r="A341" s="12">
        <v>400</v>
      </c>
      <c r="B341" s="12">
        <v>426</v>
      </c>
      <c r="C341" s="11">
        <v>26</v>
      </c>
      <c r="D341" s="12">
        <v>219</v>
      </c>
      <c r="E341" s="11">
        <v>14</v>
      </c>
      <c r="F341" s="12">
        <v>220</v>
      </c>
      <c r="G341" s="11">
        <v>72</v>
      </c>
    </row>
    <row r="342" spans="1:7" x14ac:dyDescent="0.25">
      <c r="A342" s="12">
        <v>400</v>
      </c>
      <c r="B342" s="12">
        <v>426</v>
      </c>
      <c r="C342" s="11">
        <v>28</v>
      </c>
      <c r="D342" s="12">
        <v>219</v>
      </c>
      <c r="E342" s="11">
        <v>16</v>
      </c>
      <c r="F342" s="12">
        <v>220</v>
      </c>
      <c r="G342" s="11">
        <v>76</v>
      </c>
    </row>
    <row r="343" spans="1:7" x14ac:dyDescent="0.25">
      <c r="A343" s="12">
        <v>400</v>
      </c>
      <c r="B343" s="12">
        <v>426</v>
      </c>
      <c r="C343" s="11">
        <v>12</v>
      </c>
      <c r="D343" s="11">
        <v>273</v>
      </c>
      <c r="E343" s="11">
        <v>10</v>
      </c>
      <c r="F343" s="12">
        <v>220</v>
      </c>
      <c r="G343" s="11">
        <v>27</v>
      </c>
    </row>
    <row r="344" spans="1:7" x14ac:dyDescent="0.25">
      <c r="A344" s="12">
        <v>400</v>
      </c>
      <c r="B344" s="12">
        <v>426</v>
      </c>
      <c r="C344" s="11">
        <v>16</v>
      </c>
      <c r="D344" s="12">
        <v>273</v>
      </c>
      <c r="E344" s="11">
        <v>12</v>
      </c>
      <c r="F344" s="12">
        <v>220</v>
      </c>
      <c r="G344" s="11">
        <v>36</v>
      </c>
    </row>
    <row r="345" spans="1:7" x14ac:dyDescent="0.25">
      <c r="A345" s="12">
        <v>400</v>
      </c>
      <c r="B345" s="12">
        <v>426</v>
      </c>
      <c r="C345" s="11">
        <v>20</v>
      </c>
      <c r="D345" s="12">
        <v>273</v>
      </c>
      <c r="E345" s="11">
        <v>14</v>
      </c>
      <c r="F345" s="12">
        <v>220</v>
      </c>
      <c r="G345" s="11">
        <v>44</v>
      </c>
    </row>
    <row r="346" spans="1:7" x14ac:dyDescent="0.25">
      <c r="A346" s="12">
        <v>400</v>
      </c>
      <c r="B346" s="12">
        <v>426</v>
      </c>
      <c r="C346" s="11">
        <v>22</v>
      </c>
      <c r="D346" s="12">
        <v>273</v>
      </c>
      <c r="E346" s="11">
        <v>14</v>
      </c>
      <c r="F346" s="12">
        <v>220</v>
      </c>
      <c r="G346" s="11">
        <v>48</v>
      </c>
    </row>
    <row r="347" spans="1:7" x14ac:dyDescent="0.25">
      <c r="A347" s="12">
        <v>400</v>
      </c>
      <c r="B347" s="12">
        <v>426</v>
      </c>
      <c r="C347" s="11">
        <v>26</v>
      </c>
      <c r="D347" s="12">
        <v>273</v>
      </c>
      <c r="E347" s="11">
        <v>18</v>
      </c>
      <c r="F347" s="12">
        <v>220</v>
      </c>
      <c r="G347" s="11">
        <v>56</v>
      </c>
    </row>
    <row r="348" spans="1:7" x14ac:dyDescent="0.25">
      <c r="A348" s="12">
        <v>400</v>
      </c>
      <c r="B348" s="12">
        <v>426</v>
      </c>
      <c r="C348" s="11">
        <v>28</v>
      </c>
      <c r="D348" s="12">
        <v>273</v>
      </c>
      <c r="E348" s="11">
        <v>18</v>
      </c>
      <c r="F348" s="12">
        <v>220</v>
      </c>
      <c r="G348" s="11">
        <v>59</v>
      </c>
    </row>
    <row r="349" spans="1:7" x14ac:dyDescent="0.25">
      <c r="A349" s="12">
        <v>400</v>
      </c>
      <c r="B349" s="12">
        <v>426</v>
      </c>
      <c r="C349" s="11">
        <v>10</v>
      </c>
      <c r="D349" s="11">
        <v>325</v>
      </c>
      <c r="E349" s="11">
        <v>8</v>
      </c>
      <c r="F349" s="12">
        <v>220</v>
      </c>
      <c r="G349" s="11">
        <v>23</v>
      </c>
    </row>
    <row r="350" spans="1:7" x14ac:dyDescent="0.25">
      <c r="A350" s="12">
        <v>400</v>
      </c>
      <c r="B350" s="12">
        <v>426</v>
      </c>
      <c r="C350" s="11">
        <v>12</v>
      </c>
      <c r="D350" s="12">
        <v>325</v>
      </c>
      <c r="E350" s="11">
        <v>10</v>
      </c>
      <c r="F350" s="12">
        <v>220</v>
      </c>
      <c r="G350" s="11">
        <v>27</v>
      </c>
    </row>
    <row r="351" spans="1:7" x14ac:dyDescent="0.25">
      <c r="A351" s="12">
        <v>400</v>
      </c>
      <c r="B351" s="12">
        <v>426</v>
      </c>
      <c r="C351" s="11">
        <v>14</v>
      </c>
      <c r="D351" s="12">
        <v>325</v>
      </c>
      <c r="E351" s="11">
        <v>12</v>
      </c>
      <c r="F351" s="12">
        <v>220</v>
      </c>
      <c r="G351" s="11">
        <v>31</v>
      </c>
    </row>
    <row r="352" spans="1:7" x14ac:dyDescent="0.25">
      <c r="A352" s="12">
        <v>400</v>
      </c>
      <c r="B352" s="12">
        <v>426</v>
      </c>
      <c r="C352" s="11">
        <v>16</v>
      </c>
      <c r="D352" s="12">
        <v>325</v>
      </c>
      <c r="E352" s="11">
        <v>12</v>
      </c>
      <c r="F352" s="12">
        <v>220</v>
      </c>
      <c r="G352" s="11">
        <v>36</v>
      </c>
    </row>
    <row r="353" spans="1:7" x14ac:dyDescent="0.25">
      <c r="A353" s="12">
        <v>400</v>
      </c>
      <c r="B353" s="12">
        <v>426</v>
      </c>
      <c r="C353" s="11">
        <v>20</v>
      </c>
      <c r="D353" s="12">
        <v>325</v>
      </c>
      <c r="E353" s="11">
        <v>16</v>
      </c>
      <c r="F353" s="12">
        <v>220</v>
      </c>
      <c r="G353" s="11">
        <v>44</v>
      </c>
    </row>
    <row r="354" spans="1:7" x14ac:dyDescent="0.25">
      <c r="A354" s="12">
        <v>400</v>
      </c>
      <c r="B354" s="12">
        <v>426</v>
      </c>
      <c r="C354" s="11">
        <v>22</v>
      </c>
      <c r="D354" s="12">
        <v>325</v>
      </c>
      <c r="E354" s="11">
        <v>18</v>
      </c>
      <c r="F354" s="12">
        <v>220</v>
      </c>
      <c r="G354" s="11">
        <v>48</v>
      </c>
    </row>
    <row r="355" spans="1:7" x14ac:dyDescent="0.25">
      <c r="A355" s="12">
        <v>400</v>
      </c>
      <c r="B355" s="12">
        <v>426</v>
      </c>
      <c r="C355" s="11">
        <v>26</v>
      </c>
      <c r="D355" s="12">
        <v>325</v>
      </c>
      <c r="E355" s="11">
        <v>20</v>
      </c>
      <c r="F355" s="12">
        <v>220</v>
      </c>
      <c r="G355" s="11">
        <v>56</v>
      </c>
    </row>
    <row r="356" spans="1:7" x14ac:dyDescent="0.25">
      <c r="A356" s="12">
        <v>400</v>
      </c>
      <c r="B356" s="12">
        <v>426</v>
      </c>
      <c r="C356" s="11">
        <v>28</v>
      </c>
      <c r="D356" s="12">
        <v>325</v>
      </c>
      <c r="E356" s="11">
        <v>22</v>
      </c>
      <c r="F356" s="12">
        <v>220</v>
      </c>
      <c r="G356" s="11">
        <v>59</v>
      </c>
    </row>
    <row r="357" spans="1:7" x14ac:dyDescent="0.25">
      <c r="A357" s="12">
        <v>400</v>
      </c>
      <c r="B357" s="12">
        <v>426</v>
      </c>
      <c r="C357" s="11">
        <v>10</v>
      </c>
      <c r="D357" s="11">
        <v>377</v>
      </c>
      <c r="E357" s="11">
        <v>10</v>
      </c>
      <c r="F357" s="12">
        <v>220</v>
      </c>
      <c r="G357" s="11">
        <v>23</v>
      </c>
    </row>
    <row r="358" spans="1:7" x14ac:dyDescent="0.25">
      <c r="A358" s="12">
        <v>400</v>
      </c>
      <c r="B358" s="12">
        <v>426</v>
      </c>
      <c r="C358" s="11">
        <v>12</v>
      </c>
      <c r="D358" s="12">
        <v>377</v>
      </c>
      <c r="E358" s="11">
        <v>12</v>
      </c>
      <c r="F358" s="12">
        <v>220</v>
      </c>
      <c r="G358" s="11">
        <v>27</v>
      </c>
    </row>
    <row r="359" spans="1:7" x14ac:dyDescent="0.25">
      <c r="A359" s="12">
        <v>400</v>
      </c>
      <c r="B359" s="12">
        <v>426</v>
      </c>
      <c r="C359" s="11">
        <v>14</v>
      </c>
      <c r="D359" s="12">
        <v>377</v>
      </c>
      <c r="E359" s="11">
        <v>14</v>
      </c>
      <c r="F359" s="12">
        <v>220</v>
      </c>
      <c r="G359" s="11">
        <v>31</v>
      </c>
    </row>
    <row r="360" spans="1:7" x14ac:dyDescent="0.25">
      <c r="A360" s="12">
        <v>400</v>
      </c>
      <c r="B360" s="12">
        <v>426</v>
      </c>
      <c r="C360" s="11">
        <v>16</v>
      </c>
      <c r="D360" s="12">
        <v>377</v>
      </c>
      <c r="E360" s="11">
        <v>16</v>
      </c>
      <c r="F360" s="12">
        <v>220</v>
      </c>
      <c r="G360" s="11">
        <v>36</v>
      </c>
    </row>
    <row r="361" spans="1:7" x14ac:dyDescent="0.25">
      <c r="A361" s="12">
        <v>400</v>
      </c>
      <c r="B361" s="12">
        <v>426</v>
      </c>
      <c r="C361" s="11">
        <v>20</v>
      </c>
      <c r="D361" s="12">
        <v>377</v>
      </c>
      <c r="E361" s="11">
        <v>20</v>
      </c>
      <c r="F361" s="12">
        <v>220</v>
      </c>
      <c r="G361" s="11">
        <v>44</v>
      </c>
    </row>
    <row r="362" spans="1:7" x14ac:dyDescent="0.25">
      <c r="A362" s="12">
        <v>400</v>
      </c>
      <c r="B362" s="12">
        <v>426</v>
      </c>
      <c r="C362" s="11">
        <v>22</v>
      </c>
      <c r="D362" s="12">
        <v>377</v>
      </c>
      <c r="E362" s="11">
        <v>20</v>
      </c>
      <c r="F362" s="12">
        <v>220</v>
      </c>
      <c r="G362" s="11">
        <v>48</v>
      </c>
    </row>
    <row r="363" spans="1:7" x14ac:dyDescent="0.25">
      <c r="A363" s="12">
        <v>400</v>
      </c>
      <c r="B363" s="12">
        <v>426</v>
      </c>
      <c r="C363" s="11">
        <v>26</v>
      </c>
      <c r="D363" s="12">
        <v>377</v>
      </c>
      <c r="E363" s="11">
        <v>24</v>
      </c>
      <c r="F363" s="12">
        <v>220</v>
      </c>
      <c r="G363" s="11">
        <v>56</v>
      </c>
    </row>
    <row r="364" spans="1:7" x14ac:dyDescent="0.25">
      <c r="A364" s="12">
        <v>400</v>
      </c>
      <c r="B364" s="12">
        <v>426</v>
      </c>
      <c r="C364" s="11">
        <v>28</v>
      </c>
      <c r="D364" s="12">
        <v>377</v>
      </c>
      <c r="E364" s="11">
        <v>26</v>
      </c>
      <c r="F364" s="12">
        <v>220</v>
      </c>
      <c r="G364" s="11">
        <v>59</v>
      </c>
    </row>
    <row r="365" spans="1:7" x14ac:dyDescent="0.25">
      <c r="A365" s="11">
        <v>500</v>
      </c>
      <c r="B365" s="11">
        <v>530</v>
      </c>
      <c r="C365" s="11">
        <v>12</v>
      </c>
      <c r="D365" s="11">
        <v>377</v>
      </c>
      <c r="E365" s="11">
        <v>10</v>
      </c>
      <c r="F365" s="11">
        <v>300</v>
      </c>
      <c r="G365" s="11">
        <v>46</v>
      </c>
    </row>
    <row r="366" spans="1:7" x14ac:dyDescent="0.25">
      <c r="A366" s="12">
        <v>500</v>
      </c>
      <c r="B366" s="12">
        <v>530</v>
      </c>
      <c r="C366" s="11">
        <v>14</v>
      </c>
      <c r="D366" s="12">
        <v>377</v>
      </c>
      <c r="E366" s="11">
        <v>12</v>
      </c>
      <c r="F366" s="12">
        <v>300</v>
      </c>
      <c r="G366" s="11">
        <v>54</v>
      </c>
    </row>
    <row r="367" spans="1:7" x14ac:dyDescent="0.25">
      <c r="A367" s="12">
        <v>500</v>
      </c>
      <c r="B367" s="12">
        <v>530</v>
      </c>
      <c r="C367" s="11">
        <v>16</v>
      </c>
      <c r="D367" s="12">
        <v>377</v>
      </c>
      <c r="E367" s="11">
        <v>12</v>
      </c>
      <c r="F367" s="12">
        <v>300</v>
      </c>
      <c r="G367" s="11">
        <v>61</v>
      </c>
    </row>
    <row r="368" spans="1:7" x14ac:dyDescent="0.25">
      <c r="A368" s="12">
        <v>500</v>
      </c>
      <c r="B368" s="12">
        <v>530</v>
      </c>
      <c r="C368" s="11">
        <v>20</v>
      </c>
      <c r="D368" s="12">
        <v>377</v>
      </c>
      <c r="E368" s="11">
        <v>16</v>
      </c>
      <c r="F368" s="12">
        <v>300</v>
      </c>
      <c r="G368" s="11">
        <v>75</v>
      </c>
    </row>
    <row r="369" spans="1:7" x14ac:dyDescent="0.25">
      <c r="A369" s="12">
        <v>500</v>
      </c>
      <c r="B369" s="12">
        <v>530</v>
      </c>
      <c r="C369" s="11">
        <v>22</v>
      </c>
      <c r="D369" s="12">
        <v>377</v>
      </c>
      <c r="E369" s="11">
        <v>20</v>
      </c>
      <c r="F369" s="12">
        <v>300</v>
      </c>
      <c r="G369" s="11">
        <v>81</v>
      </c>
    </row>
    <row r="370" spans="1:7" x14ac:dyDescent="0.25">
      <c r="A370" s="12">
        <v>500</v>
      </c>
      <c r="B370" s="12">
        <v>530</v>
      </c>
      <c r="C370" s="11">
        <v>26</v>
      </c>
      <c r="D370" s="12">
        <v>377</v>
      </c>
      <c r="E370" s="11">
        <v>22</v>
      </c>
      <c r="F370" s="12">
        <v>300</v>
      </c>
      <c r="G370" s="11">
        <v>94</v>
      </c>
    </row>
    <row r="371" spans="1:7" x14ac:dyDescent="0.25">
      <c r="A371" s="12">
        <v>500</v>
      </c>
      <c r="B371" s="12">
        <v>530</v>
      </c>
      <c r="C371" s="11">
        <v>12</v>
      </c>
      <c r="D371" s="11">
        <v>426</v>
      </c>
      <c r="E371" s="11">
        <v>10</v>
      </c>
      <c r="F371" s="12">
        <v>300</v>
      </c>
      <c r="G371" s="11">
        <v>46</v>
      </c>
    </row>
    <row r="372" spans="1:7" x14ac:dyDescent="0.25">
      <c r="A372" s="12">
        <v>500</v>
      </c>
      <c r="B372" s="12">
        <v>530</v>
      </c>
      <c r="C372" s="11">
        <v>14</v>
      </c>
      <c r="D372" s="12">
        <v>426</v>
      </c>
      <c r="E372" s="11">
        <v>12</v>
      </c>
      <c r="F372" s="12">
        <v>300</v>
      </c>
      <c r="G372" s="11">
        <v>54</v>
      </c>
    </row>
    <row r="373" spans="1:7" x14ac:dyDescent="0.25">
      <c r="A373" s="12">
        <v>500</v>
      </c>
      <c r="B373" s="12">
        <v>530</v>
      </c>
      <c r="C373" s="11">
        <v>16</v>
      </c>
      <c r="D373" s="12">
        <v>426</v>
      </c>
      <c r="E373" s="11">
        <v>16</v>
      </c>
      <c r="F373" s="12">
        <v>300</v>
      </c>
      <c r="G373" s="11">
        <v>61</v>
      </c>
    </row>
    <row r="374" spans="1:7" x14ac:dyDescent="0.25">
      <c r="A374" s="12">
        <v>500</v>
      </c>
      <c r="B374" s="12">
        <v>530</v>
      </c>
      <c r="C374" s="11">
        <v>20</v>
      </c>
      <c r="D374" s="12">
        <v>426</v>
      </c>
      <c r="E374" s="11">
        <v>16</v>
      </c>
      <c r="F374" s="12">
        <v>300</v>
      </c>
      <c r="G374" s="11">
        <v>75</v>
      </c>
    </row>
    <row r="375" spans="1:7" x14ac:dyDescent="0.25">
      <c r="A375" s="12">
        <v>500</v>
      </c>
      <c r="B375" s="12">
        <v>530</v>
      </c>
      <c r="C375" s="11">
        <v>22</v>
      </c>
      <c r="D375" s="12">
        <v>426</v>
      </c>
      <c r="E375" s="11">
        <v>20</v>
      </c>
      <c r="F375" s="12">
        <v>300</v>
      </c>
      <c r="G375" s="11">
        <v>81</v>
      </c>
    </row>
    <row r="376" spans="1:7" x14ac:dyDescent="0.25">
      <c r="A376" s="12">
        <v>500</v>
      </c>
      <c r="B376" s="12">
        <v>530</v>
      </c>
      <c r="C376" s="11">
        <v>26</v>
      </c>
      <c r="D376" s="12">
        <v>426</v>
      </c>
      <c r="E376" s="11">
        <v>22</v>
      </c>
      <c r="F376" s="12">
        <v>300</v>
      </c>
      <c r="G376" s="11">
        <v>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AB7A-1AF7-4AAD-B3DF-1C10BDD15C4D}">
  <sheetPr codeName="Лист15"/>
  <dimension ref="A1:H101"/>
  <sheetViews>
    <sheetView workbookViewId="0">
      <selection activeCell="R47" sqref="R47"/>
    </sheetView>
  </sheetViews>
  <sheetFormatPr defaultRowHeight="15" x14ac:dyDescent="0.25"/>
  <sheetData>
    <row r="1" spans="1:8" ht="30" customHeight="1" x14ac:dyDescent="0.2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  <c r="H1" t="s">
        <v>2982</v>
      </c>
    </row>
    <row r="2" spans="1:8" x14ac:dyDescent="0.25">
      <c r="A2" t="s">
        <v>3075</v>
      </c>
      <c r="B2" t="s">
        <v>1512</v>
      </c>
      <c r="C2" t="s">
        <v>41</v>
      </c>
      <c r="D2" t="s">
        <v>800</v>
      </c>
      <c r="E2" t="s">
        <v>41</v>
      </c>
      <c r="F2">
        <v>615</v>
      </c>
      <c r="G2" t="s">
        <v>2988</v>
      </c>
      <c r="H2" t="s">
        <v>2399</v>
      </c>
    </row>
    <row r="3" spans="1:8" x14ac:dyDescent="0.25">
      <c r="A3" t="s">
        <v>3076</v>
      </c>
      <c r="B3" t="s">
        <v>1512</v>
      </c>
      <c r="C3" t="s">
        <v>41</v>
      </c>
      <c r="D3" t="s">
        <v>931</v>
      </c>
      <c r="E3" t="s">
        <v>41</v>
      </c>
      <c r="F3">
        <v>490</v>
      </c>
      <c r="G3" t="s">
        <v>2989</v>
      </c>
      <c r="H3" t="s">
        <v>2399</v>
      </c>
    </row>
    <row r="4" spans="1:8" x14ac:dyDescent="0.25">
      <c r="A4" t="s">
        <v>3077</v>
      </c>
      <c r="B4" t="s">
        <v>1512</v>
      </c>
      <c r="C4" t="s">
        <v>41</v>
      </c>
      <c r="D4" t="s">
        <v>1077</v>
      </c>
      <c r="E4" t="s">
        <v>45</v>
      </c>
      <c r="F4">
        <v>375</v>
      </c>
      <c r="G4" t="s">
        <v>2990</v>
      </c>
      <c r="H4" t="s">
        <v>2399</v>
      </c>
    </row>
    <row r="5" spans="1:8" x14ac:dyDescent="0.25">
      <c r="A5" t="s">
        <v>3078</v>
      </c>
      <c r="B5" t="s">
        <v>1512</v>
      </c>
      <c r="C5" t="s">
        <v>41</v>
      </c>
      <c r="D5" t="s">
        <v>1221</v>
      </c>
      <c r="E5" t="s">
        <v>17</v>
      </c>
      <c r="F5">
        <v>260</v>
      </c>
      <c r="G5" t="s">
        <v>2991</v>
      </c>
      <c r="H5" t="s">
        <v>2399</v>
      </c>
    </row>
    <row r="6" spans="1:8" x14ac:dyDescent="0.25">
      <c r="A6" t="s">
        <v>3079</v>
      </c>
      <c r="B6" t="s">
        <v>1809</v>
      </c>
      <c r="C6" t="s">
        <v>33</v>
      </c>
      <c r="D6" t="s">
        <v>931</v>
      </c>
      <c r="E6" t="s">
        <v>41</v>
      </c>
      <c r="F6">
        <v>710</v>
      </c>
      <c r="G6" t="s">
        <v>2992</v>
      </c>
      <c r="H6" t="s">
        <v>2399</v>
      </c>
    </row>
    <row r="7" spans="1:8" x14ac:dyDescent="0.25">
      <c r="A7" t="s">
        <v>3080</v>
      </c>
      <c r="B7" t="s">
        <v>1809</v>
      </c>
      <c r="C7" t="s">
        <v>33</v>
      </c>
      <c r="D7" t="s">
        <v>1077</v>
      </c>
      <c r="E7" t="s">
        <v>45</v>
      </c>
      <c r="F7">
        <v>590</v>
      </c>
      <c r="G7" t="s">
        <v>2993</v>
      </c>
      <c r="H7" t="s">
        <v>2399</v>
      </c>
    </row>
    <row r="8" spans="1:8" x14ac:dyDescent="0.25">
      <c r="A8" t="s">
        <v>3081</v>
      </c>
      <c r="B8" t="s">
        <v>1809</v>
      </c>
      <c r="C8" t="s">
        <v>33</v>
      </c>
      <c r="D8" t="s">
        <v>1221</v>
      </c>
      <c r="E8" t="s">
        <v>17</v>
      </c>
      <c r="F8">
        <v>475</v>
      </c>
      <c r="G8">
        <v>76</v>
      </c>
      <c r="H8" t="s">
        <v>2399</v>
      </c>
    </row>
    <row r="9" spans="1:8" x14ac:dyDescent="0.25">
      <c r="A9" t="s">
        <v>3079</v>
      </c>
      <c r="B9" t="s">
        <v>1809</v>
      </c>
      <c r="C9" t="s">
        <v>33</v>
      </c>
      <c r="D9" t="s">
        <v>1512</v>
      </c>
      <c r="E9" t="s">
        <v>41</v>
      </c>
      <c r="F9">
        <v>225</v>
      </c>
      <c r="G9" t="s">
        <v>2826</v>
      </c>
      <c r="H9" t="s">
        <v>2399</v>
      </c>
    </row>
    <row r="10" spans="1:8" x14ac:dyDescent="0.25">
      <c r="A10" t="s">
        <v>3082</v>
      </c>
      <c r="B10" t="s">
        <v>1969</v>
      </c>
      <c r="C10" t="s">
        <v>45</v>
      </c>
      <c r="D10" t="s">
        <v>1077</v>
      </c>
      <c r="E10" t="s">
        <v>45</v>
      </c>
      <c r="F10">
        <v>815</v>
      </c>
      <c r="G10" t="s">
        <v>2994</v>
      </c>
      <c r="H10" t="s">
        <v>2399</v>
      </c>
    </row>
    <row r="11" spans="1:8" x14ac:dyDescent="0.25">
      <c r="A11" t="s">
        <v>3083</v>
      </c>
      <c r="B11" t="s">
        <v>1969</v>
      </c>
      <c r="C11" t="s">
        <v>45</v>
      </c>
      <c r="D11" t="s">
        <v>1221</v>
      </c>
      <c r="E11" t="s">
        <v>17</v>
      </c>
      <c r="F11">
        <v>700</v>
      </c>
      <c r="G11" t="s">
        <v>2995</v>
      </c>
      <c r="H11" t="s">
        <v>2399</v>
      </c>
    </row>
    <row r="12" spans="1:8" x14ac:dyDescent="0.25">
      <c r="A12" t="s">
        <v>3084</v>
      </c>
      <c r="B12" t="s">
        <v>1969</v>
      </c>
      <c r="C12" t="s">
        <v>45</v>
      </c>
      <c r="D12" t="s">
        <v>1512</v>
      </c>
      <c r="E12" t="s">
        <v>41</v>
      </c>
      <c r="F12">
        <v>450</v>
      </c>
      <c r="G12" t="s">
        <v>2996</v>
      </c>
      <c r="H12" t="s">
        <v>2399</v>
      </c>
    </row>
    <row r="13" spans="1:8" x14ac:dyDescent="0.25">
      <c r="A13" t="s">
        <v>3085</v>
      </c>
      <c r="B13" t="s">
        <v>1969</v>
      </c>
      <c r="C13" t="s">
        <v>45</v>
      </c>
      <c r="D13" t="s">
        <v>1809</v>
      </c>
      <c r="E13" t="s">
        <v>33</v>
      </c>
      <c r="F13">
        <v>235</v>
      </c>
      <c r="G13" t="s">
        <v>2997</v>
      </c>
      <c r="H13" t="s">
        <v>2399</v>
      </c>
    </row>
    <row r="14" spans="1:8" x14ac:dyDescent="0.25">
      <c r="A14" t="s">
        <v>3086</v>
      </c>
      <c r="B14" t="s">
        <v>2042</v>
      </c>
      <c r="C14" t="s">
        <v>51</v>
      </c>
      <c r="D14" t="s">
        <v>1221</v>
      </c>
      <c r="E14" t="s">
        <v>17</v>
      </c>
      <c r="F14">
        <v>930</v>
      </c>
      <c r="G14" t="s">
        <v>2998</v>
      </c>
      <c r="H14" t="s">
        <v>2399</v>
      </c>
    </row>
    <row r="15" spans="1:8" x14ac:dyDescent="0.25">
      <c r="A15" t="s">
        <v>3087</v>
      </c>
      <c r="B15" t="s">
        <v>2042</v>
      </c>
      <c r="C15" t="s">
        <v>51</v>
      </c>
      <c r="D15" t="s">
        <v>1512</v>
      </c>
      <c r="E15" t="s">
        <v>41</v>
      </c>
      <c r="F15">
        <v>680</v>
      </c>
      <c r="G15" t="s">
        <v>2999</v>
      </c>
      <c r="H15" t="s">
        <v>2399</v>
      </c>
    </row>
    <row r="16" spans="1:8" x14ac:dyDescent="0.25">
      <c r="A16" t="s">
        <v>3088</v>
      </c>
      <c r="B16" t="s">
        <v>2042</v>
      </c>
      <c r="C16" t="s">
        <v>51</v>
      </c>
      <c r="D16" t="s">
        <v>1809</v>
      </c>
      <c r="E16" t="s">
        <v>33</v>
      </c>
      <c r="F16">
        <v>465</v>
      </c>
      <c r="G16" t="s">
        <v>3000</v>
      </c>
      <c r="H16" t="s">
        <v>2399</v>
      </c>
    </row>
    <row r="17" spans="1:8" x14ac:dyDescent="0.25">
      <c r="A17" t="s">
        <v>3089</v>
      </c>
      <c r="B17" t="s">
        <v>2042</v>
      </c>
      <c r="C17" t="s">
        <v>51</v>
      </c>
      <c r="D17" t="s">
        <v>1969</v>
      </c>
      <c r="E17" t="s">
        <v>45</v>
      </c>
      <c r="F17">
        <v>240</v>
      </c>
      <c r="G17" t="s">
        <v>3001</v>
      </c>
      <c r="H17" t="s">
        <v>2399</v>
      </c>
    </row>
    <row r="18" spans="1:8" x14ac:dyDescent="0.25">
      <c r="A18" t="s">
        <v>3090</v>
      </c>
      <c r="B18" t="s">
        <v>2155</v>
      </c>
      <c r="C18" t="s">
        <v>58</v>
      </c>
      <c r="D18" t="s">
        <v>1512</v>
      </c>
      <c r="E18" t="s">
        <v>41</v>
      </c>
      <c r="F18">
        <v>1140</v>
      </c>
      <c r="G18" t="s">
        <v>3002</v>
      </c>
      <c r="H18" t="s">
        <v>2399</v>
      </c>
    </row>
    <row r="19" spans="1:8" x14ac:dyDescent="0.25">
      <c r="A19" t="s">
        <v>3091</v>
      </c>
      <c r="B19" t="s">
        <v>2155</v>
      </c>
      <c r="C19" t="s">
        <v>58</v>
      </c>
      <c r="D19" t="s">
        <v>1809</v>
      </c>
      <c r="E19" t="s">
        <v>33</v>
      </c>
      <c r="F19">
        <v>920</v>
      </c>
      <c r="G19" t="s">
        <v>3003</v>
      </c>
      <c r="H19" t="s">
        <v>2399</v>
      </c>
    </row>
    <row r="20" spans="1:8" x14ac:dyDescent="0.25">
      <c r="A20" t="s">
        <v>3092</v>
      </c>
      <c r="B20" t="s">
        <v>2155</v>
      </c>
      <c r="C20" t="s">
        <v>58</v>
      </c>
      <c r="D20" t="s">
        <v>1969</v>
      </c>
      <c r="E20" t="s">
        <v>45</v>
      </c>
      <c r="F20">
        <v>695</v>
      </c>
      <c r="G20" t="s">
        <v>3004</v>
      </c>
      <c r="H20" t="s">
        <v>2399</v>
      </c>
    </row>
    <row r="21" spans="1:8" x14ac:dyDescent="0.25">
      <c r="A21" t="s">
        <v>3093</v>
      </c>
      <c r="B21" t="s">
        <v>2155</v>
      </c>
      <c r="C21" t="s">
        <v>58</v>
      </c>
      <c r="D21" t="s">
        <v>2042</v>
      </c>
      <c r="E21" t="s">
        <v>51</v>
      </c>
      <c r="F21">
        <v>475</v>
      </c>
      <c r="G21" t="s">
        <v>3005</v>
      </c>
      <c r="H21" t="s">
        <v>2399</v>
      </c>
    </row>
    <row r="22" spans="1:8" ht="15" customHeight="1" x14ac:dyDescent="0.25">
      <c r="A22" t="s">
        <v>3094</v>
      </c>
      <c r="B22" t="s">
        <v>2269</v>
      </c>
      <c r="C22" t="s">
        <v>58</v>
      </c>
      <c r="D22" t="s">
        <v>1809</v>
      </c>
      <c r="E22" t="s">
        <v>33</v>
      </c>
      <c r="F22">
        <v>1390</v>
      </c>
      <c r="G22" t="s">
        <v>3006</v>
      </c>
      <c r="H22" t="s">
        <v>2399</v>
      </c>
    </row>
    <row r="23" spans="1:8" x14ac:dyDescent="0.25">
      <c r="A23" t="s">
        <v>3095</v>
      </c>
      <c r="B23" t="s">
        <v>2269</v>
      </c>
      <c r="C23" t="s">
        <v>58</v>
      </c>
      <c r="D23" t="s">
        <v>1969</v>
      </c>
      <c r="E23" t="s">
        <v>45</v>
      </c>
      <c r="F23">
        <v>1165</v>
      </c>
      <c r="G23" t="s">
        <v>2920</v>
      </c>
      <c r="H23" t="s">
        <v>2399</v>
      </c>
    </row>
    <row r="24" spans="1:8" x14ac:dyDescent="0.25">
      <c r="A24" t="s">
        <v>3096</v>
      </c>
      <c r="B24" t="s">
        <v>2269</v>
      </c>
      <c r="C24" t="s">
        <v>58</v>
      </c>
      <c r="D24" t="s">
        <v>2042</v>
      </c>
      <c r="E24" t="s">
        <v>51</v>
      </c>
      <c r="F24">
        <v>945</v>
      </c>
      <c r="G24" t="s">
        <v>3007</v>
      </c>
      <c r="H24" t="s">
        <v>2399</v>
      </c>
    </row>
    <row r="25" spans="1:8" x14ac:dyDescent="0.25">
      <c r="A25" t="s">
        <v>3097</v>
      </c>
      <c r="B25" t="s">
        <v>2269</v>
      </c>
      <c r="C25" t="s">
        <v>58</v>
      </c>
      <c r="D25" t="s">
        <v>2155</v>
      </c>
      <c r="E25" t="s">
        <v>58</v>
      </c>
      <c r="F25">
        <v>490</v>
      </c>
      <c r="G25" t="s">
        <v>3008</v>
      </c>
      <c r="H25" t="s">
        <v>2399</v>
      </c>
    </row>
    <row r="26" spans="1:8" x14ac:dyDescent="0.25">
      <c r="A26" t="s">
        <v>3098</v>
      </c>
      <c r="B26" t="s">
        <v>1809</v>
      </c>
      <c r="C26" t="s">
        <v>41</v>
      </c>
      <c r="D26" t="s">
        <v>931</v>
      </c>
      <c r="E26" t="s">
        <v>34</v>
      </c>
      <c r="F26">
        <v>720</v>
      </c>
      <c r="G26" t="s">
        <v>3009</v>
      </c>
      <c r="H26" t="s">
        <v>2405</v>
      </c>
    </row>
    <row r="27" spans="1:8" x14ac:dyDescent="0.25">
      <c r="A27" t="s">
        <v>3081</v>
      </c>
      <c r="B27" t="s">
        <v>1809</v>
      </c>
      <c r="C27" t="s">
        <v>41</v>
      </c>
      <c r="D27" t="s">
        <v>1221</v>
      </c>
      <c r="E27" t="s">
        <v>45</v>
      </c>
      <c r="F27">
        <v>485</v>
      </c>
      <c r="G27" t="s">
        <v>2835</v>
      </c>
      <c r="H27" t="s">
        <v>2405</v>
      </c>
    </row>
    <row r="28" spans="1:8" x14ac:dyDescent="0.25">
      <c r="A28" t="s">
        <v>3079</v>
      </c>
      <c r="B28" t="s">
        <v>1809</v>
      </c>
      <c r="C28" t="s">
        <v>41</v>
      </c>
      <c r="D28" t="s">
        <v>1512</v>
      </c>
      <c r="E28" t="s">
        <v>41</v>
      </c>
      <c r="F28">
        <v>245</v>
      </c>
      <c r="G28" t="s">
        <v>3010</v>
      </c>
      <c r="H28" t="s">
        <v>2405</v>
      </c>
    </row>
    <row r="29" spans="1:8" x14ac:dyDescent="0.25">
      <c r="A29" t="s">
        <v>3083</v>
      </c>
      <c r="B29" t="s">
        <v>1969</v>
      </c>
      <c r="C29" t="s">
        <v>45</v>
      </c>
      <c r="D29" t="s">
        <v>1221</v>
      </c>
      <c r="E29" t="s">
        <v>45</v>
      </c>
      <c r="F29">
        <v>690</v>
      </c>
      <c r="G29" t="s">
        <v>3011</v>
      </c>
      <c r="H29" t="s">
        <v>2405</v>
      </c>
    </row>
    <row r="30" spans="1:8" x14ac:dyDescent="0.25">
      <c r="A30" t="s">
        <v>3084</v>
      </c>
      <c r="B30" t="s">
        <v>1969</v>
      </c>
      <c r="C30" t="s">
        <v>45</v>
      </c>
      <c r="D30" t="s">
        <v>1512</v>
      </c>
      <c r="E30" t="s">
        <v>41</v>
      </c>
      <c r="F30">
        <v>450</v>
      </c>
      <c r="G30" t="s">
        <v>2996</v>
      </c>
      <c r="H30" t="s">
        <v>2405</v>
      </c>
    </row>
    <row r="31" spans="1:8" x14ac:dyDescent="0.25">
      <c r="A31" t="s">
        <v>3085</v>
      </c>
      <c r="B31" t="s">
        <v>1969</v>
      </c>
      <c r="C31" t="s">
        <v>45</v>
      </c>
      <c r="D31" t="s">
        <v>1809</v>
      </c>
      <c r="E31" t="s">
        <v>41</v>
      </c>
      <c r="F31">
        <v>215</v>
      </c>
      <c r="G31">
        <v>37</v>
      </c>
      <c r="H31" t="s">
        <v>2405</v>
      </c>
    </row>
    <row r="32" spans="1:8" x14ac:dyDescent="0.25">
      <c r="A32" t="s">
        <v>3086</v>
      </c>
      <c r="B32" t="s">
        <v>2042</v>
      </c>
      <c r="C32" t="s">
        <v>45</v>
      </c>
      <c r="D32" t="s">
        <v>1221</v>
      </c>
      <c r="E32" t="s">
        <v>45</v>
      </c>
      <c r="F32">
        <v>930</v>
      </c>
      <c r="G32" t="s">
        <v>3012</v>
      </c>
      <c r="H32" t="s">
        <v>2405</v>
      </c>
    </row>
    <row r="33" spans="1:8" x14ac:dyDescent="0.25">
      <c r="A33" t="s">
        <v>3087</v>
      </c>
      <c r="B33" t="s">
        <v>2042</v>
      </c>
      <c r="C33" t="s">
        <v>45</v>
      </c>
      <c r="D33" t="s">
        <v>1512</v>
      </c>
      <c r="E33" t="s">
        <v>41</v>
      </c>
      <c r="F33">
        <v>690</v>
      </c>
      <c r="G33" t="s">
        <v>3013</v>
      </c>
      <c r="H33" t="s">
        <v>2405</v>
      </c>
    </row>
    <row r="34" spans="1:8" x14ac:dyDescent="0.25">
      <c r="A34" t="s">
        <v>3088</v>
      </c>
      <c r="B34" t="s">
        <v>2042</v>
      </c>
      <c r="C34" t="s">
        <v>45</v>
      </c>
      <c r="D34" t="s">
        <v>1809</v>
      </c>
      <c r="E34" t="s">
        <v>41</v>
      </c>
      <c r="F34">
        <v>455</v>
      </c>
      <c r="G34">
        <v>84</v>
      </c>
      <c r="H34" t="s">
        <v>2405</v>
      </c>
    </row>
    <row r="35" spans="1:8" x14ac:dyDescent="0.25">
      <c r="A35" t="s">
        <v>3089</v>
      </c>
      <c r="B35" t="s">
        <v>2042</v>
      </c>
      <c r="C35" t="s">
        <v>45</v>
      </c>
      <c r="D35" t="s">
        <v>1969</v>
      </c>
      <c r="E35" t="s">
        <v>45</v>
      </c>
      <c r="F35">
        <v>250</v>
      </c>
      <c r="G35" t="s">
        <v>3014</v>
      </c>
      <c r="H35" t="s">
        <v>2405</v>
      </c>
    </row>
    <row r="36" spans="1:8" x14ac:dyDescent="0.25">
      <c r="A36" t="s">
        <v>3090</v>
      </c>
      <c r="B36" t="s">
        <v>2155</v>
      </c>
      <c r="C36" t="s">
        <v>17</v>
      </c>
      <c r="D36" t="s">
        <v>1512</v>
      </c>
      <c r="E36" t="s">
        <v>41</v>
      </c>
      <c r="F36">
        <v>1155</v>
      </c>
      <c r="G36" t="s">
        <v>3015</v>
      </c>
      <c r="H36" t="s">
        <v>2405</v>
      </c>
    </row>
    <row r="37" spans="1:8" x14ac:dyDescent="0.25">
      <c r="A37" t="s">
        <v>3091</v>
      </c>
      <c r="B37" t="s">
        <v>2155</v>
      </c>
      <c r="C37" t="s">
        <v>17</v>
      </c>
      <c r="D37" t="s">
        <v>1809</v>
      </c>
      <c r="E37" t="s">
        <v>41</v>
      </c>
      <c r="F37">
        <v>920</v>
      </c>
      <c r="G37" t="s">
        <v>3016</v>
      </c>
      <c r="H37" t="s">
        <v>2405</v>
      </c>
    </row>
    <row r="38" spans="1:8" x14ac:dyDescent="0.25">
      <c r="A38" t="s">
        <v>3092</v>
      </c>
      <c r="B38" t="s">
        <v>2155</v>
      </c>
      <c r="C38" t="s">
        <v>17</v>
      </c>
      <c r="D38" t="s">
        <v>1969</v>
      </c>
      <c r="E38" t="s">
        <v>45</v>
      </c>
      <c r="F38">
        <v>715</v>
      </c>
      <c r="G38">
        <v>158</v>
      </c>
      <c r="H38" t="s">
        <v>2405</v>
      </c>
    </row>
    <row r="39" spans="1:8" x14ac:dyDescent="0.25">
      <c r="A39" t="s">
        <v>3093</v>
      </c>
      <c r="B39" t="s">
        <v>2155</v>
      </c>
      <c r="C39" t="s">
        <v>17</v>
      </c>
      <c r="D39" t="s">
        <v>2042</v>
      </c>
      <c r="E39" t="s">
        <v>45</v>
      </c>
      <c r="F39">
        <v>485</v>
      </c>
      <c r="G39" t="s">
        <v>3017</v>
      </c>
      <c r="H39" t="s">
        <v>2405</v>
      </c>
    </row>
    <row r="40" spans="1:8" x14ac:dyDescent="0.25">
      <c r="A40" t="s">
        <v>3094</v>
      </c>
      <c r="B40" t="s">
        <v>2269</v>
      </c>
      <c r="C40" t="s">
        <v>51</v>
      </c>
      <c r="D40" t="s">
        <v>1809</v>
      </c>
      <c r="E40" t="s">
        <v>41</v>
      </c>
      <c r="F40">
        <v>1390</v>
      </c>
      <c r="G40" t="s">
        <v>3018</v>
      </c>
      <c r="H40" t="s">
        <v>2405</v>
      </c>
    </row>
    <row r="41" spans="1:8" x14ac:dyDescent="0.25">
      <c r="A41" t="s">
        <v>3095</v>
      </c>
      <c r="B41" t="s">
        <v>2269</v>
      </c>
      <c r="C41" t="s">
        <v>51</v>
      </c>
      <c r="D41" t="s">
        <v>1969</v>
      </c>
      <c r="E41" t="s">
        <v>45</v>
      </c>
      <c r="F41">
        <v>1180</v>
      </c>
      <c r="G41">
        <v>350</v>
      </c>
      <c r="H41" t="s">
        <v>2405</v>
      </c>
    </row>
    <row r="42" spans="1:8" x14ac:dyDescent="0.25">
      <c r="A42" t="s">
        <v>3096</v>
      </c>
      <c r="B42" t="s">
        <v>2269</v>
      </c>
      <c r="C42" t="s">
        <v>51</v>
      </c>
      <c r="D42" t="s">
        <v>2042</v>
      </c>
      <c r="E42" t="s">
        <v>45</v>
      </c>
      <c r="F42">
        <v>950</v>
      </c>
      <c r="G42" t="s">
        <v>3019</v>
      </c>
      <c r="H42" t="s">
        <v>2405</v>
      </c>
    </row>
    <row r="43" spans="1:8" x14ac:dyDescent="0.25">
      <c r="A43" t="s">
        <v>3097</v>
      </c>
      <c r="B43" t="s">
        <v>2269</v>
      </c>
      <c r="C43" t="s">
        <v>51</v>
      </c>
      <c r="D43" t="s">
        <v>2155</v>
      </c>
      <c r="E43" t="s">
        <v>17</v>
      </c>
      <c r="F43">
        <v>485</v>
      </c>
      <c r="G43" t="s">
        <v>3020</v>
      </c>
      <c r="H43" t="s">
        <v>2405</v>
      </c>
    </row>
    <row r="44" spans="1:8" x14ac:dyDescent="0.25">
      <c r="A44" t="s">
        <v>3099</v>
      </c>
      <c r="B44" t="s">
        <v>2306</v>
      </c>
      <c r="C44" t="s">
        <v>58</v>
      </c>
      <c r="D44" t="s">
        <v>1969</v>
      </c>
      <c r="E44" t="s">
        <v>45</v>
      </c>
      <c r="F44">
        <v>1640</v>
      </c>
      <c r="G44">
        <v>624</v>
      </c>
      <c r="H44" t="s">
        <v>2405</v>
      </c>
    </row>
    <row r="45" spans="1:8" x14ac:dyDescent="0.25">
      <c r="A45" t="s">
        <v>3100</v>
      </c>
      <c r="B45" t="s">
        <v>2306</v>
      </c>
      <c r="C45" t="s">
        <v>58</v>
      </c>
      <c r="D45" t="s">
        <v>2042</v>
      </c>
      <c r="E45" t="s">
        <v>45</v>
      </c>
      <c r="F45">
        <v>1405</v>
      </c>
      <c r="G45" t="s">
        <v>3021</v>
      </c>
      <c r="H45" t="s">
        <v>2405</v>
      </c>
    </row>
    <row r="46" spans="1:8" x14ac:dyDescent="0.25">
      <c r="A46" t="s">
        <v>3101</v>
      </c>
      <c r="B46" t="s">
        <v>2306</v>
      </c>
      <c r="C46" t="s">
        <v>58</v>
      </c>
      <c r="D46" t="s">
        <v>2155</v>
      </c>
      <c r="E46" t="s">
        <v>17</v>
      </c>
      <c r="F46">
        <v>940</v>
      </c>
      <c r="G46" t="s">
        <v>3022</v>
      </c>
      <c r="H46" t="s">
        <v>2405</v>
      </c>
    </row>
    <row r="47" spans="1:8" x14ac:dyDescent="0.25">
      <c r="A47" t="s">
        <v>3102</v>
      </c>
      <c r="B47" t="s">
        <v>2306</v>
      </c>
      <c r="C47" t="s">
        <v>58</v>
      </c>
      <c r="D47" t="s">
        <v>2269</v>
      </c>
      <c r="E47" t="s">
        <v>51</v>
      </c>
      <c r="F47">
        <v>475</v>
      </c>
      <c r="G47" t="s">
        <v>3023</v>
      </c>
      <c r="H47" t="s">
        <v>2405</v>
      </c>
    </row>
    <row r="48" spans="1:8" x14ac:dyDescent="0.25">
      <c r="A48" t="s">
        <v>3103</v>
      </c>
      <c r="B48" t="s">
        <v>2985</v>
      </c>
      <c r="C48" t="s">
        <v>58</v>
      </c>
      <c r="D48" t="s">
        <v>2042</v>
      </c>
      <c r="E48" t="s">
        <v>45</v>
      </c>
      <c r="F48">
        <v>1875</v>
      </c>
      <c r="G48" t="s">
        <v>3024</v>
      </c>
      <c r="H48" t="s">
        <v>2405</v>
      </c>
    </row>
    <row r="49" spans="1:8" x14ac:dyDescent="0.25">
      <c r="A49" t="s">
        <v>3104</v>
      </c>
      <c r="B49" t="s">
        <v>2985</v>
      </c>
      <c r="C49" t="s">
        <v>58</v>
      </c>
      <c r="D49" t="s">
        <v>2155</v>
      </c>
      <c r="E49" t="s">
        <v>17</v>
      </c>
      <c r="F49">
        <v>1410</v>
      </c>
      <c r="G49" t="s">
        <v>3025</v>
      </c>
      <c r="H49" t="s">
        <v>2405</v>
      </c>
    </row>
    <row r="50" spans="1:8" x14ac:dyDescent="0.25">
      <c r="A50" t="s">
        <v>3105</v>
      </c>
      <c r="B50" t="s">
        <v>2985</v>
      </c>
      <c r="C50" t="s">
        <v>58</v>
      </c>
      <c r="D50" t="s">
        <v>2269</v>
      </c>
      <c r="E50" t="s">
        <v>51</v>
      </c>
      <c r="F50">
        <v>945</v>
      </c>
      <c r="G50" t="s">
        <v>3026</v>
      </c>
      <c r="H50" t="s">
        <v>2405</v>
      </c>
    </row>
    <row r="51" spans="1:8" x14ac:dyDescent="0.25">
      <c r="A51" t="s">
        <v>3106</v>
      </c>
      <c r="B51" t="s">
        <v>2985</v>
      </c>
      <c r="C51" t="s">
        <v>58</v>
      </c>
      <c r="D51" t="s">
        <v>2306</v>
      </c>
      <c r="E51" t="s">
        <v>58</v>
      </c>
      <c r="F51">
        <v>490</v>
      </c>
      <c r="G51" t="s">
        <v>3027</v>
      </c>
      <c r="H51" t="s">
        <v>2405</v>
      </c>
    </row>
    <row r="52" spans="1:8" x14ac:dyDescent="0.25">
      <c r="A52" t="s">
        <v>3075</v>
      </c>
      <c r="B52" t="s">
        <v>1512</v>
      </c>
      <c r="C52" t="s">
        <v>41</v>
      </c>
      <c r="D52" t="s">
        <v>800</v>
      </c>
      <c r="E52" t="s">
        <v>41</v>
      </c>
      <c r="F52">
        <v>615</v>
      </c>
      <c r="G52" t="s">
        <v>3028</v>
      </c>
      <c r="H52" t="s">
        <v>2399</v>
      </c>
    </row>
    <row r="53" spans="1:8" x14ac:dyDescent="0.25">
      <c r="A53" t="s">
        <v>3076</v>
      </c>
      <c r="B53" t="s">
        <v>1512</v>
      </c>
      <c r="C53" t="s">
        <v>41</v>
      </c>
      <c r="D53" t="s">
        <v>931</v>
      </c>
      <c r="E53" t="s">
        <v>41</v>
      </c>
      <c r="F53">
        <v>490</v>
      </c>
      <c r="G53" t="s">
        <v>3029</v>
      </c>
      <c r="H53" t="s">
        <v>2399</v>
      </c>
    </row>
    <row r="54" spans="1:8" x14ac:dyDescent="0.25">
      <c r="A54" t="s">
        <v>3077</v>
      </c>
      <c r="B54" t="s">
        <v>1512</v>
      </c>
      <c r="C54" t="s">
        <v>41</v>
      </c>
      <c r="D54" t="s">
        <v>1077</v>
      </c>
      <c r="E54" t="s">
        <v>45</v>
      </c>
      <c r="F54">
        <v>375</v>
      </c>
      <c r="G54" t="s">
        <v>3030</v>
      </c>
      <c r="H54" t="s">
        <v>2399</v>
      </c>
    </row>
    <row r="55" spans="1:8" x14ac:dyDescent="0.25">
      <c r="A55" t="s">
        <v>3078</v>
      </c>
      <c r="B55" t="s">
        <v>1512</v>
      </c>
      <c r="C55" t="s">
        <v>41</v>
      </c>
      <c r="D55" t="s">
        <v>1221</v>
      </c>
      <c r="E55" t="s">
        <v>17</v>
      </c>
      <c r="F55">
        <v>260</v>
      </c>
      <c r="G55" t="s">
        <v>2991</v>
      </c>
      <c r="H55" t="s">
        <v>2399</v>
      </c>
    </row>
    <row r="56" spans="1:8" x14ac:dyDescent="0.25">
      <c r="A56" t="s">
        <v>3098</v>
      </c>
      <c r="B56" t="s">
        <v>1809</v>
      </c>
      <c r="C56" t="s">
        <v>33</v>
      </c>
      <c r="D56" t="s">
        <v>931</v>
      </c>
      <c r="E56" t="s">
        <v>41</v>
      </c>
      <c r="F56">
        <v>710</v>
      </c>
      <c r="G56" t="s">
        <v>3031</v>
      </c>
      <c r="H56" t="s">
        <v>2399</v>
      </c>
    </row>
    <row r="57" spans="1:8" x14ac:dyDescent="0.25">
      <c r="A57" t="s">
        <v>3080</v>
      </c>
      <c r="B57" t="s">
        <v>1809</v>
      </c>
      <c r="C57" t="s">
        <v>33</v>
      </c>
      <c r="D57" t="s">
        <v>1077</v>
      </c>
      <c r="E57" t="s">
        <v>45</v>
      </c>
      <c r="F57">
        <v>590</v>
      </c>
      <c r="G57" t="s">
        <v>3032</v>
      </c>
      <c r="H57" t="s">
        <v>2399</v>
      </c>
    </row>
    <row r="58" spans="1:8" x14ac:dyDescent="0.25">
      <c r="A58" t="s">
        <v>3081</v>
      </c>
      <c r="B58" t="s">
        <v>1809</v>
      </c>
      <c r="C58" t="s">
        <v>33</v>
      </c>
      <c r="D58" t="s">
        <v>1221</v>
      </c>
      <c r="E58" t="s">
        <v>17</v>
      </c>
      <c r="F58">
        <v>475</v>
      </c>
      <c r="G58" t="s">
        <v>3033</v>
      </c>
      <c r="H58" t="s">
        <v>2399</v>
      </c>
    </row>
    <row r="59" spans="1:8" x14ac:dyDescent="0.25">
      <c r="A59" t="s">
        <v>3079</v>
      </c>
      <c r="B59" t="s">
        <v>1809</v>
      </c>
      <c r="C59" t="s">
        <v>33</v>
      </c>
      <c r="D59" t="s">
        <v>1512</v>
      </c>
      <c r="E59" t="s">
        <v>41</v>
      </c>
      <c r="F59">
        <v>225</v>
      </c>
      <c r="G59" t="s">
        <v>3034</v>
      </c>
      <c r="H59" t="s">
        <v>2399</v>
      </c>
    </row>
    <row r="60" spans="1:8" x14ac:dyDescent="0.25">
      <c r="A60" t="s">
        <v>3082</v>
      </c>
      <c r="B60" t="s">
        <v>1969</v>
      </c>
      <c r="C60" t="s">
        <v>45</v>
      </c>
      <c r="D60" t="s">
        <v>1077</v>
      </c>
      <c r="E60" t="s">
        <v>45</v>
      </c>
      <c r="F60">
        <v>815</v>
      </c>
      <c r="G60" t="s">
        <v>3035</v>
      </c>
      <c r="H60" t="s">
        <v>2399</v>
      </c>
    </row>
    <row r="61" spans="1:8" x14ac:dyDescent="0.25">
      <c r="A61" t="s">
        <v>3083</v>
      </c>
      <c r="B61" t="s">
        <v>1969</v>
      </c>
      <c r="C61" t="s">
        <v>45</v>
      </c>
      <c r="D61" t="s">
        <v>1221</v>
      </c>
      <c r="E61" t="s">
        <v>17</v>
      </c>
      <c r="F61">
        <v>700</v>
      </c>
      <c r="G61" t="s">
        <v>3036</v>
      </c>
      <c r="H61" t="s">
        <v>2399</v>
      </c>
    </row>
    <row r="62" spans="1:8" x14ac:dyDescent="0.25">
      <c r="A62" t="s">
        <v>3084</v>
      </c>
      <c r="B62" t="s">
        <v>1969</v>
      </c>
      <c r="C62" t="s">
        <v>45</v>
      </c>
      <c r="D62" t="s">
        <v>1512</v>
      </c>
      <c r="E62" t="s">
        <v>41</v>
      </c>
      <c r="F62">
        <v>450</v>
      </c>
      <c r="G62" t="s">
        <v>3037</v>
      </c>
      <c r="H62" t="s">
        <v>2399</v>
      </c>
    </row>
    <row r="63" spans="1:8" x14ac:dyDescent="0.25">
      <c r="A63" t="s">
        <v>3085</v>
      </c>
      <c r="B63" t="s">
        <v>1969</v>
      </c>
      <c r="C63" t="s">
        <v>45</v>
      </c>
      <c r="D63" t="s">
        <v>1809</v>
      </c>
      <c r="E63" t="s">
        <v>33</v>
      </c>
      <c r="F63">
        <v>235</v>
      </c>
      <c r="G63" t="s">
        <v>3038</v>
      </c>
      <c r="H63" t="s">
        <v>2399</v>
      </c>
    </row>
    <row r="64" spans="1:8" x14ac:dyDescent="0.25">
      <c r="A64" t="s">
        <v>3086</v>
      </c>
      <c r="B64" t="s">
        <v>2042</v>
      </c>
      <c r="C64" t="s">
        <v>51</v>
      </c>
      <c r="D64" t="s">
        <v>1221</v>
      </c>
      <c r="E64" t="s">
        <v>17</v>
      </c>
      <c r="F64">
        <v>930</v>
      </c>
      <c r="G64" t="s">
        <v>3039</v>
      </c>
      <c r="H64" t="s">
        <v>2399</v>
      </c>
    </row>
    <row r="65" spans="1:8" x14ac:dyDescent="0.25">
      <c r="A65" t="s">
        <v>3087</v>
      </c>
      <c r="B65" t="s">
        <v>2042</v>
      </c>
      <c r="C65" t="s">
        <v>51</v>
      </c>
      <c r="D65" t="s">
        <v>1512</v>
      </c>
      <c r="E65" t="s">
        <v>41</v>
      </c>
      <c r="F65">
        <v>680</v>
      </c>
      <c r="G65" t="s">
        <v>3040</v>
      </c>
      <c r="H65" t="s">
        <v>2399</v>
      </c>
    </row>
    <row r="66" spans="1:8" x14ac:dyDescent="0.25">
      <c r="A66" t="s">
        <v>3088</v>
      </c>
      <c r="B66" t="s">
        <v>2042</v>
      </c>
      <c r="C66" t="s">
        <v>51</v>
      </c>
      <c r="D66" t="s">
        <v>1809</v>
      </c>
      <c r="E66" t="s">
        <v>33</v>
      </c>
      <c r="F66">
        <v>465</v>
      </c>
      <c r="G66" t="s">
        <v>3041</v>
      </c>
      <c r="H66" t="s">
        <v>2399</v>
      </c>
    </row>
    <row r="67" spans="1:8" x14ac:dyDescent="0.25">
      <c r="A67" t="s">
        <v>3089</v>
      </c>
      <c r="B67" t="s">
        <v>2042</v>
      </c>
      <c r="C67" t="s">
        <v>51</v>
      </c>
      <c r="D67" t="s">
        <v>1969</v>
      </c>
      <c r="E67" t="s">
        <v>45</v>
      </c>
      <c r="F67">
        <v>240</v>
      </c>
      <c r="G67" t="s">
        <v>3042</v>
      </c>
      <c r="H67" t="s">
        <v>2399</v>
      </c>
    </row>
    <row r="68" spans="1:8" x14ac:dyDescent="0.25">
      <c r="A68" t="s">
        <v>3090</v>
      </c>
      <c r="B68" t="s">
        <v>2155</v>
      </c>
      <c r="C68" t="s">
        <v>58</v>
      </c>
      <c r="D68" t="s">
        <v>1512</v>
      </c>
      <c r="E68" t="s">
        <v>41</v>
      </c>
      <c r="F68">
        <v>1140</v>
      </c>
      <c r="G68" t="s">
        <v>3043</v>
      </c>
      <c r="H68" t="s">
        <v>2399</v>
      </c>
    </row>
    <row r="69" spans="1:8" x14ac:dyDescent="0.25">
      <c r="A69" t="s">
        <v>3091</v>
      </c>
      <c r="B69" t="s">
        <v>2155</v>
      </c>
      <c r="C69" t="s">
        <v>58</v>
      </c>
      <c r="D69" t="s">
        <v>1809</v>
      </c>
      <c r="E69" t="s">
        <v>33</v>
      </c>
      <c r="F69">
        <v>920</v>
      </c>
      <c r="G69" t="s">
        <v>3044</v>
      </c>
      <c r="H69" t="s">
        <v>2399</v>
      </c>
    </row>
    <row r="70" spans="1:8" x14ac:dyDescent="0.25">
      <c r="A70" t="s">
        <v>3092</v>
      </c>
      <c r="B70" t="s">
        <v>2155</v>
      </c>
      <c r="C70" t="s">
        <v>58</v>
      </c>
      <c r="D70" t="s">
        <v>1969</v>
      </c>
      <c r="E70" t="s">
        <v>45</v>
      </c>
      <c r="F70">
        <v>695</v>
      </c>
      <c r="G70" t="s">
        <v>3045</v>
      </c>
      <c r="H70" t="s">
        <v>2399</v>
      </c>
    </row>
    <row r="71" spans="1:8" x14ac:dyDescent="0.25">
      <c r="A71" t="s">
        <v>3093</v>
      </c>
      <c r="B71" t="s">
        <v>2155</v>
      </c>
      <c r="C71" t="s">
        <v>58</v>
      </c>
      <c r="D71" t="s">
        <v>2042</v>
      </c>
      <c r="E71" t="s">
        <v>51</v>
      </c>
      <c r="F71">
        <v>475</v>
      </c>
      <c r="G71" t="s">
        <v>3046</v>
      </c>
      <c r="H71" t="s">
        <v>2399</v>
      </c>
    </row>
    <row r="72" spans="1:8" x14ac:dyDescent="0.25">
      <c r="A72" t="s">
        <v>3094</v>
      </c>
      <c r="B72" t="s">
        <v>2269</v>
      </c>
      <c r="C72" t="s">
        <v>58</v>
      </c>
      <c r="D72" t="s">
        <v>1809</v>
      </c>
      <c r="E72" t="s">
        <v>33</v>
      </c>
      <c r="F72">
        <v>1390</v>
      </c>
      <c r="G72" t="s">
        <v>3047</v>
      </c>
      <c r="H72" t="s">
        <v>2399</v>
      </c>
    </row>
    <row r="73" spans="1:8" x14ac:dyDescent="0.25">
      <c r="A73" t="s">
        <v>3095</v>
      </c>
      <c r="B73" t="s">
        <v>2269</v>
      </c>
      <c r="C73" t="s">
        <v>58</v>
      </c>
      <c r="D73" t="s">
        <v>1969</v>
      </c>
      <c r="E73" t="s">
        <v>45</v>
      </c>
      <c r="F73">
        <v>1165</v>
      </c>
      <c r="G73" t="s">
        <v>3048</v>
      </c>
      <c r="H73" t="s">
        <v>2399</v>
      </c>
    </row>
    <row r="74" spans="1:8" x14ac:dyDescent="0.25">
      <c r="A74" t="s">
        <v>3096</v>
      </c>
      <c r="B74" t="s">
        <v>2269</v>
      </c>
      <c r="C74" t="s">
        <v>58</v>
      </c>
      <c r="D74" t="s">
        <v>2042</v>
      </c>
      <c r="E74" t="s">
        <v>51</v>
      </c>
      <c r="F74">
        <v>945</v>
      </c>
      <c r="G74" t="s">
        <v>3049</v>
      </c>
      <c r="H74" t="s">
        <v>2399</v>
      </c>
    </row>
    <row r="75" spans="1:8" x14ac:dyDescent="0.25">
      <c r="A75" t="s">
        <v>3097</v>
      </c>
      <c r="B75" t="s">
        <v>2269</v>
      </c>
      <c r="C75" t="s">
        <v>58</v>
      </c>
      <c r="D75" t="s">
        <v>2155</v>
      </c>
      <c r="E75" t="s">
        <v>58</v>
      </c>
      <c r="F75">
        <v>490</v>
      </c>
      <c r="G75" t="s">
        <v>3050</v>
      </c>
      <c r="H75" t="s">
        <v>2399</v>
      </c>
    </row>
    <row r="76" spans="1:8" x14ac:dyDescent="0.25">
      <c r="A76" t="s">
        <v>3098</v>
      </c>
      <c r="B76" t="s">
        <v>1809</v>
      </c>
      <c r="C76" t="s">
        <v>41</v>
      </c>
      <c r="D76" t="s">
        <v>931</v>
      </c>
      <c r="E76" t="s">
        <v>34</v>
      </c>
      <c r="F76">
        <v>720</v>
      </c>
      <c r="G76" t="s">
        <v>3051</v>
      </c>
      <c r="H76" t="s">
        <v>2405</v>
      </c>
    </row>
    <row r="77" spans="1:8" x14ac:dyDescent="0.25">
      <c r="A77" t="s">
        <v>3081</v>
      </c>
      <c r="B77" t="s">
        <v>1809</v>
      </c>
      <c r="C77" t="s">
        <v>41</v>
      </c>
      <c r="D77" t="s">
        <v>1221</v>
      </c>
      <c r="E77" t="s">
        <v>45</v>
      </c>
      <c r="F77">
        <v>485</v>
      </c>
      <c r="G77" t="s">
        <v>3052</v>
      </c>
      <c r="H77" t="s">
        <v>2405</v>
      </c>
    </row>
    <row r="78" spans="1:8" x14ac:dyDescent="0.25">
      <c r="A78" t="s">
        <v>3079</v>
      </c>
      <c r="B78" t="s">
        <v>1809</v>
      </c>
      <c r="C78" t="s">
        <v>41</v>
      </c>
      <c r="D78" t="s">
        <v>1512</v>
      </c>
      <c r="E78" t="s">
        <v>41</v>
      </c>
      <c r="F78">
        <v>245</v>
      </c>
      <c r="G78" t="s">
        <v>3053</v>
      </c>
      <c r="H78" t="s">
        <v>2405</v>
      </c>
    </row>
    <row r="79" spans="1:8" x14ac:dyDescent="0.25">
      <c r="A79" t="s">
        <v>3083</v>
      </c>
      <c r="B79" t="s">
        <v>1969</v>
      </c>
      <c r="C79" t="s">
        <v>45</v>
      </c>
      <c r="D79" t="s">
        <v>1221</v>
      </c>
      <c r="E79" t="s">
        <v>45</v>
      </c>
      <c r="F79">
        <v>690</v>
      </c>
      <c r="G79" t="s">
        <v>3054</v>
      </c>
      <c r="H79" t="s">
        <v>2405</v>
      </c>
    </row>
    <row r="80" spans="1:8" x14ac:dyDescent="0.25">
      <c r="A80" t="s">
        <v>3084</v>
      </c>
      <c r="B80" t="s">
        <v>1969</v>
      </c>
      <c r="C80" t="s">
        <v>45</v>
      </c>
      <c r="D80" t="s">
        <v>1512</v>
      </c>
      <c r="E80" t="s">
        <v>41</v>
      </c>
      <c r="F80">
        <v>450</v>
      </c>
      <c r="G80" t="s">
        <v>3037</v>
      </c>
      <c r="H80" t="s">
        <v>2405</v>
      </c>
    </row>
    <row r="81" spans="1:8" x14ac:dyDescent="0.25">
      <c r="A81" t="s">
        <v>3085</v>
      </c>
      <c r="B81" t="s">
        <v>1969</v>
      </c>
      <c r="C81" t="s">
        <v>45</v>
      </c>
      <c r="D81" t="s">
        <v>1809</v>
      </c>
      <c r="E81" t="s">
        <v>41</v>
      </c>
      <c r="F81">
        <v>215</v>
      </c>
      <c r="G81" t="s">
        <v>3055</v>
      </c>
      <c r="H81" t="s">
        <v>2405</v>
      </c>
    </row>
    <row r="82" spans="1:8" x14ac:dyDescent="0.25">
      <c r="A82" t="s">
        <v>3086</v>
      </c>
      <c r="B82" t="s">
        <v>2042</v>
      </c>
      <c r="C82" t="s">
        <v>45</v>
      </c>
      <c r="D82" t="s">
        <v>1221</v>
      </c>
      <c r="E82" t="s">
        <v>45</v>
      </c>
      <c r="F82">
        <v>930</v>
      </c>
      <c r="G82" t="s">
        <v>3056</v>
      </c>
      <c r="H82" t="s">
        <v>2405</v>
      </c>
    </row>
    <row r="83" spans="1:8" x14ac:dyDescent="0.25">
      <c r="A83" t="s">
        <v>3087</v>
      </c>
      <c r="B83" t="s">
        <v>2042</v>
      </c>
      <c r="C83" t="s">
        <v>45</v>
      </c>
      <c r="D83" t="s">
        <v>1512</v>
      </c>
      <c r="E83" t="s">
        <v>41</v>
      </c>
      <c r="F83">
        <v>690</v>
      </c>
      <c r="G83" t="s">
        <v>3057</v>
      </c>
      <c r="H83" t="s">
        <v>2405</v>
      </c>
    </row>
    <row r="84" spans="1:8" x14ac:dyDescent="0.25">
      <c r="A84" t="s">
        <v>3088</v>
      </c>
      <c r="B84" t="s">
        <v>2042</v>
      </c>
      <c r="C84" t="s">
        <v>45</v>
      </c>
      <c r="D84" t="s">
        <v>1809</v>
      </c>
      <c r="E84" t="s">
        <v>41</v>
      </c>
      <c r="F84">
        <v>455</v>
      </c>
      <c r="G84" t="s">
        <v>3058</v>
      </c>
      <c r="H84" t="s">
        <v>2405</v>
      </c>
    </row>
    <row r="85" spans="1:8" x14ac:dyDescent="0.25">
      <c r="A85" t="s">
        <v>3089</v>
      </c>
      <c r="B85" t="s">
        <v>2042</v>
      </c>
      <c r="C85" t="s">
        <v>45</v>
      </c>
      <c r="D85" t="s">
        <v>1969</v>
      </c>
      <c r="E85" t="s">
        <v>45</v>
      </c>
      <c r="F85">
        <v>250</v>
      </c>
      <c r="G85" t="s">
        <v>2709</v>
      </c>
      <c r="H85" t="s">
        <v>2405</v>
      </c>
    </row>
    <row r="86" spans="1:8" x14ac:dyDescent="0.25">
      <c r="A86" t="s">
        <v>3090</v>
      </c>
      <c r="B86" t="s">
        <v>2155</v>
      </c>
      <c r="C86" t="s">
        <v>17</v>
      </c>
      <c r="D86" t="s">
        <v>1512</v>
      </c>
      <c r="E86" t="s">
        <v>41</v>
      </c>
      <c r="F86">
        <v>1155</v>
      </c>
      <c r="G86" t="s">
        <v>3059</v>
      </c>
      <c r="H86" t="s">
        <v>2405</v>
      </c>
    </row>
    <row r="87" spans="1:8" x14ac:dyDescent="0.25">
      <c r="A87" t="s">
        <v>3091</v>
      </c>
      <c r="B87" t="s">
        <v>2155</v>
      </c>
      <c r="C87" t="s">
        <v>17</v>
      </c>
      <c r="D87" t="s">
        <v>1809</v>
      </c>
      <c r="E87" t="s">
        <v>41</v>
      </c>
      <c r="F87">
        <v>920</v>
      </c>
      <c r="G87" t="s">
        <v>3060</v>
      </c>
      <c r="H87" t="s">
        <v>2405</v>
      </c>
    </row>
    <row r="88" spans="1:8" x14ac:dyDescent="0.25">
      <c r="A88" t="s">
        <v>3092</v>
      </c>
      <c r="B88" t="s">
        <v>2155</v>
      </c>
      <c r="C88" t="s">
        <v>17</v>
      </c>
      <c r="D88" t="s">
        <v>1969</v>
      </c>
      <c r="E88" t="s">
        <v>45</v>
      </c>
      <c r="F88">
        <v>715</v>
      </c>
      <c r="G88" t="s">
        <v>3061</v>
      </c>
      <c r="H88" t="s">
        <v>2405</v>
      </c>
    </row>
    <row r="89" spans="1:8" x14ac:dyDescent="0.25">
      <c r="A89" t="s">
        <v>3093</v>
      </c>
      <c r="B89" t="s">
        <v>2155</v>
      </c>
      <c r="C89" t="s">
        <v>17</v>
      </c>
      <c r="D89" t="s">
        <v>2042</v>
      </c>
      <c r="E89" t="s">
        <v>45</v>
      </c>
      <c r="F89">
        <v>485</v>
      </c>
      <c r="G89" t="s">
        <v>3062</v>
      </c>
      <c r="H89" t="s">
        <v>2405</v>
      </c>
    </row>
    <row r="90" spans="1:8" x14ac:dyDescent="0.25">
      <c r="A90" t="s">
        <v>3094</v>
      </c>
      <c r="B90" t="s">
        <v>2269</v>
      </c>
      <c r="C90" t="s">
        <v>51</v>
      </c>
      <c r="D90" t="s">
        <v>1809</v>
      </c>
      <c r="E90" t="s">
        <v>41</v>
      </c>
      <c r="F90">
        <v>1390</v>
      </c>
      <c r="G90" t="s">
        <v>3063</v>
      </c>
      <c r="H90" t="s">
        <v>2405</v>
      </c>
    </row>
    <row r="91" spans="1:8" x14ac:dyDescent="0.25">
      <c r="A91" t="s">
        <v>3095</v>
      </c>
      <c r="B91" t="s">
        <v>2269</v>
      </c>
      <c r="C91" t="s">
        <v>51</v>
      </c>
      <c r="D91" t="s">
        <v>1969</v>
      </c>
      <c r="E91" t="s">
        <v>45</v>
      </c>
      <c r="F91">
        <v>1180</v>
      </c>
      <c r="G91">
        <v>353</v>
      </c>
      <c r="H91" t="s">
        <v>2405</v>
      </c>
    </row>
    <row r="92" spans="1:8" x14ac:dyDescent="0.25">
      <c r="A92" t="s">
        <v>3096</v>
      </c>
      <c r="B92" t="s">
        <v>2269</v>
      </c>
      <c r="C92" t="s">
        <v>51</v>
      </c>
      <c r="D92" t="s">
        <v>2042</v>
      </c>
      <c r="E92" t="s">
        <v>45</v>
      </c>
      <c r="F92">
        <v>950</v>
      </c>
      <c r="G92">
        <v>299</v>
      </c>
      <c r="H92" t="s">
        <v>2405</v>
      </c>
    </row>
    <row r="93" spans="1:8" x14ac:dyDescent="0.25">
      <c r="A93" t="s">
        <v>3097</v>
      </c>
      <c r="B93" t="s">
        <v>2269</v>
      </c>
      <c r="C93" t="s">
        <v>51</v>
      </c>
      <c r="D93" t="s">
        <v>2155</v>
      </c>
      <c r="E93" t="s">
        <v>17</v>
      </c>
      <c r="F93">
        <v>485</v>
      </c>
      <c r="G93" t="s">
        <v>3064</v>
      </c>
      <c r="H93" t="s">
        <v>2405</v>
      </c>
    </row>
    <row r="94" spans="1:8" x14ac:dyDescent="0.25">
      <c r="A94" t="s">
        <v>3099</v>
      </c>
      <c r="B94" t="s">
        <v>2306</v>
      </c>
      <c r="C94" t="s">
        <v>58</v>
      </c>
      <c r="D94" t="s">
        <v>1969</v>
      </c>
      <c r="E94" t="s">
        <v>45</v>
      </c>
      <c r="F94">
        <v>1640</v>
      </c>
      <c r="G94" t="s">
        <v>3065</v>
      </c>
      <c r="H94" t="s">
        <v>2405</v>
      </c>
    </row>
    <row r="95" spans="1:8" x14ac:dyDescent="0.25">
      <c r="A95" t="s">
        <v>3100</v>
      </c>
      <c r="B95" t="s">
        <v>2306</v>
      </c>
      <c r="C95" t="s">
        <v>58</v>
      </c>
      <c r="D95" t="s">
        <v>2042</v>
      </c>
      <c r="E95" t="s">
        <v>45</v>
      </c>
      <c r="F95">
        <v>1405</v>
      </c>
      <c r="G95" t="s">
        <v>3066</v>
      </c>
      <c r="H95" t="s">
        <v>2405</v>
      </c>
    </row>
    <row r="96" spans="1:8" x14ac:dyDescent="0.25">
      <c r="A96" t="s">
        <v>3101</v>
      </c>
      <c r="B96" t="s">
        <v>2306</v>
      </c>
      <c r="C96" t="s">
        <v>58</v>
      </c>
      <c r="D96" t="s">
        <v>2155</v>
      </c>
      <c r="E96" t="s">
        <v>17</v>
      </c>
      <c r="F96">
        <v>940</v>
      </c>
      <c r="G96" t="s">
        <v>3067</v>
      </c>
      <c r="H96" t="s">
        <v>2405</v>
      </c>
    </row>
    <row r="97" spans="1:8" x14ac:dyDescent="0.25">
      <c r="A97" t="s">
        <v>3102</v>
      </c>
      <c r="B97" t="s">
        <v>2306</v>
      </c>
      <c r="C97" t="s">
        <v>58</v>
      </c>
      <c r="D97" t="s">
        <v>2269</v>
      </c>
      <c r="E97" t="s">
        <v>51</v>
      </c>
      <c r="F97">
        <v>475</v>
      </c>
      <c r="G97" t="s">
        <v>3068</v>
      </c>
      <c r="H97" t="s">
        <v>2405</v>
      </c>
    </row>
    <row r="98" spans="1:8" x14ac:dyDescent="0.25">
      <c r="A98" t="s">
        <v>3103</v>
      </c>
      <c r="B98" t="s">
        <v>2985</v>
      </c>
      <c r="C98" t="s">
        <v>58</v>
      </c>
      <c r="D98" t="s">
        <v>2042</v>
      </c>
      <c r="E98" t="s">
        <v>45</v>
      </c>
      <c r="F98">
        <v>1875</v>
      </c>
      <c r="G98" t="s">
        <v>2975</v>
      </c>
      <c r="H98" t="s">
        <v>2405</v>
      </c>
    </row>
    <row r="99" spans="1:8" x14ac:dyDescent="0.25">
      <c r="A99" t="s">
        <v>3104</v>
      </c>
      <c r="B99" t="s">
        <v>2985</v>
      </c>
      <c r="C99" t="s">
        <v>58</v>
      </c>
      <c r="D99" t="s">
        <v>2155</v>
      </c>
      <c r="E99" t="s">
        <v>17</v>
      </c>
      <c r="F99">
        <v>1410</v>
      </c>
      <c r="G99" t="s">
        <v>3069</v>
      </c>
      <c r="H99" t="s">
        <v>2405</v>
      </c>
    </row>
    <row r="100" spans="1:8" x14ac:dyDescent="0.25">
      <c r="A100" t="s">
        <v>3105</v>
      </c>
      <c r="B100" t="s">
        <v>2985</v>
      </c>
      <c r="C100" t="s">
        <v>58</v>
      </c>
      <c r="D100" t="s">
        <v>2269</v>
      </c>
      <c r="E100" t="s">
        <v>51</v>
      </c>
      <c r="F100">
        <v>945</v>
      </c>
      <c r="G100" t="s">
        <v>3070</v>
      </c>
      <c r="H100" t="s">
        <v>2405</v>
      </c>
    </row>
    <row r="101" spans="1:8" x14ac:dyDescent="0.25">
      <c r="A101" t="s">
        <v>3106</v>
      </c>
      <c r="B101" t="s">
        <v>2985</v>
      </c>
      <c r="C101" t="s">
        <v>58</v>
      </c>
      <c r="D101" t="s">
        <v>2306</v>
      </c>
      <c r="E101" t="s">
        <v>58</v>
      </c>
      <c r="F101">
        <v>490</v>
      </c>
      <c r="G101" t="s">
        <v>3071</v>
      </c>
      <c r="H101" t="s">
        <v>2405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64E0-E5E9-4311-9024-956959A83306}">
  <sheetPr codeName="Лист16"/>
  <dimension ref="A1:N142"/>
  <sheetViews>
    <sheetView workbookViewId="0">
      <selection activeCell="O30" sqref="O30"/>
    </sheetView>
  </sheetViews>
  <sheetFormatPr defaultRowHeight="15" x14ac:dyDescent="0.25"/>
  <sheetData>
    <row r="1" spans="1:14" ht="30" customHeight="1" x14ac:dyDescent="0.25">
      <c r="A1" s="13"/>
      <c r="B1" s="13" t="s">
        <v>2492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 t="s">
        <v>2493</v>
      </c>
    </row>
    <row r="2" spans="1:14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x14ac:dyDescent="0.25">
      <c r="A3" s="12"/>
      <c r="B3" s="12"/>
      <c r="C3" s="11" t="s">
        <v>2494</v>
      </c>
      <c r="D3" s="12"/>
      <c r="E3" s="11" t="s">
        <v>2494</v>
      </c>
      <c r="F3" s="11" t="s">
        <v>2494</v>
      </c>
      <c r="G3" s="11" t="s">
        <v>2494</v>
      </c>
      <c r="H3" s="11" t="s">
        <v>2494</v>
      </c>
      <c r="I3" s="12"/>
      <c r="J3" s="11" t="s">
        <v>2494</v>
      </c>
      <c r="K3" s="12"/>
      <c r="L3" s="11" t="s">
        <v>2494</v>
      </c>
      <c r="M3" s="11" t="s">
        <v>2494</v>
      </c>
      <c r="N3" s="11" t="s">
        <v>2494</v>
      </c>
    </row>
    <row r="4" spans="1:14" x14ac:dyDescent="0.25">
      <c r="A4" s="11">
        <v>10</v>
      </c>
      <c r="B4" s="11">
        <v>1</v>
      </c>
      <c r="C4" s="11">
        <v>16</v>
      </c>
      <c r="D4" s="11">
        <v>35</v>
      </c>
      <c r="E4" s="11">
        <v>15</v>
      </c>
      <c r="F4" s="11">
        <v>10</v>
      </c>
      <c r="G4" s="11">
        <v>8</v>
      </c>
      <c r="H4" s="11">
        <v>4</v>
      </c>
      <c r="I4" s="11">
        <v>2</v>
      </c>
      <c r="J4" s="11">
        <v>75</v>
      </c>
      <c r="K4" s="11">
        <v>50</v>
      </c>
      <c r="L4" s="11">
        <v>11</v>
      </c>
      <c r="M4" s="11">
        <v>4</v>
      </c>
      <c r="N4" s="11">
        <v>10</v>
      </c>
    </row>
    <row r="5" spans="1:14" ht="15" customHeight="1" x14ac:dyDescent="0.25">
      <c r="A5" s="12">
        <v>10</v>
      </c>
      <c r="B5" s="11" t="s">
        <v>2399</v>
      </c>
      <c r="C5" s="12">
        <v>16</v>
      </c>
      <c r="D5" s="12">
        <v>35</v>
      </c>
      <c r="E5" s="12">
        <v>15</v>
      </c>
      <c r="F5" s="12">
        <v>10</v>
      </c>
      <c r="G5" s="12">
        <v>8</v>
      </c>
      <c r="H5" s="12">
        <v>4</v>
      </c>
      <c r="I5" s="12">
        <v>2</v>
      </c>
      <c r="J5" s="11">
        <v>75</v>
      </c>
      <c r="K5" s="12">
        <v>50</v>
      </c>
      <c r="L5" s="11">
        <v>11</v>
      </c>
      <c r="M5" s="11">
        <v>4</v>
      </c>
      <c r="N5" s="11">
        <v>10</v>
      </c>
    </row>
    <row r="6" spans="1:14" x14ac:dyDescent="0.25">
      <c r="A6" s="12">
        <v>10</v>
      </c>
      <c r="B6" s="11">
        <v>6</v>
      </c>
      <c r="C6" s="12">
        <v>16</v>
      </c>
      <c r="D6" s="12">
        <v>35</v>
      </c>
      <c r="E6" s="12">
        <v>15</v>
      </c>
      <c r="F6" s="12">
        <v>10</v>
      </c>
      <c r="G6" s="12">
        <v>8</v>
      </c>
      <c r="H6" s="12">
        <v>4</v>
      </c>
      <c r="I6" s="12">
        <v>2</v>
      </c>
      <c r="J6" s="12">
        <v>75</v>
      </c>
      <c r="K6" s="12">
        <v>50</v>
      </c>
      <c r="L6" s="12">
        <v>11</v>
      </c>
      <c r="M6" s="12">
        <v>4</v>
      </c>
      <c r="N6" s="12">
        <v>10</v>
      </c>
    </row>
    <row r="7" spans="1:14" ht="15" customHeight="1" x14ac:dyDescent="0.25">
      <c r="A7" s="12">
        <v>10</v>
      </c>
      <c r="B7" s="11">
        <v>10</v>
      </c>
      <c r="C7" s="12">
        <v>16</v>
      </c>
      <c r="D7" s="11">
        <v>42</v>
      </c>
      <c r="E7" s="12">
        <v>15</v>
      </c>
      <c r="F7" s="11">
        <v>12</v>
      </c>
      <c r="G7" s="11">
        <v>10</v>
      </c>
      <c r="H7" s="12">
        <v>4</v>
      </c>
      <c r="I7" s="12">
        <v>2</v>
      </c>
      <c r="J7" s="11">
        <v>90</v>
      </c>
      <c r="K7" s="11">
        <v>60</v>
      </c>
      <c r="L7" s="11">
        <v>14</v>
      </c>
      <c r="M7" s="12">
        <v>4</v>
      </c>
      <c r="N7" s="11">
        <v>12</v>
      </c>
    </row>
    <row r="8" spans="1:14" x14ac:dyDescent="0.25">
      <c r="A8" s="12">
        <v>10</v>
      </c>
      <c r="B8" s="11">
        <v>16</v>
      </c>
      <c r="C8" s="12">
        <v>16</v>
      </c>
      <c r="D8" s="12">
        <v>42</v>
      </c>
      <c r="E8" s="12">
        <v>15</v>
      </c>
      <c r="F8" s="11">
        <v>14</v>
      </c>
      <c r="G8" s="11">
        <v>12</v>
      </c>
      <c r="H8" s="12">
        <v>4</v>
      </c>
      <c r="I8" s="12">
        <v>2</v>
      </c>
      <c r="J8" s="12">
        <v>90</v>
      </c>
      <c r="K8" s="12">
        <v>60</v>
      </c>
      <c r="L8" s="12">
        <v>14</v>
      </c>
      <c r="M8" s="12">
        <v>4</v>
      </c>
      <c r="N8" s="12">
        <v>12</v>
      </c>
    </row>
    <row r="9" spans="1:14" x14ac:dyDescent="0.25">
      <c r="A9" s="12">
        <v>10</v>
      </c>
      <c r="B9" s="11">
        <v>25</v>
      </c>
      <c r="C9" s="12">
        <v>16</v>
      </c>
      <c r="D9" s="12">
        <v>42</v>
      </c>
      <c r="E9" s="12">
        <v>15</v>
      </c>
      <c r="F9" s="11">
        <v>16</v>
      </c>
      <c r="G9" s="11">
        <v>14</v>
      </c>
      <c r="H9" s="12">
        <v>4</v>
      </c>
      <c r="I9" s="12">
        <v>2</v>
      </c>
      <c r="J9" s="12">
        <v>90</v>
      </c>
      <c r="K9" s="12">
        <v>60</v>
      </c>
      <c r="L9" s="12">
        <v>14</v>
      </c>
      <c r="M9" s="12">
        <v>4</v>
      </c>
      <c r="N9" s="12">
        <v>12</v>
      </c>
    </row>
    <row r="10" spans="1:14" x14ac:dyDescent="0.25">
      <c r="A10" s="11">
        <v>15</v>
      </c>
      <c r="B10" s="11">
        <v>1</v>
      </c>
      <c r="C10" s="11">
        <v>20</v>
      </c>
      <c r="D10" s="11">
        <v>40</v>
      </c>
      <c r="E10" s="11">
        <v>19</v>
      </c>
      <c r="F10" s="11">
        <v>10</v>
      </c>
      <c r="G10" s="11">
        <v>8</v>
      </c>
      <c r="H10" s="11">
        <v>4</v>
      </c>
      <c r="I10" s="11">
        <v>2</v>
      </c>
      <c r="J10" s="11">
        <v>80</v>
      </c>
      <c r="K10" s="11">
        <v>55</v>
      </c>
      <c r="L10" s="11">
        <v>11</v>
      </c>
      <c r="M10" s="11">
        <v>4</v>
      </c>
      <c r="N10" s="11">
        <v>10</v>
      </c>
    </row>
    <row r="11" spans="1:14" ht="15" customHeight="1" x14ac:dyDescent="0.25">
      <c r="A11" s="12">
        <v>15</v>
      </c>
      <c r="B11" s="11" t="s">
        <v>2399</v>
      </c>
      <c r="C11" s="12">
        <v>20</v>
      </c>
      <c r="D11" s="12">
        <v>40</v>
      </c>
      <c r="E11" s="12">
        <v>19</v>
      </c>
      <c r="F11" s="12">
        <v>10</v>
      </c>
      <c r="G11" s="12">
        <v>8</v>
      </c>
      <c r="H11" s="12">
        <v>4</v>
      </c>
      <c r="I11" s="12">
        <v>2</v>
      </c>
      <c r="J11" s="11">
        <v>80</v>
      </c>
      <c r="K11" s="12">
        <v>55</v>
      </c>
      <c r="L11" s="11">
        <v>11</v>
      </c>
      <c r="M11" s="11">
        <v>4</v>
      </c>
      <c r="N11" s="11">
        <v>10</v>
      </c>
    </row>
    <row r="12" spans="1:14" x14ac:dyDescent="0.25">
      <c r="A12" s="12">
        <v>15</v>
      </c>
      <c r="B12" s="11">
        <v>6</v>
      </c>
      <c r="C12" s="12">
        <v>20</v>
      </c>
      <c r="D12" s="12">
        <v>40</v>
      </c>
      <c r="E12" s="12">
        <v>19</v>
      </c>
      <c r="F12" s="12">
        <v>10</v>
      </c>
      <c r="G12" s="12">
        <v>8</v>
      </c>
      <c r="H12" s="12">
        <v>4</v>
      </c>
      <c r="I12" s="12">
        <v>2</v>
      </c>
      <c r="J12" s="12">
        <v>80</v>
      </c>
      <c r="K12" s="12">
        <v>55</v>
      </c>
      <c r="L12" s="12">
        <v>11</v>
      </c>
      <c r="M12" s="12">
        <v>4</v>
      </c>
      <c r="N12" s="12">
        <v>10</v>
      </c>
    </row>
    <row r="13" spans="1:14" ht="15" customHeight="1" x14ac:dyDescent="0.25">
      <c r="A13" s="12">
        <v>15</v>
      </c>
      <c r="B13" s="11">
        <v>10</v>
      </c>
      <c r="C13" s="12">
        <v>20</v>
      </c>
      <c r="D13" s="11">
        <v>47</v>
      </c>
      <c r="E13" s="12">
        <v>19</v>
      </c>
      <c r="F13" s="11">
        <v>12</v>
      </c>
      <c r="G13" s="11">
        <v>10</v>
      </c>
      <c r="H13" s="12">
        <v>4</v>
      </c>
      <c r="I13" s="12">
        <v>2</v>
      </c>
      <c r="J13" s="11">
        <v>95</v>
      </c>
      <c r="K13" s="11">
        <v>65</v>
      </c>
      <c r="L13" s="11">
        <v>14</v>
      </c>
      <c r="M13" s="12">
        <v>4</v>
      </c>
      <c r="N13" s="11">
        <v>12</v>
      </c>
    </row>
    <row r="14" spans="1:14" x14ac:dyDescent="0.25">
      <c r="A14" s="12">
        <v>15</v>
      </c>
      <c r="B14" s="11">
        <v>16</v>
      </c>
      <c r="C14" s="12">
        <v>20</v>
      </c>
      <c r="D14" s="12">
        <v>47</v>
      </c>
      <c r="E14" s="12">
        <v>19</v>
      </c>
      <c r="F14" s="11">
        <v>14</v>
      </c>
      <c r="G14" s="11">
        <v>12</v>
      </c>
      <c r="H14" s="12">
        <v>4</v>
      </c>
      <c r="I14" s="12">
        <v>2</v>
      </c>
      <c r="J14" s="12">
        <v>95</v>
      </c>
      <c r="K14" s="12">
        <v>65</v>
      </c>
      <c r="L14" s="12">
        <v>14</v>
      </c>
      <c r="M14" s="12">
        <v>4</v>
      </c>
      <c r="N14" s="12">
        <v>12</v>
      </c>
    </row>
    <row r="15" spans="1:14" x14ac:dyDescent="0.25">
      <c r="A15" s="12">
        <v>15</v>
      </c>
      <c r="B15" s="11">
        <v>25</v>
      </c>
      <c r="C15" s="12">
        <v>20</v>
      </c>
      <c r="D15" s="12">
        <v>47</v>
      </c>
      <c r="E15" s="12">
        <v>19</v>
      </c>
      <c r="F15" s="11">
        <v>16</v>
      </c>
      <c r="G15" s="11">
        <v>14</v>
      </c>
      <c r="H15" s="12">
        <v>4</v>
      </c>
      <c r="I15" s="12">
        <v>2</v>
      </c>
      <c r="J15" s="12">
        <v>95</v>
      </c>
      <c r="K15" s="12">
        <v>65</v>
      </c>
      <c r="L15" s="12">
        <v>14</v>
      </c>
      <c r="M15" s="12">
        <v>4</v>
      </c>
      <c r="N15" s="12">
        <v>12</v>
      </c>
    </row>
    <row r="16" spans="1:14" x14ac:dyDescent="0.25">
      <c r="A16" s="11">
        <v>20</v>
      </c>
      <c r="B16" s="11">
        <v>1</v>
      </c>
      <c r="C16" s="11">
        <v>27</v>
      </c>
      <c r="D16" s="11">
        <v>50</v>
      </c>
      <c r="E16" s="11">
        <v>26</v>
      </c>
      <c r="F16" s="11">
        <v>10</v>
      </c>
      <c r="G16" s="11">
        <v>10</v>
      </c>
      <c r="H16" s="11">
        <v>4</v>
      </c>
      <c r="I16" s="11">
        <v>2</v>
      </c>
      <c r="J16" s="11">
        <v>90</v>
      </c>
      <c r="K16" s="11">
        <v>65</v>
      </c>
      <c r="L16" s="11">
        <v>11</v>
      </c>
      <c r="M16" s="11">
        <v>4</v>
      </c>
      <c r="N16" s="11">
        <v>10</v>
      </c>
    </row>
    <row r="17" spans="1:14" ht="15" customHeight="1" x14ac:dyDescent="0.25">
      <c r="A17" s="12">
        <v>20</v>
      </c>
      <c r="B17" s="11" t="s">
        <v>2399</v>
      </c>
      <c r="C17" s="12">
        <v>27</v>
      </c>
      <c r="D17" s="12">
        <v>50</v>
      </c>
      <c r="E17" s="12">
        <v>26</v>
      </c>
      <c r="F17" s="12">
        <v>10</v>
      </c>
      <c r="G17" s="12">
        <v>10</v>
      </c>
      <c r="H17" s="12">
        <v>4</v>
      </c>
      <c r="I17" s="12">
        <v>2</v>
      </c>
      <c r="J17" s="11">
        <v>90</v>
      </c>
      <c r="K17" s="12">
        <v>65</v>
      </c>
      <c r="L17" s="11">
        <v>11</v>
      </c>
      <c r="M17" s="11">
        <v>4</v>
      </c>
      <c r="N17" s="11">
        <v>10</v>
      </c>
    </row>
    <row r="18" spans="1:14" x14ac:dyDescent="0.25">
      <c r="A18" s="12">
        <v>20</v>
      </c>
      <c r="B18" s="11">
        <v>6</v>
      </c>
      <c r="C18" s="12">
        <v>27</v>
      </c>
      <c r="D18" s="12">
        <v>50</v>
      </c>
      <c r="E18" s="12">
        <v>26</v>
      </c>
      <c r="F18" s="12">
        <v>10</v>
      </c>
      <c r="G18" s="12">
        <v>10</v>
      </c>
      <c r="H18" s="12">
        <v>4</v>
      </c>
      <c r="I18" s="12">
        <v>2</v>
      </c>
      <c r="J18" s="12">
        <v>90</v>
      </c>
      <c r="K18" s="12">
        <v>65</v>
      </c>
      <c r="L18" s="12">
        <v>11</v>
      </c>
      <c r="M18" s="12">
        <v>4</v>
      </c>
      <c r="N18" s="12">
        <v>10</v>
      </c>
    </row>
    <row r="19" spans="1:14" ht="15" customHeight="1" x14ac:dyDescent="0.25">
      <c r="A19" s="12">
        <v>20</v>
      </c>
      <c r="B19" s="11">
        <v>10</v>
      </c>
      <c r="C19" s="12">
        <v>27</v>
      </c>
      <c r="D19" s="11">
        <v>58</v>
      </c>
      <c r="E19" s="12">
        <v>26</v>
      </c>
      <c r="F19" s="11">
        <v>14</v>
      </c>
      <c r="G19" s="11">
        <v>12</v>
      </c>
      <c r="H19" s="12">
        <v>4</v>
      </c>
      <c r="I19" s="12">
        <v>2</v>
      </c>
      <c r="J19" s="11">
        <v>105</v>
      </c>
      <c r="K19" s="11">
        <v>75</v>
      </c>
      <c r="L19" s="11">
        <v>14</v>
      </c>
      <c r="M19" s="12">
        <v>4</v>
      </c>
      <c r="N19" s="11">
        <v>12</v>
      </c>
    </row>
    <row r="20" spans="1:14" x14ac:dyDescent="0.25">
      <c r="A20" s="12">
        <v>20</v>
      </c>
      <c r="B20" s="11">
        <v>16</v>
      </c>
      <c r="C20" s="12">
        <v>27</v>
      </c>
      <c r="D20" s="12">
        <v>58</v>
      </c>
      <c r="E20" s="12">
        <v>26</v>
      </c>
      <c r="F20" s="11">
        <v>16</v>
      </c>
      <c r="G20" s="11">
        <v>14</v>
      </c>
      <c r="H20" s="12">
        <v>4</v>
      </c>
      <c r="I20" s="12">
        <v>2</v>
      </c>
      <c r="J20" s="12">
        <v>105</v>
      </c>
      <c r="K20" s="12">
        <v>75</v>
      </c>
      <c r="L20" s="12">
        <v>14</v>
      </c>
      <c r="M20" s="12">
        <v>4</v>
      </c>
      <c r="N20" s="12">
        <v>12</v>
      </c>
    </row>
    <row r="21" spans="1:14" x14ac:dyDescent="0.25">
      <c r="A21" s="12">
        <v>20</v>
      </c>
      <c r="B21" s="11">
        <v>25</v>
      </c>
      <c r="C21" s="12">
        <v>27</v>
      </c>
      <c r="D21" s="12">
        <v>58</v>
      </c>
      <c r="E21" s="12">
        <v>26</v>
      </c>
      <c r="F21" s="11">
        <v>18</v>
      </c>
      <c r="G21" s="11">
        <v>16</v>
      </c>
      <c r="H21" s="12">
        <v>4</v>
      </c>
      <c r="I21" s="12">
        <v>2</v>
      </c>
      <c r="J21" s="12">
        <v>105</v>
      </c>
      <c r="K21" s="12">
        <v>75</v>
      </c>
      <c r="L21" s="12">
        <v>14</v>
      </c>
      <c r="M21" s="12">
        <v>4</v>
      </c>
      <c r="N21" s="12">
        <v>12</v>
      </c>
    </row>
    <row r="22" spans="1:14" x14ac:dyDescent="0.25">
      <c r="A22" s="11">
        <v>25</v>
      </c>
      <c r="B22" s="11">
        <v>1</v>
      </c>
      <c r="C22" s="11">
        <v>34</v>
      </c>
      <c r="D22" s="11">
        <v>60</v>
      </c>
      <c r="E22" s="11">
        <v>33</v>
      </c>
      <c r="F22" s="11">
        <v>12</v>
      </c>
      <c r="G22" s="11">
        <v>10</v>
      </c>
      <c r="H22" s="11">
        <v>5</v>
      </c>
      <c r="I22" s="11">
        <v>3</v>
      </c>
      <c r="J22" s="11">
        <v>100</v>
      </c>
      <c r="K22" s="11">
        <v>75</v>
      </c>
      <c r="L22" s="11">
        <v>11</v>
      </c>
      <c r="M22" s="11">
        <v>4</v>
      </c>
      <c r="N22" s="11">
        <v>10</v>
      </c>
    </row>
    <row r="23" spans="1:14" ht="15" customHeight="1" x14ac:dyDescent="0.25">
      <c r="A23" s="12">
        <v>25</v>
      </c>
      <c r="B23" s="11" t="s">
        <v>2399</v>
      </c>
      <c r="C23" s="12">
        <v>34</v>
      </c>
      <c r="D23" s="12">
        <v>60</v>
      </c>
      <c r="E23" s="12">
        <v>33</v>
      </c>
      <c r="F23" s="12">
        <v>12</v>
      </c>
      <c r="G23" s="12">
        <v>10</v>
      </c>
      <c r="H23" s="12">
        <v>5</v>
      </c>
      <c r="I23" s="12">
        <v>3</v>
      </c>
      <c r="J23" s="11">
        <v>100</v>
      </c>
      <c r="K23" s="12">
        <v>75</v>
      </c>
      <c r="L23" s="11">
        <v>11</v>
      </c>
      <c r="M23" s="11">
        <v>4</v>
      </c>
      <c r="N23" s="11">
        <v>10</v>
      </c>
    </row>
    <row r="24" spans="1:14" x14ac:dyDescent="0.25">
      <c r="A24" s="12">
        <v>25</v>
      </c>
      <c r="B24" s="11">
        <v>6</v>
      </c>
      <c r="C24" s="12">
        <v>34</v>
      </c>
      <c r="D24" s="12">
        <v>60</v>
      </c>
      <c r="E24" s="12">
        <v>33</v>
      </c>
      <c r="F24" s="12">
        <v>12</v>
      </c>
      <c r="G24" s="12">
        <v>10</v>
      </c>
      <c r="H24" s="12">
        <v>5</v>
      </c>
      <c r="I24" s="12">
        <v>3</v>
      </c>
      <c r="J24" s="12">
        <v>100</v>
      </c>
      <c r="K24" s="12">
        <v>75</v>
      </c>
      <c r="L24" s="12">
        <v>11</v>
      </c>
      <c r="M24" s="12">
        <v>4</v>
      </c>
      <c r="N24" s="12">
        <v>10</v>
      </c>
    </row>
    <row r="25" spans="1:14" ht="15" customHeight="1" x14ac:dyDescent="0.25">
      <c r="A25" s="12">
        <v>25</v>
      </c>
      <c r="B25" s="11">
        <v>10</v>
      </c>
      <c r="C25" s="12">
        <v>34</v>
      </c>
      <c r="D25" s="11">
        <v>68</v>
      </c>
      <c r="E25" s="12">
        <v>33</v>
      </c>
      <c r="F25" s="11">
        <v>14</v>
      </c>
      <c r="G25" s="11">
        <v>12</v>
      </c>
      <c r="H25" s="12">
        <v>5</v>
      </c>
      <c r="I25" s="12">
        <v>3</v>
      </c>
      <c r="J25" s="11">
        <v>115</v>
      </c>
      <c r="K25" s="11">
        <v>85</v>
      </c>
      <c r="L25" s="11">
        <v>14</v>
      </c>
      <c r="M25" s="12">
        <v>4</v>
      </c>
      <c r="N25" s="11">
        <v>12</v>
      </c>
    </row>
    <row r="26" spans="1:14" x14ac:dyDescent="0.25">
      <c r="A26" s="12">
        <v>25</v>
      </c>
      <c r="B26" s="11">
        <v>16</v>
      </c>
      <c r="C26" s="12">
        <v>34</v>
      </c>
      <c r="D26" s="12">
        <v>68</v>
      </c>
      <c r="E26" s="12">
        <v>33</v>
      </c>
      <c r="F26" s="11">
        <v>16</v>
      </c>
      <c r="G26" s="11">
        <v>14</v>
      </c>
      <c r="H26" s="12">
        <v>5</v>
      </c>
      <c r="I26" s="12">
        <v>3</v>
      </c>
      <c r="J26" s="12">
        <v>115</v>
      </c>
      <c r="K26" s="12">
        <v>85</v>
      </c>
      <c r="L26" s="12">
        <v>14</v>
      </c>
      <c r="M26" s="12">
        <v>4</v>
      </c>
      <c r="N26" s="12">
        <v>12</v>
      </c>
    </row>
    <row r="27" spans="1:14" x14ac:dyDescent="0.25">
      <c r="A27" s="12">
        <v>25</v>
      </c>
      <c r="B27" s="11">
        <v>25</v>
      </c>
      <c r="C27" s="12">
        <v>34</v>
      </c>
      <c r="D27" s="12">
        <v>68</v>
      </c>
      <c r="E27" s="12">
        <v>33</v>
      </c>
      <c r="F27" s="11">
        <v>18</v>
      </c>
      <c r="G27" s="11">
        <v>16</v>
      </c>
      <c r="H27" s="12">
        <v>5</v>
      </c>
      <c r="I27" s="12">
        <v>3</v>
      </c>
      <c r="J27" s="12">
        <v>115</v>
      </c>
      <c r="K27" s="12">
        <v>85</v>
      </c>
      <c r="L27" s="12">
        <v>14</v>
      </c>
      <c r="M27" s="12">
        <v>4</v>
      </c>
      <c r="N27" s="12">
        <v>12</v>
      </c>
    </row>
    <row r="28" spans="1:14" x14ac:dyDescent="0.25">
      <c r="A28" s="11">
        <v>32</v>
      </c>
      <c r="B28" s="11">
        <v>1</v>
      </c>
      <c r="C28" s="11">
        <v>41</v>
      </c>
      <c r="D28" s="11">
        <v>70</v>
      </c>
      <c r="E28" s="11">
        <v>39</v>
      </c>
      <c r="F28" s="11">
        <v>12</v>
      </c>
      <c r="G28" s="11">
        <v>10</v>
      </c>
      <c r="H28" s="11">
        <v>5</v>
      </c>
      <c r="I28" s="11">
        <v>3</v>
      </c>
      <c r="J28" s="11">
        <v>120</v>
      </c>
      <c r="K28" s="11">
        <v>90</v>
      </c>
      <c r="L28" s="11">
        <v>14</v>
      </c>
      <c r="M28" s="11">
        <v>4</v>
      </c>
      <c r="N28" s="11">
        <v>12</v>
      </c>
    </row>
    <row r="29" spans="1:14" ht="15" customHeight="1" x14ac:dyDescent="0.25">
      <c r="A29" s="12">
        <v>32</v>
      </c>
      <c r="B29" s="11" t="s">
        <v>2399</v>
      </c>
      <c r="C29" s="12">
        <v>41</v>
      </c>
      <c r="D29" s="12">
        <v>70</v>
      </c>
      <c r="E29" s="12">
        <v>39</v>
      </c>
      <c r="F29" s="12">
        <v>12</v>
      </c>
      <c r="G29" s="12">
        <v>10</v>
      </c>
      <c r="H29" s="12">
        <v>5</v>
      </c>
      <c r="I29" s="12">
        <v>3</v>
      </c>
      <c r="J29" s="11">
        <v>120</v>
      </c>
      <c r="K29" s="12">
        <v>90</v>
      </c>
      <c r="L29" s="11">
        <v>14</v>
      </c>
      <c r="M29" s="11">
        <v>4</v>
      </c>
      <c r="N29" s="11">
        <v>12</v>
      </c>
    </row>
    <row r="30" spans="1:14" x14ac:dyDescent="0.25">
      <c r="A30" s="12">
        <v>32</v>
      </c>
      <c r="B30" s="11">
        <v>6</v>
      </c>
      <c r="C30" s="12">
        <v>41</v>
      </c>
      <c r="D30" s="12">
        <v>70</v>
      </c>
      <c r="E30" s="12">
        <v>39</v>
      </c>
      <c r="F30" s="12">
        <v>12</v>
      </c>
      <c r="G30" s="12">
        <v>10</v>
      </c>
      <c r="H30" s="12">
        <v>5</v>
      </c>
      <c r="I30" s="12">
        <v>3</v>
      </c>
      <c r="J30" s="12">
        <v>120</v>
      </c>
      <c r="K30" s="12">
        <v>90</v>
      </c>
      <c r="L30" s="12">
        <v>14</v>
      </c>
      <c r="M30" s="12">
        <v>4</v>
      </c>
      <c r="N30" s="12">
        <v>12</v>
      </c>
    </row>
    <row r="31" spans="1:14" ht="15" customHeight="1" x14ac:dyDescent="0.25">
      <c r="A31" s="12">
        <v>32</v>
      </c>
      <c r="B31" s="11">
        <v>10</v>
      </c>
      <c r="C31" s="12">
        <v>41</v>
      </c>
      <c r="D31" s="11">
        <v>78</v>
      </c>
      <c r="E31" s="12">
        <v>39</v>
      </c>
      <c r="F31" s="11">
        <v>16</v>
      </c>
      <c r="G31" s="11">
        <v>12</v>
      </c>
      <c r="H31" s="12">
        <v>5</v>
      </c>
      <c r="I31" s="12">
        <v>3</v>
      </c>
      <c r="J31" s="11">
        <v>135</v>
      </c>
      <c r="K31" s="11">
        <v>100</v>
      </c>
      <c r="L31" s="11">
        <v>18</v>
      </c>
      <c r="M31" s="12">
        <v>4</v>
      </c>
      <c r="N31" s="11">
        <v>16</v>
      </c>
    </row>
    <row r="32" spans="1:14" x14ac:dyDescent="0.25">
      <c r="A32" s="12">
        <v>32</v>
      </c>
      <c r="B32" s="11">
        <v>16</v>
      </c>
      <c r="C32" s="12">
        <v>41</v>
      </c>
      <c r="D32" s="12">
        <v>78</v>
      </c>
      <c r="E32" s="12">
        <v>39</v>
      </c>
      <c r="F32" s="11">
        <v>18</v>
      </c>
      <c r="G32" s="11">
        <v>16</v>
      </c>
      <c r="H32" s="12">
        <v>5</v>
      </c>
      <c r="I32" s="12">
        <v>3</v>
      </c>
      <c r="J32" s="12">
        <v>135</v>
      </c>
      <c r="K32" s="12">
        <v>100</v>
      </c>
      <c r="L32" s="12">
        <v>18</v>
      </c>
      <c r="M32" s="12">
        <v>4</v>
      </c>
      <c r="N32" s="12">
        <v>16</v>
      </c>
    </row>
    <row r="33" spans="1:14" x14ac:dyDescent="0.25">
      <c r="A33" s="12">
        <v>32</v>
      </c>
      <c r="B33" s="11">
        <v>25</v>
      </c>
      <c r="C33" s="12">
        <v>41</v>
      </c>
      <c r="D33" s="12">
        <v>78</v>
      </c>
      <c r="E33" s="12">
        <v>39</v>
      </c>
      <c r="F33" s="11">
        <v>20</v>
      </c>
      <c r="G33" s="12">
        <v>16</v>
      </c>
      <c r="H33" s="12">
        <v>5</v>
      </c>
      <c r="I33" s="12">
        <v>3</v>
      </c>
      <c r="J33" s="12">
        <v>135</v>
      </c>
      <c r="K33" s="12">
        <v>100</v>
      </c>
      <c r="L33" s="12">
        <v>18</v>
      </c>
      <c r="M33" s="12">
        <v>4</v>
      </c>
      <c r="N33" s="12">
        <v>16</v>
      </c>
    </row>
    <row r="34" spans="1:14" x14ac:dyDescent="0.25">
      <c r="A34" s="11">
        <v>40</v>
      </c>
      <c r="B34" s="11">
        <v>1</v>
      </c>
      <c r="C34" s="11">
        <v>48</v>
      </c>
      <c r="D34" s="11">
        <v>80</v>
      </c>
      <c r="E34" s="11">
        <v>46</v>
      </c>
      <c r="F34" s="11">
        <v>12</v>
      </c>
      <c r="G34" s="11">
        <v>10</v>
      </c>
      <c r="H34" s="11">
        <v>5</v>
      </c>
      <c r="I34" s="11">
        <v>3</v>
      </c>
      <c r="J34" s="11">
        <v>130</v>
      </c>
      <c r="K34" s="11">
        <v>100</v>
      </c>
      <c r="L34" s="11">
        <v>14</v>
      </c>
      <c r="M34" s="11">
        <v>4</v>
      </c>
      <c r="N34" s="11">
        <v>12</v>
      </c>
    </row>
    <row r="35" spans="1:14" ht="15" customHeight="1" x14ac:dyDescent="0.25">
      <c r="A35" s="12">
        <v>40</v>
      </c>
      <c r="B35" s="11" t="s">
        <v>2399</v>
      </c>
      <c r="C35" s="12">
        <v>48</v>
      </c>
      <c r="D35" s="12">
        <v>80</v>
      </c>
      <c r="E35" s="12">
        <v>46</v>
      </c>
      <c r="F35" s="12">
        <v>12</v>
      </c>
      <c r="G35" s="12">
        <v>10</v>
      </c>
      <c r="H35" s="12">
        <v>5</v>
      </c>
      <c r="I35" s="12">
        <v>3</v>
      </c>
      <c r="J35" s="11">
        <v>130</v>
      </c>
      <c r="K35" s="12">
        <v>100</v>
      </c>
      <c r="L35" s="11">
        <v>14</v>
      </c>
      <c r="M35" s="11">
        <v>4</v>
      </c>
      <c r="N35" s="11">
        <v>12</v>
      </c>
    </row>
    <row r="36" spans="1:14" x14ac:dyDescent="0.25">
      <c r="A36" s="12">
        <v>40</v>
      </c>
      <c r="B36" s="11">
        <v>6</v>
      </c>
      <c r="C36" s="12">
        <v>48</v>
      </c>
      <c r="D36" s="12">
        <v>80</v>
      </c>
      <c r="E36" s="12">
        <v>46</v>
      </c>
      <c r="F36" s="12">
        <v>12</v>
      </c>
      <c r="G36" s="12">
        <v>10</v>
      </c>
      <c r="H36" s="12">
        <v>5</v>
      </c>
      <c r="I36" s="12">
        <v>3</v>
      </c>
      <c r="J36" s="12">
        <v>130</v>
      </c>
      <c r="K36" s="12">
        <v>100</v>
      </c>
      <c r="L36" s="12">
        <v>14</v>
      </c>
      <c r="M36" s="12">
        <v>4</v>
      </c>
      <c r="N36" s="12">
        <v>12</v>
      </c>
    </row>
    <row r="37" spans="1:14" ht="15" customHeight="1" x14ac:dyDescent="0.25">
      <c r="A37" s="12">
        <v>40</v>
      </c>
      <c r="B37" s="11">
        <v>10</v>
      </c>
      <c r="C37" s="12">
        <v>48</v>
      </c>
      <c r="D37" s="11">
        <v>88</v>
      </c>
      <c r="E37" s="12">
        <v>46</v>
      </c>
      <c r="F37" s="11">
        <v>18</v>
      </c>
      <c r="G37" s="11">
        <v>12</v>
      </c>
      <c r="H37" s="12">
        <v>5</v>
      </c>
      <c r="I37" s="12">
        <v>3</v>
      </c>
      <c r="J37" s="11">
        <v>145</v>
      </c>
      <c r="K37" s="11">
        <v>110</v>
      </c>
      <c r="L37" s="11">
        <v>18</v>
      </c>
      <c r="M37" s="12">
        <v>4</v>
      </c>
      <c r="N37" s="11">
        <v>16</v>
      </c>
    </row>
    <row r="38" spans="1:14" x14ac:dyDescent="0.25">
      <c r="A38" s="12">
        <v>40</v>
      </c>
      <c r="B38" s="11">
        <v>16</v>
      </c>
      <c r="C38" s="12">
        <v>48</v>
      </c>
      <c r="D38" s="12">
        <v>88</v>
      </c>
      <c r="E38" s="12">
        <v>46</v>
      </c>
      <c r="F38" s="11">
        <v>20</v>
      </c>
      <c r="G38" s="11">
        <v>16</v>
      </c>
      <c r="H38" s="12">
        <v>5</v>
      </c>
      <c r="I38" s="12">
        <v>3</v>
      </c>
      <c r="J38" s="12">
        <v>145</v>
      </c>
      <c r="K38" s="12">
        <v>110</v>
      </c>
      <c r="L38" s="12">
        <v>18</v>
      </c>
      <c r="M38" s="12">
        <v>4</v>
      </c>
      <c r="N38" s="12">
        <v>16</v>
      </c>
    </row>
    <row r="39" spans="1:14" x14ac:dyDescent="0.25">
      <c r="A39" s="12">
        <v>40</v>
      </c>
      <c r="B39" s="11">
        <v>25</v>
      </c>
      <c r="C39" s="12">
        <v>48</v>
      </c>
      <c r="D39" s="12">
        <v>88</v>
      </c>
      <c r="E39" s="12">
        <v>46</v>
      </c>
      <c r="F39" s="11">
        <v>22</v>
      </c>
      <c r="G39" s="11">
        <v>18</v>
      </c>
      <c r="H39" s="12">
        <v>5</v>
      </c>
      <c r="I39" s="12">
        <v>3</v>
      </c>
      <c r="J39" s="12">
        <v>145</v>
      </c>
      <c r="K39" s="12">
        <v>110</v>
      </c>
      <c r="L39" s="12">
        <v>18</v>
      </c>
      <c r="M39" s="12">
        <v>4</v>
      </c>
      <c r="N39" s="12">
        <v>16</v>
      </c>
    </row>
    <row r="40" spans="1:14" x14ac:dyDescent="0.25">
      <c r="A40" s="11">
        <v>50</v>
      </c>
      <c r="B40" s="11">
        <v>1</v>
      </c>
      <c r="C40" s="11">
        <v>61</v>
      </c>
      <c r="D40" s="11">
        <v>90</v>
      </c>
      <c r="E40" s="11">
        <v>59</v>
      </c>
      <c r="F40" s="11">
        <v>12</v>
      </c>
      <c r="G40" s="11">
        <v>12</v>
      </c>
      <c r="H40" s="11">
        <v>5</v>
      </c>
      <c r="I40" s="11">
        <v>3</v>
      </c>
      <c r="J40" s="11">
        <v>140</v>
      </c>
      <c r="K40" s="11">
        <v>110</v>
      </c>
      <c r="L40" s="11">
        <v>14</v>
      </c>
      <c r="M40" s="11">
        <v>4</v>
      </c>
      <c r="N40" s="11">
        <v>12</v>
      </c>
    </row>
    <row r="41" spans="1:14" ht="15" customHeight="1" x14ac:dyDescent="0.25">
      <c r="A41" s="12">
        <v>50</v>
      </c>
      <c r="B41" s="11" t="s">
        <v>2399</v>
      </c>
      <c r="C41" s="12">
        <v>61</v>
      </c>
      <c r="D41" s="12">
        <v>90</v>
      </c>
      <c r="E41" s="12">
        <v>59</v>
      </c>
      <c r="F41" s="12">
        <v>12</v>
      </c>
      <c r="G41" s="12">
        <v>12</v>
      </c>
      <c r="H41" s="12">
        <v>5</v>
      </c>
      <c r="I41" s="12">
        <v>3</v>
      </c>
      <c r="J41" s="11">
        <v>140</v>
      </c>
      <c r="K41" s="12">
        <v>110</v>
      </c>
      <c r="L41" s="11">
        <v>14</v>
      </c>
      <c r="M41" s="11">
        <v>4</v>
      </c>
      <c r="N41" s="11">
        <v>12</v>
      </c>
    </row>
    <row r="42" spans="1:14" x14ac:dyDescent="0.25">
      <c r="A42" s="12">
        <v>50</v>
      </c>
      <c r="B42" s="11">
        <v>6</v>
      </c>
      <c r="C42" s="12">
        <v>61</v>
      </c>
      <c r="D42" s="12">
        <v>90</v>
      </c>
      <c r="E42" s="12">
        <v>59</v>
      </c>
      <c r="F42" s="12">
        <v>12</v>
      </c>
      <c r="G42" s="12">
        <v>12</v>
      </c>
      <c r="H42" s="12">
        <v>5</v>
      </c>
      <c r="I42" s="12">
        <v>3</v>
      </c>
      <c r="J42" s="12">
        <v>140</v>
      </c>
      <c r="K42" s="12">
        <v>110</v>
      </c>
      <c r="L42" s="12">
        <v>14</v>
      </c>
      <c r="M42" s="12">
        <v>4</v>
      </c>
      <c r="N42" s="12">
        <v>12</v>
      </c>
    </row>
    <row r="43" spans="1:14" ht="15" customHeight="1" x14ac:dyDescent="0.25">
      <c r="A43" s="12">
        <v>50</v>
      </c>
      <c r="B43" s="11">
        <v>10</v>
      </c>
      <c r="C43" s="12">
        <v>61</v>
      </c>
      <c r="D43" s="11">
        <v>102</v>
      </c>
      <c r="E43" s="12">
        <v>59</v>
      </c>
      <c r="F43" s="11">
        <v>18</v>
      </c>
      <c r="G43" s="11">
        <v>14</v>
      </c>
      <c r="H43" s="12">
        <v>5</v>
      </c>
      <c r="I43" s="12">
        <v>3</v>
      </c>
      <c r="J43" s="11">
        <v>160</v>
      </c>
      <c r="K43" s="11">
        <v>125</v>
      </c>
      <c r="L43" s="11">
        <v>18</v>
      </c>
      <c r="M43" s="12">
        <v>4</v>
      </c>
      <c r="N43" s="11">
        <v>16</v>
      </c>
    </row>
    <row r="44" spans="1:14" x14ac:dyDescent="0.25">
      <c r="A44" s="12">
        <v>50</v>
      </c>
      <c r="B44" s="11">
        <v>16</v>
      </c>
      <c r="C44" s="12">
        <v>61</v>
      </c>
      <c r="D44" s="12">
        <v>102</v>
      </c>
      <c r="E44" s="12">
        <v>59</v>
      </c>
      <c r="F44" s="11">
        <v>20</v>
      </c>
      <c r="G44" s="11">
        <v>16</v>
      </c>
      <c r="H44" s="12">
        <v>5</v>
      </c>
      <c r="I44" s="12">
        <v>3</v>
      </c>
      <c r="J44" s="12">
        <v>160</v>
      </c>
      <c r="K44" s="12">
        <v>125</v>
      </c>
      <c r="L44" s="12">
        <v>18</v>
      </c>
      <c r="M44" s="12">
        <v>4</v>
      </c>
      <c r="N44" s="12">
        <v>16</v>
      </c>
    </row>
    <row r="45" spans="1:14" x14ac:dyDescent="0.25">
      <c r="A45" s="12">
        <v>50</v>
      </c>
      <c r="B45" s="11">
        <v>25</v>
      </c>
      <c r="C45" s="12">
        <v>61</v>
      </c>
      <c r="D45" s="12">
        <v>102</v>
      </c>
      <c r="E45" s="12">
        <v>59</v>
      </c>
      <c r="F45" s="11">
        <v>22</v>
      </c>
      <c r="G45" s="11">
        <v>18</v>
      </c>
      <c r="H45" s="12">
        <v>5</v>
      </c>
      <c r="I45" s="12">
        <v>3</v>
      </c>
      <c r="J45" s="12">
        <v>160</v>
      </c>
      <c r="K45" s="12">
        <v>125</v>
      </c>
      <c r="L45" s="12">
        <v>18</v>
      </c>
      <c r="M45" s="12">
        <v>4</v>
      </c>
      <c r="N45" s="12">
        <v>16</v>
      </c>
    </row>
    <row r="46" spans="1:14" x14ac:dyDescent="0.25">
      <c r="A46" s="11">
        <v>65</v>
      </c>
      <c r="B46" s="11">
        <v>1</v>
      </c>
      <c r="C46" s="11">
        <v>80</v>
      </c>
      <c r="D46" s="11">
        <v>110</v>
      </c>
      <c r="E46" s="11">
        <v>78</v>
      </c>
      <c r="F46" s="11">
        <v>14</v>
      </c>
      <c r="G46" s="11">
        <v>14</v>
      </c>
      <c r="H46" s="11">
        <v>6</v>
      </c>
      <c r="I46" s="11">
        <v>4</v>
      </c>
      <c r="J46" s="11">
        <v>160</v>
      </c>
      <c r="K46" s="11">
        <v>130</v>
      </c>
      <c r="L46" s="11">
        <v>14</v>
      </c>
      <c r="M46" s="11">
        <v>4</v>
      </c>
      <c r="N46" s="11">
        <v>12</v>
      </c>
    </row>
    <row r="47" spans="1:14" ht="15" customHeight="1" x14ac:dyDescent="0.25">
      <c r="A47" s="12">
        <v>65</v>
      </c>
      <c r="B47" s="11" t="s">
        <v>2399</v>
      </c>
      <c r="C47" s="12">
        <v>80</v>
      </c>
      <c r="D47" s="12">
        <v>110</v>
      </c>
      <c r="E47" s="12">
        <v>78</v>
      </c>
      <c r="F47" s="12">
        <v>14</v>
      </c>
      <c r="G47" s="12">
        <v>14</v>
      </c>
      <c r="H47" s="12">
        <v>6</v>
      </c>
      <c r="I47" s="12">
        <v>4</v>
      </c>
      <c r="J47" s="11">
        <v>160</v>
      </c>
      <c r="K47" s="12">
        <v>130</v>
      </c>
      <c r="L47" s="11">
        <v>14</v>
      </c>
      <c r="M47" s="11">
        <v>4</v>
      </c>
      <c r="N47" s="11">
        <v>12</v>
      </c>
    </row>
    <row r="48" spans="1:14" x14ac:dyDescent="0.25">
      <c r="A48" s="12">
        <v>65</v>
      </c>
      <c r="B48" s="11">
        <v>6</v>
      </c>
      <c r="C48" s="12">
        <v>80</v>
      </c>
      <c r="D48" s="12">
        <v>110</v>
      </c>
      <c r="E48" s="12">
        <v>78</v>
      </c>
      <c r="F48" s="12">
        <v>14</v>
      </c>
      <c r="G48" s="12">
        <v>14</v>
      </c>
      <c r="H48" s="12">
        <v>6</v>
      </c>
      <c r="I48" s="12">
        <v>4</v>
      </c>
      <c r="J48" s="12">
        <v>160</v>
      </c>
      <c r="K48" s="12">
        <v>130</v>
      </c>
      <c r="L48" s="12">
        <v>14</v>
      </c>
      <c r="M48" s="12">
        <v>4</v>
      </c>
      <c r="N48" s="12">
        <v>12</v>
      </c>
    </row>
    <row r="49" spans="1:14" ht="15" customHeight="1" x14ac:dyDescent="0.25">
      <c r="A49" s="12">
        <v>65</v>
      </c>
      <c r="B49" s="11">
        <v>10</v>
      </c>
      <c r="C49" s="12">
        <v>80</v>
      </c>
      <c r="D49" s="11">
        <v>122</v>
      </c>
      <c r="E49" s="12">
        <v>78</v>
      </c>
      <c r="F49" s="11">
        <v>20</v>
      </c>
      <c r="G49" s="11">
        <v>16</v>
      </c>
      <c r="H49" s="12">
        <v>6</v>
      </c>
      <c r="I49" s="12">
        <v>4</v>
      </c>
      <c r="J49" s="11">
        <v>180</v>
      </c>
      <c r="K49" s="11">
        <v>145</v>
      </c>
      <c r="L49" s="11">
        <v>18</v>
      </c>
      <c r="M49" s="11">
        <v>4</v>
      </c>
      <c r="N49" s="11">
        <v>16</v>
      </c>
    </row>
    <row r="50" spans="1:14" x14ac:dyDescent="0.25">
      <c r="A50" s="12">
        <v>65</v>
      </c>
      <c r="B50" s="11">
        <v>16</v>
      </c>
      <c r="C50" s="12">
        <v>80</v>
      </c>
      <c r="D50" s="12">
        <v>122</v>
      </c>
      <c r="E50" s="12">
        <v>78</v>
      </c>
      <c r="F50" s="11">
        <v>22</v>
      </c>
      <c r="G50" s="11">
        <v>18</v>
      </c>
      <c r="H50" s="12">
        <v>6</v>
      </c>
      <c r="I50" s="12">
        <v>4</v>
      </c>
      <c r="J50" s="12">
        <v>180</v>
      </c>
      <c r="K50" s="12">
        <v>145</v>
      </c>
      <c r="L50" s="12">
        <v>18</v>
      </c>
      <c r="M50" s="12">
        <v>4</v>
      </c>
      <c r="N50" s="12">
        <v>16</v>
      </c>
    </row>
    <row r="51" spans="1:14" x14ac:dyDescent="0.25">
      <c r="A51" s="12">
        <v>65</v>
      </c>
      <c r="B51" s="11">
        <v>25</v>
      </c>
      <c r="C51" s="12">
        <v>80</v>
      </c>
      <c r="D51" s="12">
        <v>122</v>
      </c>
      <c r="E51" s="12">
        <v>78</v>
      </c>
      <c r="F51" s="11">
        <v>24</v>
      </c>
      <c r="G51" s="11">
        <v>20</v>
      </c>
      <c r="H51" s="12">
        <v>6</v>
      </c>
      <c r="I51" s="12">
        <v>4</v>
      </c>
      <c r="J51" s="12">
        <v>180</v>
      </c>
      <c r="K51" s="12">
        <v>145</v>
      </c>
      <c r="L51" s="12">
        <v>18</v>
      </c>
      <c r="M51" s="12">
        <v>4</v>
      </c>
      <c r="N51" s="12">
        <v>16</v>
      </c>
    </row>
    <row r="52" spans="1:14" x14ac:dyDescent="0.25">
      <c r="A52" s="11">
        <v>80</v>
      </c>
      <c r="B52" s="11">
        <v>1</v>
      </c>
      <c r="C52" s="11">
        <v>93</v>
      </c>
      <c r="D52" s="11">
        <v>128</v>
      </c>
      <c r="E52" s="11">
        <v>91</v>
      </c>
      <c r="F52" s="11">
        <v>14</v>
      </c>
      <c r="G52" s="11">
        <v>14</v>
      </c>
      <c r="H52" s="11">
        <v>6</v>
      </c>
      <c r="I52" s="11">
        <v>4</v>
      </c>
      <c r="J52" s="11">
        <v>185</v>
      </c>
      <c r="K52" s="11">
        <v>150</v>
      </c>
      <c r="L52" s="11">
        <v>18</v>
      </c>
      <c r="M52" s="11">
        <v>4</v>
      </c>
      <c r="N52" s="11">
        <v>16</v>
      </c>
    </row>
    <row r="53" spans="1:14" ht="15" customHeight="1" x14ac:dyDescent="0.25">
      <c r="A53" s="12">
        <v>80</v>
      </c>
      <c r="B53" s="11" t="s">
        <v>2399</v>
      </c>
      <c r="C53" s="12">
        <v>93</v>
      </c>
      <c r="D53" s="12">
        <v>128</v>
      </c>
      <c r="E53" s="12">
        <v>91</v>
      </c>
      <c r="F53" s="12">
        <v>14</v>
      </c>
      <c r="G53" s="12">
        <v>14</v>
      </c>
      <c r="H53" s="12">
        <v>6</v>
      </c>
      <c r="I53" s="12">
        <v>4</v>
      </c>
      <c r="J53" s="12">
        <v>185</v>
      </c>
      <c r="K53" s="12">
        <v>150</v>
      </c>
      <c r="L53" s="11">
        <v>18</v>
      </c>
      <c r="M53" s="11">
        <v>4</v>
      </c>
      <c r="N53" s="11">
        <v>16</v>
      </c>
    </row>
    <row r="54" spans="1:14" x14ac:dyDescent="0.25">
      <c r="A54" s="12">
        <v>80</v>
      </c>
      <c r="B54" s="11">
        <v>6</v>
      </c>
      <c r="C54" s="12">
        <v>93</v>
      </c>
      <c r="D54" s="12">
        <v>128</v>
      </c>
      <c r="E54" s="12">
        <v>91</v>
      </c>
      <c r="F54" s="12">
        <v>14</v>
      </c>
      <c r="G54" s="12">
        <v>14</v>
      </c>
      <c r="H54" s="12">
        <v>6</v>
      </c>
      <c r="I54" s="12">
        <v>4</v>
      </c>
      <c r="J54" s="12">
        <v>185</v>
      </c>
      <c r="K54" s="12">
        <v>150</v>
      </c>
      <c r="L54" s="12">
        <v>18</v>
      </c>
      <c r="M54" s="12">
        <v>4</v>
      </c>
      <c r="N54" s="12">
        <v>16</v>
      </c>
    </row>
    <row r="55" spans="1:14" x14ac:dyDescent="0.25">
      <c r="A55" s="12">
        <v>80</v>
      </c>
      <c r="B55" s="11">
        <v>10</v>
      </c>
      <c r="C55" s="12">
        <v>93</v>
      </c>
      <c r="D55" s="11">
        <v>133</v>
      </c>
      <c r="E55" s="12">
        <v>91</v>
      </c>
      <c r="F55" s="11">
        <v>22</v>
      </c>
      <c r="G55" s="11">
        <v>16</v>
      </c>
      <c r="H55" s="12">
        <v>6</v>
      </c>
      <c r="I55" s="12">
        <v>4</v>
      </c>
      <c r="J55" s="11">
        <v>195</v>
      </c>
      <c r="K55" s="11">
        <v>160</v>
      </c>
      <c r="L55" s="12">
        <v>18</v>
      </c>
      <c r="M55" s="11">
        <v>4</v>
      </c>
      <c r="N55" s="12">
        <v>16</v>
      </c>
    </row>
    <row r="56" spans="1:14" x14ac:dyDescent="0.25">
      <c r="A56" s="12">
        <v>80</v>
      </c>
      <c r="B56" s="11">
        <v>16</v>
      </c>
      <c r="C56" s="12">
        <v>93</v>
      </c>
      <c r="D56" s="12">
        <v>133</v>
      </c>
      <c r="E56" s="12">
        <v>91</v>
      </c>
      <c r="F56" s="11">
        <v>24</v>
      </c>
      <c r="G56" s="11">
        <v>18</v>
      </c>
      <c r="H56" s="12">
        <v>6</v>
      </c>
      <c r="I56" s="12">
        <v>4</v>
      </c>
      <c r="J56" s="12">
        <v>195</v>
      </c>
      <c r="K56" s="12">
        <v>160</v>
      </c>
      <c r="L56" s="12">
        <v>18</v>
      </c>
      <c r="M56" s="12">
        <v>4</v>
      </c>
      <c r="N56" s="12">
        <v>16</v>
      </c>
    </row>
    <row r="57" spans="1:14" x14ac:dyDescent="0.25">
      <c r="A57" s="12">
        <v>80</v>
      </c>
      <c r="B57" s="11">
        <v>25</v>
      </c>
      <c r="C57" s="12">
        <v>93</v>
      </c>
      <c r="D57" s="12">
        <v>133</v>
      </c>
      <c r="E57" s="12">
        <v>91</v>
      </c>
      <c r="F57" s="11">
        <v>26</v>
      </c>
      <c r="G57" s="11">
        <v>20</v>
      </c>
      <c r="H57" s="12">
        <v>6</v>
      </c>
      <c r="I57" s="12">
        <v>4</v>
      </c>
      <c r="J57" s="12">
        <v>195</v>
      </c>
      <c r="K57" s="12">
        <v>160</v>
      </c>
      <c r="L57" s="12">
        <v>18</v>
      </c>
      <c r="M57" s="12">
        <v>4</v>
      </c>
      <c r="N57" s="12">
        <v>16</v>
      </c>
    </row>
    <row r="58" spans="1:14" x14ac:dyDescent="0.25">
      <c r="A58" s="13">
        <v>100</v>
      </c>
      <c r="B58" s="13">
        <v>1</v>
      </c>
      <c r="C58" s="11">
        <v>112</v>
      </c>
      <c r="D58" s="13">
        <v>148</v>
      </c>
      <c r="E58" s="11">
        <v>110</v>
      </c>
      <c r="F58" s="13">
        <v>14</v>
      </c>
      <c r="G58" s="13">
        <v>14</v>
      </c>
      <c r="H58" s="13">
        <v>6</v>
      </c>
      <c r="I58" s="13">
        <v>4</v>
      </c>
      <c r="J58" s="13">
        <v>205</v>
      </c>
      <c r="K58" s="13">
        <v>170</v>
      </c>
      <c r="L58" s="13">
        <v>18</v>
      </c>
      <c r="M58" s="13">
        <v>4</v>
      </c>
      <c r="N58" s="13">
        <v>16</v>
      </c>
    </row>
    <row r="59" spans="1:14" x14ac:dyDescent="0.25">
      <c r="A59" s="13">
        <v>100</v>
      </c>
      <c r="B59" s="13">
        <v>1</v>
      </c>
      <c r="C59" s="11">
        <v>118</v>
      </c>
      <c r="D59" s="13">
        <v>148</v>
      </c>
      <c r="E59" s="11" t="s">
        <v>2490</v>
      </c>
      <c r="F59" s="13">
        <v>14</v>
      </c>
      <c r="G59" s="13">
        <v>14</v>
      </c>
      <c r="H59" s="13">
        <v>6</v>
      </c>
      <c r="I59" s="13">
        <v>4</v>
      </c>
      <c r="J59" s="13">
        <v>205</v>
      </c>
      <c r="K59" s="13">
        <v>170</v>
      </c>
      <c r="L59" s="13">
        <v>18</v>
      </c>
      <c r="M59" s="13">
        <v>4</v>
      </c>
      <c r="N59" s="13">
        <v>16</v>
      </c>
    </row>
    <row r="60" spans="1:14" ht="15" customHeight="1" x14ac:dyDescent="0.25">
      <c r="A60" s="12">
        <v>100</v>
      </c>
      <c r="B60" s="11" t="s">
        <v>2399</v>
      </c>
      <c r="C60" s="12">
        <v>118</v>
      </c>
      <c r="D60" s="12">
        <v>148</v>
      </c>
      <c r="E60" s="12" t="s">
        <v>2490</v>
      </c>
      <c r="F60" s="12">
        <v>14</v>
      </c>
      <c r="G60" s="12">
        <v>14</v>
      </c>
      <c r="H60" s="12">
        <v>6</v>
      </c>
      <c r="I60" s="12">
        <v>4</v>
      </c>
      <c r="J60" s="12">
        <v>205</v>
      </c>
      <c r="K60" s="12">
        <v>170</v>
      </c>
      <c r="L60" s="11">
        <v>18</v>
      </c>
      <c r="M60" s="11">
        <v>4</v>
      </c>
      <c r="N60" s="11">
        <v>16</v>
      </c>
    </row>
    <row r="61" spans="1:14" x14ac:dyDescent="0.25">
      <c r="A61" s="12">
        <v>100</v>
      </c>
      <c r="B61" s="13">
        <v>6</v>
      </c>
      <c r="C61" s="11">
        <v>112</v>
      </c>
      <c r="D61" s="12">
        <v>148</v>
      </c>
      <c r="E61" s="11">
        <v>110</v>
      </c>
      <c r="F61" s="12">
        <v>14</v>
      </c>
      <c r="G61" s="12">
        <v>14</v>
      </c>
      <c r="H61" s="12">
        <v>6</v>
      </c>
      <c r="I61" s="12">
        <v>4</v>
      </c>
      <c r="J61" s="12">
        <v>205</v>
      </c>
      <c r="K61" s="12">
        <v>170</v>
      </c>
      <c r="L61" s="12">
        <v>18</v>
      </c>
      <c r="M61" s="12">
        <v>4</v>
      </c>
      <c r="N61" s="12">
        <v>16</v>
      </c>
    </row>
    <row r="62" spans="1:14" x14ac:dyDescent="0.25">
      <c r="A62" s="12">
        <v>100</v>
      </c>
      <c r="B62" s="13">
        <v>6</v>
      </c>
      <c r="C62" s="11">
        <v>118</v>
      </c>
      <c r="D62" s="12">
        <v>148</v>
      </c>
      <c r="E62" s="11" t="s">
        <v>2490</v>
      </c>
      <c r="F62" s="12">
        <v>14</v>
      </c>
      <c r="G62" s="12">
        <v>14</v>
      </c>
      <c r="H62" s="12">
        <v>6</v>
      </c>
      <c r="I62" s="12">
        <v>4</v>
      </c>
      <c r="J62" s="12">
        <v>205</v>
      </c>
      <c r="K62" s="12">
        <v>170</v>
      </c>
      <c r="L62" s="12">
        <v>18</v>
      </c>
      <c r="M62" s="12">
        <v>4</v>
      </c>
      <c r="N62" s="12">
        <v>16</v>
      </c>
    </row>
    <row r="63" spans="1:14" x14ac:dyDescent="0.25">
      <c r="A63" s="12">
        <v>100</v>
      </c>
      <c r="B63" s="13">
        <v>10</v>
      </c>
      <c r="C63" s="11">
        <v>112</v>
      </c>
      <c r="D63" s="13">
        <v>158</v>
      </c>
      <c r="E63" s="11">
        <v>110</v>
      </c>
      <c r="F63" s="13">
        <v>24</v>
      </c>
      <c r="G63" s="13">
        <v>16</v>
      </c>
      <c r="H63" s="12">
        <v>6</v>
      </c>
      <c r="I63" s="12">
        <v>4</v>
      </c>
      <c r="J63" s="13">
        <v>215</v>
      </c>
      <c r="K63" s="13">
        <v>180</v>
      </c>
      <c r="L63" s="12">
        <v>18</v>
      </c>
      <c r="M63" s="13">
        <v>8</v>
      </c>
      <c r="N63" s="12">
        <v>16</v>
      </c>
    </row>
    <row r="64" spans="1:14" x14ac:dyDescent="0.25">
      <c r="A64" s="12">
        <v>100</v>
      </c>
      <c r="B64" s="13">
        <v>10</v>
      </c>
      <c r="C64" s="11">
        <v>118</v>
      </c>
      <c r="D64" s="13">
        <v>158</v>
      </c>
      <c r="E64" s="11">
        <v>116</v>
      </c>
      <c r="F64" s="13">
        <v>24</v>
      </c>
      <c r="G64" s="13">
        <v>16</v>
      </c>
      <c r="H64" s="12">
        <v>6</v>
      </c>
      <c r="I64" s="12">
        <v>4</v>
      </c>
      <c r="J64" s="13">
        <v>215</v>
      </c>
      <c r="K64" s="13">
        <v>180</v>
      </c>
      <c r="L64" s="12">
        <v>18</v>
      </c>
      <c r="M64" s="13">
        <v>8</v>
      </c>
      <c r="N64" s="12">
        <v>16</v>
      </c>
    </row>
    <row r="65" spans="1:14" x14ac:dyDescent="0.25">
      <c r="A65" s="12">
        <v>100</v>
      </c>
      <c r="B65" s="13">
        <v>16</v>
      </c>
      <c r="C65" s="11">
        <v>112</v>
      </c>
      <c r="D65" s="12">
        <v>158</v>
      </c>
      <c r="E65" s="11">
        <v>110</v>
      </c>
      <c r="F65" s="13">
        <v>26</v>
      </c>
      <c r="G65" s="13">
        <v>20</v>
      </c>
      <c r="H65" s="12">
        <v>6</v>
      </c>
      <c r="I65" s="12">
        <v>4</v>
      </c>
      <c r="J65" s="12">
        <v>215</v>
      </c>
      <c r="K65" s="12">
        <v>180</v>
      </c>
      <c r="L65" s="12">
        <v>18</v>
      </c>
      <c r="M65" s="12">
        <v>8</v>
      </c>
      <c r="N65" s="12">
        <v>16</v>
      </c>
    </row>
    <row r="66" spans="1:14" x14ac:dyDescent="0.25">
      <c r="A66" s="12">
        <v>100</v>
      </c>
      <c r="B66" s="13">
        <v>16</v>
      </c>
      <c r="C66" s="11">
        <v>118</v>
      </c>
      <c r="D66" s="12">
        <v>158</v>
      </c>
      <c r="E66" s="11">
        <v>116</v>
      </c>
      <c r="F66" s="13">
        <v>26</v>
      </c>
      <c r="G66" s="13">
        <v>20</v>
      </c>
      <c r="H66" s="12">
        <v>6</v>
      </c>
      <c r="I66" s="12">
        <v>4</v>
      </c>
      <c r="J66" s="12">
        <v>215</v>
      </c>
      <c r="K66" s="12">
        <v>180</v>
      </c>
      <c r="L66" s="12">
        <v>18</v>
      </c>
      <c r="M66" s="12">
        <v>8</v>
      </c>
      <c r="N66" s="12">
        <v>16</v>
      </c>
    </row>
    <row r="67" spans="1:14" x14ac:dyDescent="0.25">
      <c r="A67" s="12">
        <v>100</v>
      </c>
      <c r="B67" s="13">
        <v>25</v>
      </c>
      <c r="C67" s="11">
        <v>112</v>
      </c>
      <c r="D67" s="12">
        <v>158</v>
      </c>
      <c r="E67" s="14">
        <v>110116</v>
      </c>
      <c r="F67" s="13">
        <v>28</v>
      </c>
      <c r="G67" s="13">
        <v>22</v>
      </c>
      <c r="H67" s="12">
        <v>6</v>
      </c>
      <c r="I67" s="12">
        <v>4</v>
      </c>
      <c r="J67" s="13">
        <v>230</v>
      </c>
      <c r="K67" s="13">
        <v>190</v>
      </c>
      <c r="L67" s="13">
        <v>22</v>
      </c>
      <c r="M67" s="12">
        <v>8</v>
      </c>
      <c r="N67" s="13">
        <v>20</v>
      </c>
    </row>
    <row r="68" spans="1:14" x14ac:dyDescent="0.25">
      <c r="A68" s="12">
        <v>100</v>
      </c>
      <c r="B68" s="13">
        <v>25</v>
      </c>
      <c r="C68" s="11">
        <v>118</v>
      </c>
      <c r="D68" s="12">
        <v>158</v>
      </c>
      <c r="E68" s="14">
        <v>110116</v>
      </c>
      <c r="F68" s="13">
        <v>28</v>
      </c>
      <c r="G68" s="13">
        <v>22</v>
      </c>
      <c r="H68" s="12">
        <v>6</v>
      </c>
      <c r="I68" s="12">
        <v>4</v>
      </c>
      <c r="J68" s="13">
        <v>230</v>
      </c>
      <c r="K68" s="13">
        <v>190</v>
      </c>
      <c r="L68" s="13">
        <v>22</v>
      </c>
      <c r="M68" s="12">
        <v>8</v>
      </c>
      <c r="N68" s="13">
        <v>20</v>
      </c>
    </row>
    <row r="69" spans="1:14" x14ac:dyDescent="0.25">
      <c r="A69" s="13">
        <v>125</v>
      </c>
      <c r="B69" s="13">
        <v>1</v>
      </c>
      <c r="C69" s="11">
        <v>138</v>
      </c>
      <c r="D69" s="13">
        <v>178</v>
      </c>
      <c r="E69" s="11">
        <v>135</v>
      </c>
      <c r="F69" s="13">
        <v>14</v>
      </c>
      <c r="G69" s="13">
        <v>14</v>
      </c>
      <c r="H69" s="13">
        <v>6</v>
      </c>
      <c r="I69" s="13">
        <v>4</v>
      </c>
      <c r="J69" s="13">
        <v>235</v>
      </c>
      <c r="K69" s="13">
        <v>200</v>
      </c>
      <c r="L69" s="13">
        <v>18</v>
      </c>
      <c r="M69" s="13">
        <v>8</v>
      </c>
      <c r="N69" s="13">
        <v>16</v>
      </c>
    </row>
    <row r="70" spans="1:14" x14ac:dyDescent="0.25">
      <c r="A70" s="13">
        <v>125</v>
      </c>
      <c r="B70" s="13">
        <v>1</v>
      </c>
      <c r="C70" s="11">
        <v>145</v>
      </c>
      <c r="D70" s="13">
        <v>178</v>
      </c>
      <c r="E70" s="11">
        <v>142</v>
      </c>
      <c r="F70" s="13">
        <v>14</v>
      </c>
      <c r="G70" s="13">
        <v>14</v>
      </c>
      <c r="H70" s="13">
        <v>6</v>
      </c>
      <c r="I70" s="13">
        <v>4</v>
      </c>
      <c r="J70" s="13">
        <v>235</v>
      </c>
      <c r="K70" s="13">
        <v>200</v>
      </c>
      <c r="L70" s="13">
        <v>18</v>
      </c>
      <c r="M70" s="13">
        <v>8</v>
      </c>
      <c r="N70" s="13">
        <v>16</v>
      </c>
    </row>
    <row r="71" spans="1:14" ht="15" customHeight="1" x14ac:dyDescent="0.25">
      <c r="A71" s="12">
        <v>125</v>
      </c>
      <c r="B71" s="11" t="s">
        <v>2399</v>
      </c>
      <c r="C71" s="12">
        <v>145</v>
      </c>
      <c r="D71" s="12">
        <v>178</v>
      </c>
      <c r="E71" s="12">
        <v>142</v>
      </c>
      <c r="F71" s="12">
        <v>14</v>
      </c>
      <c r="G71" s="12">
        <v>14</v>
      </c>
      <c r="H71" s="12">
        <v>6</v>
      </c>
      <c r="I71" s="12">
        <v>4</v>
      </c>
      <c r="J71" s="12">
        <v>235</v>
      </c>
      <c r="K71" s="12">
        <v>200</v>
      </c>
      <c r="L71" s="11">
        <v>18</v>
      </c>
      <c r="M71" s="11">
        <v>8</v>
      </c>
      <c r="N71" s="11">
        <v>16</v>
      </c>
    </row>
    <row r="72" spans="1:14" x14ac:dyDescent="0.25">
      <c r="A72" s="12">
        <v>125</v>
      </c>
      <c r="B72" s="13">
        <v>6</v>
      </c>
      <c r="C72" s="11">
        <v>138</v>
      </c>
      <c r="D72" s="12">
        <v>178</v>
      </c>
      <c r="E72" s="11">
        <v>135</v>
      </c>
      <c r="F72" s="12">
        <v>14</v>
      </c>
      <c r="G72" s="12">
        <v>14</v>
      </c>
      <c r="H72" s="12">
        <v>6</v>
      </c>
      <c r="I72" s="12">
        <v>4</v>
      </c>
      <c r="J72" s="12">
        <v>235</v>
      </c>
      <c r="K72" s="12">
        <v>200</v>
      </c>
      <c r="L72" s="12">
        <v>18</v>
      </c>
      <c r="M72" s="12">
        <v>8</v>
      </c>
      <c r="N72" s="12">
        <v>16</v>
      </c>
    </row>
    <row r="73" spans="1:14" x14ac:dyDescent="0.25">
      <c r="A73" s="12">
        <v>125</v>
      </c>
      <c r="B73" s="13">
        <v>6</v>
      </c>
      <c r="C73" s="11">
        <v>145</v>
      </c>
      <c r="D73" s="12">
        <v>178</v>
      </c>
      <c r="E73" s="11">
        <v>142</v>
      </c>
      <c r="F73" s="12">
        <v>14</v>
      </c>
      <c r="G73" s="12">
        <v>14</v>
      </c>
      <c r="H73" s="12">
        <v>6</v>
      </c>
      <c r="I73" s="12">
        <v>4</v>
      </c>
      <c r="J73" s="12">
        <v>235</v>
      </c>
      <c r="K73" s="12">
        <v>200</v>
      </c>
      <c r="L73" s="12">
        <v>18</v>
      </c>
      <c r="M73" s="12">
        <v>8</v>
      </c>
      <c r="N73" s="12">
        <v>16</v>
      </c>
    </row>
    <row r="74" spans="1:14" x14ac:dyDescent="0.25">
      <c r="A74" s="12">
        <v>125</v>
      </c>
      <c r="B74" s="13">
        <v>10</v>
      </c>
      <c r="C74" s="11">
        <v>138</v>
      </c>
      <c r="D74" s="13">
        <v>184</v>
      </c>
      <c r="E74" s="11">
        <v>135</v>
      </c>
      <c r="F74" s="13">
        <v>26</v>
      </c>
      <c r="G74" s="13">
        <v>18</v>
      </c>
      <c r="H74" s="12">
        <v>6</v>
      </c>
      <c r="I74" s="12">
        <v>4</v>
      </c>
      <c r="J74" s="13">
        <v>245</v>
      </c>
      <c r="K74" s="13">
        <v>210</v>
      </c>
      <c r="L74" s="12">
        <v>18</v>
      </c>
      <c r="M74" s="12">
        <v>8</v>
      </c>
      <c r="N74" s="12">
        <v>16</v>
      </c>
    </row>
    <row r="75" spans="1:14" x14ac:dyDescent="0.25">
      <c r="A75" s="12">
        <v>125</v>
      </c>
      <c r="B75" s="13">
        <v>10</v>
      </c>
      <c r="C75" s="11">
        <v>145</v>
      </c>
      <c r="D75" s="13">
        <v>184</v>
      </c>
      <c r="E75" s="11">
        <v>142</v>
      </c>
      <c r="F75" s="13">
        <v>26</v>
      </c>
      <c r="G75" s="13">
        <v>18</v>
      </c>
      <c r="H75" s="12">
        <v>6</v>
      </c>
      <c r="I75" s="12">
        <v>4</v>
      </c>
      <c r="J75" s="13">
        <v>245</v>
      </c>
      <c r="K75" s="13">
        <v>210</v>
      </c>
      <c r="L75" s="12">
        <v>18</v>
      </c>
      <c r="M75" s="12">
        <v>8</v>
      </c>
      <c r="N75" s="12">
        <v>16</v>
      </c>
    </row>
    <row r="76" spans="1:14" x14ac:dyDescent="0.25">
      <c r="A76" s="12">
        <v>125</v>
      </c>
      <c r="B76" s="13">
        <v>16</v>
      </c>
      <c r="C76" s="11">
        <v>138</v>
      </c>
      <c r="D76" s="12">
        <v>184</v>
      </c>
      <c r="E76" s="11">
        <v>135</v>
      </c>
      <c r="F76" s="13">
        <v>28</v>
      </c>
      <c r="G76" s="13">
        <v>20</v>
      </c>
      <c r="H76" s="12">
        <v>6</v>
      </c>
      <c r="I76" s="12">
        <v>4</v>
      </c>
      <c r="J76" s="12">
        <v>245</v>
      </c>
      <c r="K76" s="12">
        <v>210</v>
      </c>
      <c r="L76" s="12">
        <v>18</v>
      </c>
      <c r="M76" s="12">
        <v>8</v>
      </c>
      <c r="N76" s="12">
        <v>16</v>
      </c>
    </row>
    <row r="77" spans="1:14" x14ac:dyDescent="0.25">
      <c r="A77" s="12">
        <v>125</v>
      </c>
      <c r="B77" s="13">
        <v>16</v>
      </c>
      <c r="C77" s="11">
        <v>145</v>
      </c>
      <c r="D77" s="12">
        <v>184</v>
      </c>
      <c r="E77" s="11">
        <v>142</v>
      </c>
      <c r="F77" s="13">
        <v>28</v>
      </c>
      <c r="G77" s="13">
        <v>20</v>
      </c>
      <c r="H77" s="12">
        <v>6</v>
      </c>
      <c r="I77" s="12">
        <v>4</v>
      </c>
      <c r="J77" s="12">
        <v>245</v>
      </c>
      <c r="K77" s="12">
        <v>210</v>
      </c>
      <c r="L77" s="12">
        <v>18</v>
      </c>
      <c r="M77" s="12">
        <v>8</v>
      </c>
      <c r="N77" s="12">
        <v>16</v>
      </c>
    </row>
    <row r="78" spans="1:14" x14ac:dyDescent="0.25">
      <c r="A78" s="12">
        <v>125</v>
      </c>
      <c r="B78" s="13">
        <v>25</v>
      </c>
      <c r="C78" s="11">
        <v>138</v>
      </c>
      <c r="D78" s="12">
        <v>184</v>
      </c>
      <c r="E78" s="11">
        <v>135</v>
      </c>
      <c r="F78" s="13">
        <v>30</v>
      </c>
      <c r="G78" s="13">
        <v>24</v>
      </c>
      <c r="H78" s="12">
        <v>6</v>
      </c>
      <c r="I78" s="12">
        <v>4</v>
      </c>
      <c r="J78" s="13">
        <v>270</v>
      </c>
      <c r="K78" s="13">
        <v>220</v>
      </c>
      <c r="L78" s="13">
        <v>26</v>
      </c>
      <c r="M78" s="12">
        <v>8</v>
      </c>
      <c r="N78" s="13">
        <v>24</v>
      </c>
    </row>
    <row r="79" spans="1:14" x14ac:dyDescent="0.25">
      <c r="A79" s="12">
        <v>125</v>
      </c>
      <c r="B79" s="13">
        <v>25</v>
      </c>
      <c r="C79" s="11">
        <v>145</v>
      </c>
      <c r="D79" s="12">
        <v>184</v>
      </c>
      <c r="E79" s="11">
        <v>142</v>
      </c>
      <c r="F79" s="13">
        <v>30</v>
      </c>
      <c r="G79" s="13">
        <v>24</v>
      </c>
      <c r="H79" s="12">
        <v>6</v>
      </c>
      <c r="I79" s="12">
        <v>4</v>
      </c>
      <c r="J79" s="13">
        <v>270</v>
      </c>
      <c r="K79" s="13">
        <v>220</v>
      </c>
      <c r="L79" s="13">
        <v>26</v>
      </c>
      <c r="M79" s="12">
        <v>8</v>
      </c>
      <c r="N79" s="13">
        <v>24</v>
      </c>
    </row>
    <row r="80" spans="1:14" ht="15" customHeight="1" x14ac:dyDescent="0.25">
      <c r="A80" s="13">
        <v>150</v>
      </c>
      <c r="B80" s="13">
        <v>1</v>
      </c>
      <c r="C80" s="11">
        <v>157</v>
      </c>
      <c r="D80" s="13">
        <v>202</v>
      </c>
      <c r="E80" s="13" t="s">
        <v>2495</v>
      </c>
      <c r="F80" s="13">
        <v>16</v>
      </c>
      <c r="G80" s="13">
        <v>16</v>
      </c>
      <c r="H80" s="13">
        <v>6</v>
      </c>
      <c r="I80" s="13">
        <v>4</v>
      </c>
      <c r="J80" s="13">
        <v>260</v>
      </c>
      <c r="K80" s="13">
        <v>225</v>
      </c>
      <c r="L80" s="13">
        <v>18</v>
      </c>
      <c r="M80" s="13">
        <v>8</v>
      </c>
      <c r="N80" s="13">
        <v>16</v>
      </c>
    </row>
    <row r="81" spans="1:14" ht="30" x14ac:dyDescent="0.25">
      <c r="A81" s="13">
        <v>150</v>
      </c>
      <c r="B81" s="13">
        <v>1</v>
      </c>
      <c r="C81" s="11">
        <v>164</v>
      </c>
      <c r="D81" s="13">
        <v>202</v>
      </c>
      <c r="E81" s="13" t="s">
        <v>2495</v>
      </c>
      <c r="F81" s="13">
        <v>16</v>
      </c>
      <c r="G81" s="13">
        <v>16</v>
      </c>
      <c r="H81" s="13">
        <v>6</v>
      </c>
      <c r="I81" s="13">
        <v>4</v>
      </c>
      <c r="J81" s="13">
        <v>260</v>
      </c>
      <c r="K81" s="13">
        <v>225</v>
      </c>
      <c r="L81" s="13">
        <v>18</v>
      </c>
      <c r="M81" s="13">
        <v>8</v>
      </c>
      <c r="N81" s="13">
        <v>16</v>
      </c>
    </row>
    <row r="82" spans="1:14" ht="30" x14ac:dyDescent="0.25">
      <c r="A82" s="13">
        <v>150</v>
      </c>
      <c r="B82" s="13">
        <v>1</v>
      </c>
      <c r="C82" s="11">
        <v>173</v>
      </c>
      <c r="D82" s="13">
        <v>202</v>
      </c>
      <c r="E82" s="13" t="s">
        <v>2495</v>
      </c>
      <c r="F82" s="13">
        <v>16</v>
      </c>
      <c r="G82" s="13">
        <v>16</v>
      </c>
      <c r="H82" s="13">
        <v>6</v>
      </c>
      <c r="I82" s="13">
        <v>4</v>
      </c>
      <c r="J82" s="13">
        <v>260</v>
      </c>
      <c r="K82" s="13">
        <v>225</v>
      </c>
      <c r="L82" s="13">
        <v>18</v>
      </c>
      <c r="M82" s="13">
        <v>8</v>
      </c>
      <c r="N82" s="13">
        <v>16</v>
      </c>
    </row>
    <row r="83" spans="1:14" ht="15" customHeight="1" x14ac:dyDescent="0.25">
      <c r="A83" s="12">
        <v>150</v>
      </c>
      <c r="B83" s="11" t="s">
        <v>2399</v>
      </c>
      <c r="C83" s="12">
        <v>173</v>
      </c>
      <c r="D83" s="12">
        <v>202</v>
      </c>
      <c r="E83" s="12" t="s">
        <v>2495</v>
      </c>
      <c r="F83" s="12">
        <v>16</v>
      </c>
      <c r="G83" s="12">
        <v>16</v>
      </c>
      <c r="H83" s="12">
        <v>6</v>
      </c>
      <c r="I83" s="12">
        <v>4</v>
      </c>
      <c r="J83" s="12">
        <v>260</v>
      </c>
      <c r="K83" s="12">
        <v>225</v>
      </c>
      <c r="L83" s="11">
        <v>18</v>
      </c>
      <c r="M83" s="11">
        <v>8</v>
      </c>
      <c r="N83" s="11">
        <v>16</v>
      </c>
    </row>
    <row r="84" spans="1:14" x14ac:dyDescent="0.25">
      <c r="A84" s="12">
        <v>150</v>
      </c>
      <c r="B84" s="13">
        <v>6</v>
      </c>
      <c r="C84" s="11">
        <v>157</v>
      </c>
      <c r="D84" s="12">
        <v>202</v>
      </c>
      <c r="E84" s="11">
        <v>154</v>
      </c>
      <c r="F84" s="13">
        <v>16</v>
      </c>
      <c r="G84" s="12">
        <v>16</v>
      </c>
      <c r="H84" s="12">
        <v>6</v>
      </c>
      <c r="I84" s="12">
        <v>4</v>
      </c>
      <c r="J84" s="12">
        <v>260</v>
      </c>
      <c r="K84" s="12">
        <v>225</v>
      </c>
      <c r="L84" s="12">
        <v>18</v>
      </c>
      <c r="M84" s="12">
        <v>8</v>
      </c>
      <c r="N84" s="12">
        <v>16</v>
      </c>
    </row>
    <row r="85" spans="1:14" x14ac:dyDescent="0.25">
      <c r="A85" s="12">
        <v>150</v>
      </c>
      <c r="B85" s="13">
        <v>6</v>
      </c>
      <c r="C85" s="11">
        <v>164</v>
      </c>
      <c r="D85" s="12">
        <v>202</v>
      </c>
      <c r="E85" s="11">
        <v>161</v>
      </c>
      <c r="F85" s="13">
        <v>16</v>
      </c>
      <c r="G85" s="12">
        <v>16</v>
      </c>
      <c r="H85" s="12">
        <v>6</v>
      </c>
      <c r="I85" s="12">
        <v>4</v>
      </c>
      <c r="J85" s="12">
        <v>260</v>
      </c>
      <c r="K85" s="12">
        <v>225</v>
      </c>
      <c r="L85" s="12">
        <v>18</v>
      </c>
      <c r="M85" s="12">
        <v>8</v>
      </c>
      <c r="N85" s="12">
        <v>16</v>
      </c>
    </row>
    <row r="86" spans="1:14" x14ac:dyDescent="0.25">
      <c r="A86" s="12">
        <v>150</v>
      </c>
      <c r="B86" s="13">
        <v>6</v>
      </c>
      <c r="C86" s="11">
        <v>173</v>
      </c>
      <c r="D86" s="12">
        <v>202</v>
      </c>
      <c r="E86" s="11" t="s">
        <v>2491</v>
      </c>
      <c r="F86" s="13">
        <v>16</v>
      </c>
      <c r="G86" s="12">
        <v>16</v>
      </c>
      <c r="H86" s="12">
        <v>6</v>
      </c>
      <c r="I86" s="12">
        <v>4</v>
      </c>
      <c r="J86" s="12">
        <v>260</v>
      </c>
      <c r="K86" s="12">
        <v>225</v>
      </c>
      <c r="L86" s="12">
        <v>18</v>
      </c>
      <c r="M86" s="12">
        <v>8</v>
      </c>
      <c r="N86" s="12">
        <v>16</v>
      </c>
    </row>
    <row r="87" spans="1:14" x14ac:dyDescent="0.25">
      <c r="A87" s="12">
        <v>150</v>
      </c>
      <c r="B87" s="13">
        <v>10</v>
      </c>
      <c r="C87" s="11">
        <v>157</v>
      </c>
      <c r="D87" s="13">
        <v>212</v>
      </c>
      <c r="E87" s="11">
        <v>154</v>
      </c>
      <c r="F87" s="13">
        <v>26</v>
      </c>
      <c r="G87" s="13">
        <v>18</v>
      </c>
      <c r="H87" s="12">
        <v>6</v>
      </c>
      <c r="I87" s="12">
        <v>4</v>
      </c>
      <c r="J87" s="13">
        <v>280</v>
      </c>
      <c r="K87" s="13">
        <v>240</v>
      </c>
      <c r="L87" s="13">
        <v>22</v>
      </c>
      <c r="M87" s="12">
        <v>8</v>
      </c>
      <c r="N87" s="13">
        <v>20</v>
      </c>
    </row>
    <row r="88" spans="1:14" x14ac:dyDescent="0.25">
      <c r="A88" s="12">
        <v>150</v>
      </c>
      <c r="B88" s="13">
        <v>10</v>
      </c>
      <c r="C88" s="11">
        <v>164</v>
      </c>
      <c r="D88" s="13">
        <v>212</v>
      </c>
      <c r="E88" s="11">
        <v>161</v>
      </c>
      <c r="F88" s="13">
        <v>26</v>
      </c>
      <c r="G88" s="13">
        <v>18</v>
      </c>
      <c r="H88" s="12">
        <v>6</v>
      </c>
      <c r="I88" s="12">
        <v>4</v>
      </c>
      <c r="J88" s="13">
        <v>280</v>
      </c>
      <c r="K88" s="13">
        <v>240</v>
      </c>
      <c r="L88" s="13">
        <v>22</v>
      </c>
      <c r="M88" s="12">
        <v>8</v>
      </c>
      <c r="N88" s="13">
        <v>20</v>
      </c>
    </row>
    <row r="89" spans="1:14" x14ac:dyDescent="0.25">
      <c r="A89" s="12">
        <v>150</v>
      </c>
      <c r="B89" s="13">
        <v>10</v>
      </c>
      <c r="C89" s="11">
        <v>173</v>
      </c>
      <c r="D89" s="13">
        <v>212</v>
      </c>
      <c r="E89" s="11">
        <v>170</v>
      </c>
      <c r="F89" s="13">
        <v>26</v>
      </c>
      <c r="G89" s="13">
        <v>18</v>
      </c>
      <c r="H89" s="12">
        <v>6</v>
      </c>
      <c r="I89" s="12">
        <v>4</v>
      </c>
      <c r="J89" s="13">
        <v>280</v>
      </c>
      <c r="K89" s="13">
        <v>240</v>
      </c>
      <c r="L89" s="13">
        <v>22</v>
      </c>
      <c r="M89" s="12">
        <v>8</v>
      </c>
      <c r="N89" s="13">
        <v>20</v>
      </c>
    </row>
    <row r="90" spans="1:14" x14ac:dyDescent="0.25">
      <c r="A90" s="12">
        <v>150</v>
      </c>
      <c r="B90" s="13">
        <v>16</v>
      </c>
      <c r="C90" s="11">
        <v>157</v>
      </c>
      <c r="D90" s="12">
        <v>212</v>
      </c>
      <c r="E90" s="11">
        <v>154</v>
      </c>
      <c r="F90" s="13">
        <v>28</v>
      </c>
      <c r="G90" s="13">
        <v>22</v>
      </c>
      <c r="H90" s="12">
        <v>6</v>
      </c>
      <c r="I90" s="12">
        <v>4</v>
      </c>
      <c r="J90" s="12">
        <v>280</v>
      </c>
      <c r="K90" s="12">
        <v>240</v>
      </c>
      <c r="L90" s="12">
        <v>22</v>
      </c>
      <c r="M90" s="12">
        <v>8</v>
      </c>
      <c r="N90" s="12">
        <v>20</v>
      </c>
    </row>
    <row r="91" spans="1:14" x14ac:dyDescent="0.25">
      <c r="A91" s="12">
        <v>150</v>
      </c>
      <c r="B91" s="13">
        <v>16</v>
      </c>
      <c r="C91" s="11">
        <v>164</v>
      </c>
      <c r="D91" s="12">
        <v>212</v>
      </c>
      <c r="E91" s="11">
        <v>161</v>
      </c>
      <c r="F91" s="13">
        <v>28</v>
      </c>
      <c r="G91" s="13">
        <v>22</v>
      </c>
      <c r="H91" s="12">
        <v>6</v>
      </c>
      <c r="I91" s="12">
        <v>4</v>
      </c>
      <c r="J91" s="12">
        <v>280</v>
      </c>
      <c r="K91" s="12">
        <v>240</v>
      </c>
      <c r="L91" s="12">
        <v>22</v>
      </c>
      <c r="M91" s="12">
        <v>8</v>
      </c>
      <c r="N91" s="12">
        <v>20</v>
      </c>
    </row>
    <row r="92" spans="1:14" x14ac:dyDescent="0.25">
      <c r="A92" s="12">
        <v>150</v>
      </c>
      <c r="B92" s="13">
        <v>16</v>
      </c>
      <c r="C92" s="11">
        <v>173</v>
      </c>
      <c r="D92" s="12">
        <v>212</v>
      </c>
      <c r="E92" s="11">
        <v>170</v>
      </c>
      <c r="F92" s="13">
        <v>28</v>
      </c>
      <c r="G92" s="13">
        <v>22</v>
      </c>
      <c r="H92" s="12">
        <v>6</v>
      </c>
      <c r="I92" s="12">
        <v>4</v>
      </c>
      <c r="J92" s="12">
        <v>280</v>
      </c>
      <c r="K92" s="12">
        <v>240</v>
      </c>
      <c r="L92" s="12">
        <v>22</v>
      </c>
      <c r="M92" s="12">
        <v>8</v>
      </c>
      <c r="N92" s="12">
        <v>20</v>
      </c>
    </row>
    <row r="93" spans="1:14" x14ac:dyDescent="0.25">
      <c r="A93" s="12">
        <v>150</v>
      </c>
      <c r="B93" s="13">
        <v>25</v>
      </c>
      <c r="C93" s="11">
        <v>157</v>
      </c>
      <c r="D93" s="12">
        <v>212</v>
      </c>
      <c r="E93" s="11">
        <v>154</v>
      </c>
      <c r="F93" s="13">
        <v>30</v>
      </c>
      <c r="G93" s="13">
        <v>24</v>
      </c>
      <c r="H93" s="12">
        <v>6</v>
      </c>
      <c r="I93" s="12">
        <v>4</v>
      </c>
      <c r="J93" s="13">
        <v>300</v>
      </c>
      <c r="K93" s="13">
        <v>250</v>
      </c>
      <c r="L93" s="13">
        <v>26</v>
      </c>
      <c r="M93" s="12">
        <v>8</v>
      </c>
      <c r="N93" s="13">
        <v>24</v>
      </c>
    </row>
    <row r="94" spans="1:14" x14ac:dyDescent="0.25">
      <c r="A94" s="12">
        <v>150</v>
      </c>
      <c r="B94" s="13">
        <v>25</v>
      </c>
      <c r="C94" s="11">
        <v>164</v>
      </c>
      <c r="D94" s="12">
        <v>212</v>
      </c>
      <c r="E94" s="11">
        <v>161</v>
      </c>
      <c r="F94" s="13">
        <v>30</v>
      </c>
      <c r="G94" s="13">
        <v>24</v>
      </c>
      <c r="H94" s="12">
        <v>6</v>
      </c>
      <c r="I94" s="12">
        <v>4</v>
      </c>
      <c r="J94" s="13">
        <v>300</v>
      </c>
      <c r="K94" s="13">
        <v>250</v>
      </c>
      <c r="L94" s="13">
        <v>26</v>
      </c>
      <c r="M94" s="12">
        <v>8</v>
      </c>
      <c r="N94" s="13">
        <v>24</v>
      </c>
    </row>
    <row r="95" spans="1:14" x14ac:dyDescent="0.25">
      <c r="A95" s="12">
        <v>150</v>
      </c>
      <c r="B95" s="13">
        <v>25</v>
      </c>
      <c r="C95" s="11">
        <v>173</v>
      </c>
      <c r="D95" s="12">
        <v>212</v>
      </c>
      <c r="E95" s="11">
        <v>170</v>
      </c>
      <c r="F95" s="13">
        <v>30</v>
      </c>
      <c r="G95" s="13">
        <v>24</v>
      </c>
      <c r="H95" s="12">
        <v>6</v>
      </c>
      <c r="I95" s="12">
        <v>4</v>
      </c>
      <c r="J95" s="13">
        <v>300</v>
      </c>
      <c r="K95" s="13">
        <v>250</v>
      </c>
      <c r="L95" s="13">
        <v>26</v>
      </c>
      <c r="M95" s="12">
        <v>8</v>
      </c>
      <c r="N95" s="13">
        <v>24</v>
      </c>
    </row>
    <row r="96" spans="1:14" ht="15" customHeight="1" x14ac:dyDescent="0.25">
      <c r="A96" s="11">
        <v>200</v>
      </c>
      <c r="B96" s="11">
        <v>1</v>
      </c>
      <c r="C96" s="11">
        <v>225</v>
      </c>
      <c r="D96" s="11">
        <v>258</v>
      </c>
      <c r="E96" s="11">
        <v>222</v>
      </c>
      <c r="F96" s="11">
        <v>18</v>
      </c>
      <c r="G96" s="11">
        <v>18</v>
      </c>
      <c r="H96" s="11">
        <v>8</v>
      </c>
      <c r="I96" s="11">
        <v>4</v>
      </c>
      <c r="J96" s="11">
        <v>315</v>
      </c>
      <c r="K96" s="11">
        <v>280</v>
      </c>
      <c r="L96" s="11">
        <v>18</v>
      </c>
      <c r="M96" s="11">
        <v>8</v>
      </c>
      <c r="N96" s="11">
        <v>16</v>
      </c>
    </row>
    <row r="97" spans="1:14" ht="15" customHeight="1" x14ac:dyDescent="0.25">
      <c r="A97" s="12">
        <v>200</v>
      </c>
      <c r="B97" s="11" t="s">
        <v>2399</v>
      </c>
      <c r="C97" s="12">
        <v>225</v>
      </c>
      <c r="D97" s="12">
        <v>258</v>
      </c>
      <c r="E97" s="12">
        <v>222</v>
      </c>
      <c r="F97" s="12">
        <v>18</v>
      </c>
      <c r="G97" s="12">
        <v>18</v>
      </c>
      <c r="H97" s="12">
        <v>8</v>
      </c>
      <c r="I97" s="12">
        <v>4</v>
      </c>
      <c r="J97" s="12">
        <v>315</v>
      </c>
      <c r="K97" s="12">
        <v>280</v>
      </c>
      <c r="L97" s="11">
        <v>18</v>
      </c>
      <c r="M97" s="12">
        <v>8</v>
      </c>
      <c r="N97" s="11">
        <v>16</v>
      </c>
    </row>
    <row r="98" spans="1:14" x14ac:dyDescent="0.25">
      <c r="A98" s="12">
        <v>200</v>
      </c>
      <c r="B98" s="11">
        <v>6</v>
      </c>
      <c r="C98" s="12">
        <v>225</v>
      </c>
      <c r="D98" s="12">
        <v>258</v>
      </c>
      <c r="E98" s="12">
        <v>222</v>
      </c>
      <c r="F98" s="12">
        <v>18</v>
      </c>
      <c r="G98" s="12">
        <v>18</v>
      </c>
      <c r="H98" s="12">
        <v>8</v>
      </c>
      <c r="I98" s="12">
        <v>4</v>
      </c>
      <c r="J98" s="12">
        <v>315</v>
      </c>
      <c r="K98" s="12">
        <v>280</v>
      </c>
      <c r="L98" s="12">
        <v>18</v>
      </c>
      <c r="M98" s="12">
        <v>8</v>
      </c>
      <c r="N98" s="12">
        <v>16</v>
      </c>
    </row>
    <row r="99" spans="1:14" ht="15" customHeight="1" x14ac:dyDescent="0.25">
      <c r="A99" s="12">
        <v>200</v>
      </c>
      <c r="B99" s="11">
        <v>10</v>
      </c>
      <c r="C99" s="12">
        <v>225</v>
      </c>
      <c r="D99" s="11">
        <v>268</v>
      </c>
      <c r="E99" s="12">
        <v>222</v>
      </c>
      <c r="F99" s="11">
        <v>26</v>
      </c>
      <c r="G99" s="11">
        <v>20</v>
      </c>
      <c r="H99" s="12">
        <v>8</v>
      </c>
      <c r="I99" s="12">
        <v>4</v>
      </c>
      <c r="J99" s="11">
        <v>335</v>
      </c>
      <c r="K99" s="11">
        <v>295</v>
      </c>
      <c r="L99" s="11">
        <v>22</v>
      </c>
      <c r="M99" s="12">
        <v>8</v>
      </c>
      <c r="N99" s="11">
        <v>20</v>
      </c>
    </row>
    <row r="100" spans="1:14" ht="15" customHeight="1" x14ac:dyDescent="0.25">
      <c r="A100" s="12">
        <v>200</v>
      </c>
      <c r="B100" s="11">
        <v>16</v>
      </c>
      <c r="C100" s="12">
        <v>225</v>
      </c>
      <c r="D100" s="12">
        <v>268</v>
      </c>
      <c r="E100" s="12">
        <v>222</v>
      </c>
      <c r="F100" s="11">
        <v>28</v>
      </c>
      <c r="G100" s="11">
        <v>22</v>
      </c>
      <c r="H100" s="12">
        <v>8</v>
      </c>
      <c r="I100" s="12">
        <v>4</v>
      </c>
      <c r="J100" s="12">
        <v>335</v>
      </c>
      <c r="K100" s="12">
        <v>295</v>
      </c>
      <c r="L100" s="12">
        <v>22</v>
      </c>
      <c r="M100" s="11">
        <v>12</v>
      </c>
      <c r="N100" s="12">
        <v>20</v>
      </c>
    </row>
    <row r="101" spans="1:14" ht="15" customHeight="1" x14ac:dyDescent="0.25">
      <c r="A101" s="12">
        <v>200</v>
      </c>
      <c r="B101" s="11">
        <v>25</v>
      </c>
      <c r="C101" s="12">
        <v>225</v>
      </c>
      <c r="D101" s="11">
        <v>278</v>
      </c>
      <c r="E101" s="12">
        <v>222</v>
      </c>
      <c r="F101" s="11">
        <v>30</v>
      </c>
      <c r="G101" s="11">
        <v>24</v>
      </c>
      <c r="H101" s="12">
        <v>8</v>
      </c>
      <c r="I101" s="12">
        <v>4</v>
      </c>
      <c r="J101" s="11">
        <v>360</v>
      </c>
      <c r="K101" s="11">
        <v>310</v>
      </c>
      <c r="L101" s="11">
        <v>26</v>
      </c>
      <c r="M101" s="12">
        <v>12</v>
      </c>
      <c r="N101" s="11">
        <v>24</v>
      </c>
    </row>
    <row r="102" spans="1:14" x14ac:dyDescent="0.25">
      <c r="A102" s="11">
        <v>250</v>
      </c>
      <c r="B102" s="11">
        <v>1</v>
      </c>
      <c r="C102" s="11">
        <v>279</v>
      </c>
      <c r="D102" s="11">
        <v>312</v>
      </c>
      <c r="E102" s="11">
        <v>273</v>
      </c>
      <c r="F102" s="11">
        <v>20</v>
      </c>
      <c r="G102" s="11">
        <v>18</v>
      </c>
      <c r="H102" s="11">
        <v>11</v>
      </c>
      <c r="I102" s="11">
        <v>6</v>
      </c>
      <c r="J102" s="11">
        <v>370</v>
      </c>
      <c r="K102" s="11">
        <v>335</v>
      </c>
      <c r="L102" s="11">
        <v>18</v>
      </c>
      <c r="M102" s="11">
        <v>12</v>
      </c>
      <c r="N102" s="11">
        <v>16</v>
      </c>
    </row>
    <row r="103" spans="1:14" ht="15" customHeight="1" x14ac:dyDescent="0.25">
      <c r="A103" s="12">
        <v>250</v>
      </c>
      <c r="B103" s="11" t="s">
        <v>2399</v>
      </c>
      <c r="C103" s="12">
        <v>279</v>
      </c>
      <c r="D103" s="12">
        <v>312</v>
      </c>
      <c r="E103" s="12">
        <v>273</v>
      </c>
      <c r="F103" s="12">
        <v>20</v>
      </c>
      <c r="G103" s="12">
        <v>18</v>
      </c>
      <c r="H103" s="12">
        <v>11</v>
      </c>
      <c r="I103" s="12">
        <v>6</v>
      </c>
      <c r="J103" s="12">
        <v>370</v>
      </c>
      <c r="K103" s="12">
        <v>335</v>
      </c>
      <c r="L103" s="11">
        <v>18</v>
      </c>
      <c r="M103" s="11">
        <v>12</v>
      </c>
      <c r="N103" s="11">
        <v>16</v>
      </c>
    </row>
    <row r="104" spans="1:14" x14ac:dyDescent="0.25">
      <c r="A104" s="12">
        <v>250</v>
      </c>
      <c r="B104" s="11">
        <v>6</v>
      </c>
      <c r="C104" s="12">
        <v>279</v>
      </c>
      <c r="D104" s="12">
        <v>312</v>
      </c>
      <c r="E104" s="12">
        <v>273</v>
      </c>
      <c r="F104" s="12">
        <v>20</v>
      </c>
      <c r="G104" s="12">
        <v>18</v>
      </c>
      <c r="H104" s="12">
        <v>11</v>
      </c>
      <c r="I104" s="12">
        <v>6</v>
      </c>
      <c r="J104" s="12">
        <v>370</v>
      </c>
      <c r="K104" s="12">
        <v>335</v>
      </c>
      <c r="L104" s="12">
        <v>18</v>
      </c>
      <c r="M104" s="12">
        <v>12</v>
      </c>
      <c r="N104" s="12">
        <v>16</v>
      </c>
    </row>
    <row r="105" spans="1:14" ht="15" customHeight="1" x14ac:dyDescent="0.25">
      <c r="A105" s="12">
        <v>250</v>
      </c>
      <c r="B105" s="11">
        <v>10</v>
      </c>
      <c r="C105" s="12">
        <v>279</v>
      </c>
      <c r="D105" s="11">
        <v>320</v>
      </c>
      <c r="E105" s="12">
        <v>273</v>
      </c>
      <c r="F105" s="11">
        <v>28</v>
      </c>
      <c r="G105" s="11">
        <v>22</v>
      </c>
      <c r="H105" s="12">
        <v>11</v>
      </c>
      <c r="I105" s="12">
        <v>6</v>
      </c>
      <c r="J105" s="11">
        <v>390</v>
      </c>
      <c r="K105" s="11">
        <v>350</v>
      </c>
      <c r="L105" s="11">
        <v>22</v>
      </c>
      <c r="M105" s="12">
        <v>12</v>
      </c>
      <c r="N105" s="11">
        <v>20</v>
      </c>
    </row>
    <row r="106" spans="1:14" ht="15" customHeight="1" x14ac:dyDescent="0.25">
      <c r="A106" s="12">
        <v>250</v>
      </c>
      <c r="B106" s="11">
        <v>16</v>
      </c>
      <c r="C106" s="12">
        <v>279</v>
      </c>
      <c r="D106" s="12">
        <v>320</v>
      </c>
      <c r="E106" s="12">
        <v>273</v>
      </c>
      <c r="F106" s="11">
        <v>30</v>
      </c>
      <c r="G106" s="11">
        <v>24</v>
      </c>
      <c r="H106" s="12">
        <v>11</v>
      </c>
      <c r="I106" s="12">
        <v>6</v>
      </c>
      <c r="J106" s="11">
        <v>405</v>
      </c>
      <c r="K106" s="11">
        <v>355</v>
      </c>
      <c r="L106" s="11">
        <v>26</v>
      </c>
      <c r="M106" s="12">
        <v>12</v>
      </c>
      <c r="N106" s="11">
        <v>24</v>
      </c>
    </row>
    <row r="107" spans="1:14" ht="15" customHeight="1" x14ac:dyDescent="0.25">
      <c r="A107" s="12">
        <v>250</v>
      </c>
      <c r="B107" s="11">
        <v>25</v>
      </c>
      <c r="C107" s="12">
        <v>279</v>
      </c>
      <c r="D107" s="11">
        <v>335</v>
      </c>
      <c r="E107" s="12">
        <v>273</v>
      </c>
      <c r="F107" s="11">
        <v>32</v>
      </c>
      <c r="G107" s="11">
        <v>26</v>
      </c>
      <c r="H107" s="12">
        <v>11</v>
      </c>
      <c r="I107" s="12">
        <v>6</v>
      </c>
      <c r="J107" s="13">
        <v>425</v>
      </c>
      <c r="K107" s="13">
        <v>370</v>
      </c>
      <c r="L107" s="11">
        <v>30</v>
      </c>
      <c r="M107" s="12">
        <v>12</v>
      </c>
      <c r="N107" s="11">
        <v>27</v>
      </c>
    </row>
    <row r="108" spans="1:14" x14ac:dyDescent="0.25">
      <c r="A108" s="11">
        <v>300</v>
      </c>
      <c r="B108" s="11">
        <v>1</v>
      </c>
      <c r="C108" s="11">
        <v>331</v>
      </c>
      <c r="D108" s="11">
        <v>365</v>
      </c>
      <c r="E108" s="11">
        <v>325</v>
      </c>
      <c r="F108" s="11">
        <v>24</v>
      </c>
      <c r="G108" s="11">
        <v>20</v>
      </c>
      <c r="H108" s="11">
        <v>11</v>
      </c>
      <c r="I108" s="11">
        <v>6</v>
      </c>
      <c r="J108" s="11">
        <v>435</v>
      </c>
      <c r="K108" s="11">
        <v>395</v>
      </c>
      <c r="L108" s="11">
        <v>22</v>
      </c>
      <c r="M108" s="11">
        <v>12</v>
      </c>
      <c r="N108" s="11">
        <v>20</v>
      </c>
    </row>
    <row r="109" spans="1:14" ht="15" customHeight="1" x14ac:dyDescent="0.25">
      <c r="A109" s="12">
        <v>300</v>
      </c>
      <c r="B109" s="11" t="s">
        <v>2399</v>
      </c>
      <c r="C109" s="12">
        <v>331</v>
      </c>
      <c r="D109" s="12">
        <v>365</v>
      </c>
      <c r="E109" s="12">
        <v>325</v>
      </c>
      <c r="F109" s="12">
        <v>24</v>
      </c>
      <c r="G109" s="12">
        <v>20</v>
      </c>
      <c r="H109" s="12">
        <v>11</v>
      </c>
      <c r="I109" s="12">
        <v>6</v>
      </c>
      <c r="J109" s="12">
        <v>435</v>
      </c>
      <c r="K109" s="12">
        <v>395</v>
      </c>
      <c r="L109" s="11">
        <v>22</v>
      </c>
      <c r="M109" s="11">
        <v>12</v>
      </c>
      <c r="N109" s="11">
        <v>20</v>
      </c>
    </row>
    <row r="110" spans="1:14" x14ac:dyDescent="0.25">
      <c r="A110" s="12">
        <v>300</v>
      </c>
      <c r="B110" s="11">
        <v>6</v>
      </c>
      <c r="C110" s="12">
        <v>331</v>
      </c>
      <c r="D110" s="12">
        <v>365</v>
      </c>
      <c r="E110" s="12">
        <v>325</v>
      </c>
      <c r="F110" s="12">
        <v>24</v>
      </c>
      <c r="G110" s="12">
        <v>20</v>
      </c>
      <c r="H110" s="12">
        <v>11</v>
      </c>
      <c r="I110" s="12">
        <v>6</v>
      </c>
      <c r="J110" s="12">
        <v>435</v>
      </c>
      <c r="K110" s="12">
        <v>395</v>
      </c>
      <c r="L110" s="12">
        <v>22</v>
      </c>
      <c r="M110" s="12">
        <v>12</v>
      </c>
      <c r="N110" s="12">
        <v>20</v>
      </c>
    </row>
    <row r="111" spans="1:14" ht="15" customHeight="1" x14ac:dyDescent="0.25">
      <c r="A111" s="12">
        <v>300</v>
      </c>
      <c r="B111" s="11">
        <v>10</v>
      </c>
      <c r="C111" s="12">
        <v>331</v>
      </c>
      <c r="D111" s="11">
        <v>370</v>
      </c>
      <c r="E111" s="12">
        <v>325</v>
      </c>
      <c r="F111" s="11">
        <v>30</v>
      </c>
      <c r="G111" s="11">
        <v>22</v>
      </c>
      <c r="H111" s="12">
        <v>11</v>
      </c>
      <c r="I111" s="12">
        <v>6</v>
      </c>
      <c r="J111" s="13">
        <v>440</v>
      </c>
      <c r="K111" s="13">
        <v>400</v>
      </c>
      <c r="L111" s="12">
        <v>22</v>
      </c>
      <c r="M111" s="12">
        <v>12</v>
      </c>
      <c r="N111" s="12">
        <v>20</v>
      </c>
    </row>
    <row r="112" spans="1:14" ht="15" customHeight="1" x14ac:dyDescent="0.25">
      <c r="A112" s="12">
        <v>300</v>
      </c>
      <c r="B112" s="11">
        <v>16</v>
      </c>
      <c r="C112" s="12">
        <v>331</v>
      </c>
      <c r="D112" s="12">
        <v>370</v>
      </c>
      <c r="E112" s="12">
        <v>325</v>
      </c>
      <c r="F112" s="11">
        <v>32</v>
      </c>
      <c r="G112" s="11">
        <v>24</v>
      </c>
      <c r="H112" s="12">
        <v>11</v>
      </c>
      <c r="I112" s="12">
        <v>6</v>
      </c>
      <c r="J112" s="13">
        <v>460</v>
      </c>
      <c r="K112" s="13">
        <v>410</v>
      </c>
      <c r="L112" s="11">
        <v>26</v>
      </c>
      <c r="M112" s="12">
        <v>12</v>
      </c>
      <c r="N112" s="11">
        <v>24</v>
      </c>
    </row>
    <row r="113" spans="1:14" ht="15" customHeight="1" x14ac:dyDescent="0.25">
      <c r="A113" s="12">
        <v>300</v>
      </c>
      <c r="B113" s="11">
        <v>25</v>
      </c>
      <c r="C113" s="12">
        <v>331</v>
      </c>
      <c r="D113" s="11">
        <v>390</v>
      </c>
      <c r="E113" s="12">
        <v>325</v>
      </c>
      <c r="F113" s="11">
        <v>34</v>
      </c>
      <c r="G113" s="11">
        <v>26</v>
      </c>
      <c r="H113" s="12">
        <v>11</v>
      </c>
      <c r="I113" s="12">
        <v>6</v>
      </c>
      <c r="J113" s="11">
        <v>485</v>
      </c>
      <c r="K113" s="11">
        <v>430</v>
      </c>
      <c r="L113" s="11">
        <v>30</v>
      </c>
      <c r="M113" s="11">
        <v>16</v>
      </c>
      <c r="N113" s="11">
        <v>27</v>
      </c>
    </row>
    <row r="114" spans="1:14" x14ac:dyDescent="0.25">
      <c r="A114" s="11">
        <v>350</v>
      </c>
      <c r="B114" s="11">
        <v>1</v>
      </c>
      <c r="C114" s="11">
        <v>383</v>
      </c>
      <c r="D114" s="11">
        <v>415</v>
      </c>
      <c r="E114" s="11">
        <v>377</v>
      </c>
      <c r="F114" s="11">
        <v>28</v>
      </c>
      <c r="G114" s="11">
        <v>20</v>
      </c>
      <c r="H114" s="11">
        <v>12</v>
      </c>
      <c r="I114" s="11">
        <v>7</v>
      </c>
      <c r="J114" s="11">
        <v>485</v>
      </c>
      <c r="K114" s="11">
        <v>445</v>
      </c>
      <c r="L114" s="11">
        <v>22</v>
      </c>
      <c r="M114" s="11">
        <v>12</v>
      </c>
      <c r="N114" s="11">
        <v>20</v>
      </c>
    </row>
    <row r="115" spans="1:14" ht="15" customHeight="1" x14ac:dyDescent="0.25">
      <c r="A115" s="12">
        <v>350</v>
      </c>
      <c r="B115" s="11" t="s">
        <v>2399</v>
      </c>
      <c r="C115" s="12">
        <v>383</v>
      </c>
      <c r="D115" s="12">
        <v>415</v>
      </c>
      <c r="E115" s="12">
        <v>377</v>
      </c>
      <c r="F115" s="12">
        <v>28</v>
      </c>
      <c r="G115" s="12">
        <v>20</v>
      </c>
      <c r="H115" s="12">
        <v>12</v>
      </c>
      <c r="I115" s="12">
        <v>7</v>
      </c>
      <c r="J115" s="12">
        <v>485</v>
      </c>
      <c r="K115" s="12">
        <v>445</v>
      </c>
      <c r="L115" s="11">
        <v>22</v>
      </c>
      <c r="M115" s="11">
        <v>12</v>
      </c>
      <c r="N115" s="11">
        <v>20</v>
      </c>
    </row>
    <row r="116" spans="1:14" x14ac:dyDescent="0.25">
      <c r="A116" s="12">
        <v>350</v>
      </c>
      <c r="B116" s="11">
        <v>6</v>
      </c>
      <c r="C116" s="12">
        <v>383</v>
      </c>
      <c r="D116" s="12">
        <v>415</v>
      </c>
      <c r="E116" s="12">
        <v>377</v>
      </c>
      <c r="F116" s="12">
        <v>28</v>
      </c>
      <c r="G116" s="12">
        <v>20</v>
      </c>
      <c r="H116" s="12">
        <v>12</v>
      </c>
      <c r="I116" s="12">
        <v>7</v>
      </c>
      <c r="J116" s="12">
        <v>485</v>
      </c>
      <c r="K116" s="12">
        <v>445</v>
      </c>
      <c r="L116" s="12">
        <v>22</v>
      </c>
      <c r="M116" s="12">
        <v>12</v>
      </c>
      <c r="N116" s="12">
        <v>20</v>
      </c>
    </row>
    <row r="117" spans="1:14" ht="15" customHeight="1" x14ac:dyDescent="0.25">
      <c r="A117" s="12">
        <v>350</v>
      </c>
      <c r="B117" s="11">
        <v>10</v>
      </c>
      <c r="C117" s="12">
        <v>383</v>
      </c>
      <c r="D117" s="11">
        <v>430</v>
      </c>
      <c r="E117" s="12">
        <v>377</v>
      </c>
      <c r="F117" s="11">
        <v>32</v>
      </c>
      <c r="G117" s="11">
        <v>24</v>
      </c>
      <c r="H117" s="12">
        <v>12</v>
      </c>
      <c r="I117" s="12">
        <v>7</v>
      </c>
      <c r="J117" s="11">
        <v>500</v>
      </c>
      <c r="K117" s="11">
        <v>460</v>
      </c>
      <c r="L117" s="12">
        <v>22</v>
      </c>
      <c r="M117" s="11">
        <v>16</v>
      </c>
      <c r="N117" s="12">
        <v>20</v>
      </c>
    </row>
    <row r="118" spans="1:14" ht="15" customHeight="1" x14ac:dyDescent="0.25">
      <c r="A118" s="12">
        <v>350</v>
      </c>
      <c r="B118" s="11">
        <v>16</v>
      </c>
      <c r="C118" s="12">
        <v>383</v>
      </c>
      <c r="D118" s="12">
        <v>430</v>
      </c>
      <c r="E118" s="12">
        <v>377</v>
      </c>
      <c r="F118" s="11">
        <v>34</v>
      </c>
      <c r="G118" s="11">
        <v>26</v>
      </c>
      <c r="H118" s="12">
        <v>12</v>
      </c>
      <c r="I118" s="12">
        <v>7</v>
      </c>
      <c r="J118" s="13">
        <v>520</v>
      </c>
      <c r="K118" s="13">
        <v>470</v>
      </c>
      <c r="L118" s="11">
        <v>26</v>
      </c>
      <c r="M118" s="12">
        <v>16</v>
      </c>
      <c r="N118" s="11">
        <v>24</v>
      </c>
    </row>
    <row r="119" spans="1:14" ht="15" customHeight="1" x14ac:dyDescent="0.25">
      <c r="A119" s="12">
        <v>350</v>
      </c>
      <c r="B119" s="11">
        <v>25</v>
      </c>
      <c r="C119" s="12">
        <v>383</v>
      </c>
      <c r="D119" s="11">
        <v>450</v>
      </c>
      <c r="E119" s="12">
        <v>377</v>
      </c>
      <c r="F119" s="11">
        <v>38</v>
      </c>
      <c r="G119" s="11">
        <v>28</v>
      </c>
      <c r="H119" s="12">
        <v>12</v>
      </c>
      <c r="I119" s="12">
        <v>7</v>
      </c>
      <c r="J119" s="11">
        <v>550</v>
      </c>
      <c r="K119" s="11">
        <v>490</v>
      </c>
      <c r="L119" s="11">
        <v>33</v>
      </c>
      <c r="M119" s="12">
        <v>16</v>
      </c>
      <c r="N119" s="11">
        <v>30</v>
      </c>
    </row>
    <row r="120" spans="1:14" x14ac:dyDescent="0.25">
      <c r="A120" s="11">
        <v>400</v>
      </c>
      <c r="B120" s="11">
        <v>1</v>
      </c>
      <c r="C120" s="11">
        <v>433</v>
      </c>
      <c r="D120" s="11">
        <v>465</v>
      </c>
      <c r="E120" s="11">
        <v>426</v>
      </c>
      <c r="F120" s="11">
        <v>32</v>
      </c>
      <c r="G120" s="11">
        <v>24</v>
      </c>
      <c r="H120" s="11">
        <v>12</v>
      </c>
      <c r="I120" s="11">
        <v>7</v>
      </c>
      <c r="J120" s="11">
        <v>535</v>
      </c>
      <c r="K120" s="11">
        <v>495</v>
      </c>
      <c r="L120" s="11">
        <v>22</v>
      </c>
      <c r="M120" s="11">
        <v>16</v>
      </c>
      <c r="N120" s="11">
        <v>20</v>
      </c>
    </row>
    <row r="121" spans="1:14" ht="15" customHeight="1" x14ac:dyDescent="0.25">
      <c r="A121" s="12">
        <v>400</v>
      </c>
      <c r="B121" s="11" t="s">
        <v>2399</v>
      </c>
      <c r="C121" s="12">
        <v>433</v>
      </c>
      <c r="D121" s="12">
        <v>465</v>
      </c>
      <c r="E121" s="12">
        <v>426</v>
      </c>
      <c r="F121" s="12">
        <v>32</v>
      </c>
      <c r="G121" s="12">
        <v>24</v>
      </c>
      <c r="H121" s="12">
        <v>12</v>
      </c>
      <c r="I121" s="12">
        <v>7</v>
      </c>
      <c r="J121" s="12">
        <v>535</v>
      </c>
      <c r="K121" s="12">
        <v>495</v>
      </c>
      <c r="L121" s="11">
        <v>22</v>
      </c>
      <c r="M121" s="11">
        <v>16</v>
      </c>
      <c r="N121" s="11">
        <v>20</v>
      </c>
    </row>
    <row r="122" spans="1:14" x14ac:dyDescent="0.25">
      <c r="A122" s="12">
        <v>400</v>
      </c>
      <c r="B122" s="11">
        <v>6</v>
      </c>
      <c r="C122" s="12">
        <v>433</v>
      </c>
      <c r="D122" s="12">
        <v>465</v>
      </c>
      <c r="E122" s="12">
        <v>426</v>
      </c>
      <c r="F122" s="12">
        <v>32</v>
      </c>
      <c r="G122" s="12">
        <v>24</v>
      </c>
      <c r="H122" s="12">
        <v>12</v>
      </c>
      <c r="I122" s="12">
        <v>7</v>
      </c>
      <c r="J122" s="12">
        <v>535</v>
      </c>
      <c r="K122" s="12">
        <v>495</v>
      </c>
      <c r="L122" s="12">
        <v>22</v>
      </c>
      <c r="M122" s="12">
        <v>16</v>
      </c>
      <c r="N122" s="12">
        <v>20</v>
      </c>
    </row>
    <row r="123" spans="1:14" ht="15" customHeight="1" x14ac:dyDescent="0.25">
      <c r="A123" s="12">
        <v>400</v>
      </c>
      <c r="B123" s="11">
        <v>10</v>
      </c>
      <c r="C123" s="12">
        <v>433</v>
      </c>
      <c r="D123" s="11">
        <v>482</v>
      </c>
      <c r="E123" s="12">
        <v>426</v>
      </c>
      <c r="F123" s="11">
        <v>34</v>
      </c>
      <c r="G123" s="11">
        <v>26</v>
      </c>
      <c r="H123" s="12">
        <v>12</v>
      </c>
      <c r="I123" s="12">
        <v>7</v>
      </c>
      <c r="J123" s="11">
        <v>565</v>
      </c>
      <c r="K123" s="11">
        <v>515</v>
      </c>
      <c r="L123" s="11">
        <v>26</v>
      </c>
      <c r="M123" s="12">
        <v>16</v>
      </c>
      <c r="N123" s="11">
        <v>24</v>
      </c>
    </row>
    <row r="124" spans="1:14" ht="15" customHeight="1" x14ac:dyDescent="0.25">
      <c r="A124" s="12">
        <v>400</v>
      </c>
      <c r="B124" s="11">
        <v>16</v>
      </c>
      <c r="C124" s="12">
        <v>433</v>
      </c>
      <c r="D124" s="12">
        <v>482</v>
      </c>
      <c r="E124" s="12">
        <v>426</v>
      </c>
      <c r="F124" s="11">
        <v>36</v>
      </c>
      <c r="G124" s="11">
        <v>28</v>
      </c>
      <c r="H124" s="12">
        <v>12</v>
      </c>
      <c r="I124" s="12">
        <v>7</v>
      </c>
      <c r="J124" s="13">
        <v>580</v>
      </c>
      <c r="K124" s="13">
        <v>525</v>
      </c>
      <c r="L124" s="11">
        <v>30</v>
      </c>
      <c r="M124" s="12">
        <v>16</v>
      </c>
      <c r="N124" s="11">
        <v>27</v>
      </c>
    </row>
    <row r="125" spans="1:14" x14ac:dyDescent="0.25">
      <c r="A125" s="12">
        <v>400</v>
      </c>
      <c r="B125" s="11">
        <v>25</v>
      </c>
      <c r="C125" s="12">
        <v>433</v>
      </c>
      <c r="D125" s="11">
        <v>505</v>
      </c>
      <c r="E125" s="12">
        <v>426</v>
      </c>
      <c r="F125" s="11">
        <v>42</v>
      </c>
      <c r="G125" s="11">
        <v>30</v>
      </c>
      <c r="H125" s="12">
        <v>12</v>
      </c>
      <c r="I125" s="12">
        <v>7</v>
      </c>
      <c r="J125" s="11">
        <v>610</v>
      </c>
      <c r="K125" s="11">
        <v>550</v>
      </c>
      <c r="L125" s="11">
        <v>33</v>
      </c>
      <c r="M125" s="12">
        <v>16</v>
      </c>
      <c r="N125" s="11">
        <v>30</v>
      </c>
    </row>
    <row r="126" spans="1:14" x14ac:dyDescent="0.25">
      <c r="A126" s="11">
        <v>450</v>
      </c>
      <c r="B126" s="11">
        <v>1</v>
      </c>
      <c r="C126" s="11">
        <v>487</v>
      </c>
      <c r="D126" s="11">
        <v>520</v>
      </c>
      <c r="E126" s="11">
        <v>480</v>
      </c>
      <c r="F126" s="11">
        <v>34</v>
      </c>
      <c r="G126" s="11">
        <v>24</v>
      </c>
      <c r="H126" s="11">
        <v>12</v>
      </c>
      <c r="I126" s="11">
        <v>7</v>
      </c>
      <c r="J126" s="11">
        <v>590</v>
      </c>
      <c r="K126" s="11">
        <v>550</v>
      </c>
      <c r="L126" s="11">
        <v>22</v>
      </c>
      <c r="M126" s="11">
        <v>16</v>
      </c>
      <c r="N126" s="11">
        <v>20</v>
      </c>
    </row>
    <row r="127" spans="1:14" ht="15" customHeight="1" x14ac:dyDescent="0.25">
      <c r="A127" s="12">
        <v>450</v>
      </c>
      <c r="B127" s="11" t="s">
        <v>2399</v>
      </c>
      <c r="C127" s="12">
        <v>487</v>
      </c>
      <c r="D127" s="12">
        <v>520</v>
      </c>
      <c r="E127" s="12">
        <v>480</v>
      </c>
      <c r="F127" s="12">
        <v>34</v>
      </c>
      <c r="G127" s="12">
        <v>24</v>
      </c>
      <c r="H127" s="12">
        <v>12</v>
      </c>
      <c r="I127" s="12">
        <v>7</v>
      </c>
      <c r="J127" s="12">
        <v>590</v>
      </c>
      <c r="K127" s="12">
        <v>550</v>
      </c>
      <c r="L127" s="11">
        <v>22</v>
      </c>
      <c r="M127" s="11">
        <v>16</v>
      </c>
      <c r="N127" s="11">
        <v>20</v>
      </c>
    </row>
    <row r="128" spans="1:14" x14ac:dyDescent="0.25">
      <c r="A128" s="12">
        <v>450</v>
      </c>
      <c r="B128" s="11">
        <v>6</v>
      </c>
      <c r="C128" s="12">
        <v>487</v>
      </c>
      <c r="D128" s="12">
        <v>520</v>
      </c>
      <c r="E128" s="12">
        <v>480</v>
      </c>
      <c r="F128" s="12">
        <v>34</v>
      </c>
      <c r="G128" s="12">
        <v>24</v>
      </c>
      <c r="H128" s="12">
        <v>12</v>
      </c>
      <c r="I128" s="12">
        <v>7</v>
      </c>
      <c r="J128" s="12">
        <v>590</v>
      </c>
      <c r="K128" s="12">
        <v>550</v>
      </c>
      <c r="L128" s="12">
        <v>22</v>
      </c>
      <c r="M128" s="12">
        <v>16</v>
      </c>
      <c r="N128" s="12">
        <v>20</v>
      </c>
    </row>
    <row r="129" spans="1:14" ht="15" customHeight="1" x14ac:dyDescent="0.25">
      <c r="A129" s="12">
        <v>450</v>
      </c>
      <c r="B129" s="11">
        <v>10</v>
      </c>
      <c r="C129" s="12">
        <v>487</v>
      </c>
      <c r="D129" s="11">
        <v>532</v>
      </c>
      <c r="E129" s="12">
        <v>480</v>
      </c>
      <c r="F129" s="12">
        <v>34</v>
      </c>
      <c r="G129" s="11">
        <v>26</v>
      </c>
      <c r="H129" s="12">
        <v>12</v>
      </c>
      <c r="I129" s="12">
        <v>7</v>
      </c>
      <c r="J129" s="11">
        <v>615</v>
      </c>
      <c r="K129" s="11">
        <v>565</v>
      </c>
      <c r="L129" s="11">
        <v>26</v>
      </c>
      <c r="M129" s="11">
        <v>20</v>
      </c>
      <c r="N129" s="11">
        <v>24</v>
      </c>
    </row>
    <row r="130" spans="1:14" ht="15" customHeight="1" x14ac:dyDescent="0.25">
      <c r="A130" s="12">
        <v>450</v>
      </c>
      <c r="B130" s="11">
        <v>16</v>
      </c>
      <c r="C130" s="12">
        <v>487</v>
      </c>
      <c r="D130" s="12">
        <v>532</v>
      </c>
      <c r="E130" s="12">
        <v>480</v>
      </c>
      <c r="F130" s="11">
        <v>38</v>
      </c>
      <c r="G130" s="11">
        <v>28</v>
      </c>
      <c r="H130" s="12">
        <v>12</v>
      </c>
      <c r="I130" s="12">
        <v>7</v>
      </c>
      <c r="J130" s="11">
        <v>640</v>
      </c>
      <c r="K130" s="11">
        <v>585</v>
      </c>
      <c r="L130" s="11">
        <v>30</v>
      </c>
      <c r="M130" s="12">
        <v>20</v>
      </c>
      <c r="N130" s="11">
        <v>27</v>
      </c>
    </row>
    <row r="131" spans="1:14" x14ac:dyDescent="0.25">
      <c r="A131" s="12">
        <v>450</v>
      </c>
      <c r="B131" s="11">
        <v>25</v>
      </c>
      <c r="C131" s="12">
        <v>487</v>
      </c>
      <c r="D131" s="11">
        <v>555</v>
      </c>
      <c r="E131" s="12">
        <v>480</v>
      </c>
      <c r="F131" s="11">
        <v>45</v>
      </c>
      <c r="G131" s="11">
        <v>30</v>
      </c>
      <c r="H131" s="12">
        <v>12</v>
      </c>
      <c r="I131" s="12">
        <v>7</v>
      </c>
      <c r="J131" s="11">
        <v>660</v>
      </c>
      <c r="K131" s="11">
        <v>600</v>
      </c>
      <c r="L131" s="11">
        <v>33</v>
      </c>
      <c r="M131" s="12">
        <v>20</v>
      </c>
      <c r="N131" s="11">
        <v>30</v>
      </c>
    </row>
    <row r="132" spans="1:14" x14ac:dyDescent="0.25">
      <c r="A132" s="11">
        <v>500</v>
      </c>
      <c r="B132" s="11">
        <v>1</v>
      </c>
      <c r="C132" s="11">
        <v>537</v>
      </c>
      <c r="D132" s="11">
        <v>570</v>
      </c>
      <c r="E132" s="11">
        <v>530</v>
      </c>
      <c r="F132" s="11">
        <v>38</v>
      </c>
      <c r="G132" s="11">
        <v>26</v>
      </c>
      <c r="H132" s="11">
        <v>12</v>
      </c>
      <c r="I132" s="11">
        <v>7</v>
      </c>
      <c r="J132" s="11">
        <v>640</v>
      </c>
      <c r="K132" s="11">
        <v>600</v>
      </c>
      <c r="L132" s="11">
        <v>22</v>
      </c>
      <c r="M132" s="11">
        <v>16</v>
      </c>
      <c r="N132" s="11">
        <v>20</v>
      </c>
    </row>
    <row r="133" spans="1:14" ht="15" customHeight="1" x14ac:dyDescent="0.25">
      <c r="A133" s="12">
        <v>500</v>
      </c>
      <c r="B133" s="11" t="s">
        <v>2399</v>
      </c>
      <c r="C133" s="12">
        <v>537</v>
      </c>
      <c r="D133" s="12">
        <v>570</v>
      </c>
      <c r="E133" s="12">
        <v>530</v>
      </c>
      <c r="F133" s="12">
        <v>38</v>
      </c>
      <c r="G133" s="12">
        <v>26</v>
      </c>
      <c r="H133" s="12">
        <v>12</v>
      </c>
      <c r="I133" s="12">
        <v>7</v>
      </c>
      <c r="J133" s="12">
        <v>640</v>
      </c>
      <c r="K133" s="12">
        <v>600</v>
      </c>
      <c r="L133" s="11">
        <v>22</v>
      </c>
      <c r="M133" s="12">
        <v>16</v>
      </c>
      <c r="N133" s="11">
        <v>20</v>
      </c>
    </row>
    <row r="134" spans="1:14" x14ac:dyDescent="0.25">
      <c r="A134" s="12">
        <v>500</v>
      </c>
      <c r="B134" s="11">
        <v>6</v>
      </c>
      <c r="C134" s="12">
        <v>537</v>
      </c>
      <c r="D134" s="12">
        <v>570</v>
      </c>
      <c r="E134" s="12">
        <v>530</v>
      </c>
      <c r="F134" s="12">
        <v>38</v>
      </c>
      <c r="G134" s="12">
        <v>26</v>
      </c>
      <c r="H134" s="12">
        <v>12</v>
      </c>
      <c r="I134" s="12">
        <v>7</v>
      </c>
      <c r="J134" s="12">
        <v>640</v>
      </c>
      <c r="K134" s="12">
        <v>600</v>
      </c>
      <c r="L134" s="12">
        <v>22</v>
      </c>
      <c r="M134" s="12">
        <v>16</v>
      </c>
      <c r="N134" s="12">
        <v>20</v>
      </c>
    </row>
    <row r="135" spans="1:14" ht="15" customHeight="1" x14ac:dyDescent="0.25">
      <c r="A135" s="12">
        <v>500</v>
      </c>
      <c r="B135" s="11">
        <v>10</v>
      </c>
      <c r="C135" s="12">
        <v>537</v>
      </c>
      <c r="D135" s="11">
        <v>585</v>
      </c>
      <c r="E135" s="12">
        <v>530</v>
      </c>
      <c r="F135" s="12">
        <v>38</v>
      </c>
      <c r="G135" s="11">
        <v>28</v>
      </c>
      <c r="H135" s="12">
        <v>12</v>
      </c>
      <c r="I135" s="12">
        <v>7</v>
      </c>
      <c r="J135" s="11">
        <v>670</v>
      </c>
      <c r="K135" s="11">
        <v>620</v>
      </c>
      <c r="L135" s="11">
        <v>26</v>
      </c>
      <c r="M135" s="11">
        <v>20</v>
      </c>
      <c r="N135" s="11">
        <v>24</v>
      </c>
    </row>
    <row r="136" spans="1:14" ht="15" customHeight="1" x14ac:dyDescent="0.25">
      <c r="A136" s="12">
        <v>500</v>
      </c>
      <c r="B136" s="11">
        <v>16</v>
      </c>
      <c r="C136" s="12">
        <v>537</v>
      </c>
      <c r="D136" s="12">
        <v>585</v>
      </c>
      <c r="E136" s="12">
        <v>530</v>
      </c>
      <c r="F136" s="11">
        <v>42</v>
      </c>
      <c r="G136" s="11">
        <v>30</v>
      </c>
      <c r="H136" s="12">
        <v>12</v>
      </c>
      <c r="I136" s="12">
        <v>7</v>
      </c>
      <c r="J136" s="11">
        <v>710</v>
      </c>
      <c r="K136" s="11">
        <v>650</v>
      </c>
      <c r="L136" s="11">
        <v>33</v>
      </c>
      <c r="M136" s="12">
        <v>20</v>
      </c>
      <c r="N136" s="11">
        <v>30</v>
      </c>
    </row>
    <row r="137" spans="1:14" ht="15" customHeight="1" x14ac:dyDescent="0.25">
      <c r="A137" s="12">
        <v>500</v>
      </c>
      <c r="B137" s="11">
        <v>25</v>
      </c>
      <c r="C137" s="12">
        <v>537</v>
      </c>
      <c r="D137" s="11">
        <v>615</v>
      </c>
      <c r="E137" s="12">
        <v>530</v>
      </c>
      <c r="F137" s="11">
        <v>50</v>
      </c>
      <c r="G137" s="11">
        <v>32</v>
      </c>
      <c r="H137" s="12">
        <v>12</v>
      </c>
      <c r="I137" s="12">
        <v>7</v>
      </c>
      <c r="J137" s="11">
        <v>730</v>
      </c>
      <c r="K137" s="11">
        <v>660</v>
      </c>
      <c r="L137" s="11">
        <v>39</v>
      </c>
      <c r="M137" s="12">
        <v>20</v>
      </c>
      <c r="N137" s="11">
        <v>36</v>
      </c>
    </row>
    <row r="138" spans="1:14" x14ac:dyDescent="0.25">
      <c r="A138" s="11">
        <v>600</v>
      </c>
      <c r="B138" s="11" t="s">
        <v>2399</v>
      </c>
      <c r="C138" s="11">
        <v>537</v>
      </c>
      <c r="D138" s="11">
        <v>670</v>
      </c>
      <c r="E138" s="11">
        <v>530</v>
      </c>
      <c r="F138" s="11">
        <v>50</v>
      </c>
      <c r="G138" s="11">
        <v>32</v>
      </c>
      <c r="H138" s="11">
        <v>12</v>
      </c>
      <c r="I138" s="11">
        <v>7</v>
      </c>
      <c r="J138" s="11">
        <v>730</v>
      </c>
      <c r="K138" s="11">
        <v>705</v>
      </c>
      <c r="L138" s="11">
        <v>39</v>
      </c>
      <c r="M138" s="11">
        <v>20</v>
      </c>
      <c r="N138" s="11">
        <v>36</v>
      </c>
    </row>
    <row r="139" spans="1:14" x14ac:dyDescent="0.25">
      <c r="A139" s="12">
        <v>600</v>
      </c>
      <c r="B139" s="11">
        <v>6</v>
      </c>
      <c r="C139" s="12">
        <v>537</v>
      </c>
      <c r="D139" s="12">
        <v>670</v>
      </c>
      <c r="E139" s="12">
        <v>530</v>
      </c>
      <c r="F139" s="12">
        <v>50</v>
      </c>
      <c r="G139" s="12">
        <v>32</v>
      </c>
      <c r="H139" s="12">
        <v>12</v>
      </c>
      <c r="I139" s="12">
        <v>7</v>
      </c>
      <c r="J139" s="12">
        <v>730</v>
      </c>
      <c r="K139" s="12">
        <v>705</v>
      </c>
      <c r="L139" s="12">
        <v>39</v>
      </c>
      <c r="M139" s="12">
        <v>20</v>
      </c>
      <c r="N139" s="12">
        <v>36</v>
      </c>
    </row>
    <row r="140" spans="1:14" x14ac:dyDescent="0.25">
      <c r="A140" s="12">
        <v>600</v>
      </c>
      <c r="B140" s="11">
        <v>10</v>
      </c>
      <c r="C140" s="12">
        <v>537</v>
      </c>
      <c r="D140" s="11">
        <v>685</v>
      </c>
      <c r="E140" s="12">
        <v>530</v>
      </c>
      <c r="F140" s="12">
        <v>50</v>
      </c>
      <c r="G140" s="12">
        <v>32</v>
      </c>
      <c r="H140" s="12">
        <v>12</v>
      </c>
      <c r="I140" s="12">
        <v>7</v>
      </c>
      <c r="J140" s="12">
        <v>730</v>
      </c>
      <c r="K140" s="11">
        <v>725</v>
      </c>
      <c r="L140" s="12">
        <v>39</v>
      </c>
      <c r="M140" s="12">
        <v>20</v>
      </c>
      <c r="N140" s="12">
        <v>36</v>
      </c>
    </row>
    <row r="141" spans="1:14" x14ac:dyDescent="0.25">
      <c r="A141" s="12">
        <v>600</v>
      </c>
      <c r="B141" s="11">
        <v>16</v>
      </c>
      <c r="C141" s="12">
        <v>537</v>
      </c>
      <c r="D141" s="11">
        <v>725</v>
      </c>
      <c r="E141" s="12">
        <v>530</v>
      </c>
      <c r="F141" s="12">
        <v>50</v>
      </c>
      <c r="G141" s="12">
        <v>32</v>
      </c>
      <c r="H141" s="12">
        <v>12</v>
      </c>
      <c r="I141" s="12">
        <v>7</v>
      </c>
      <c r="J141" s="12">
        <v>730</v>
      </c>
      <c r="K141" s="11">
        <v>770</v>
      </c>
      <c r="L141" s="12">
        <v>39</v>
      </c>
      <c r="M141" s="12">
        <v>20</v>
      </c>
      <c r="N141" s="12">
        <v>36</v>
      </c>
    </row>
    <row r="142" spans="1:14" x14ac:dyDescent="0.25">
      <c r="A142" s="12">
        <v>600</v>
      </c>
      <c r="B142" s="11">
        <v>25</v>
      </c>
      <c r="C142" s="12">
        <v>537</v>
      </c>
      <c r="D142" s="11">
        <v>720</v>
      </c>
      <c r="E142" s="12">
        <v>530</v>
      </c>
      <c r="F142" s="12">
        <v>50</v>
      </c>
      <c r="G142" s="12">
        <v>32</v>
      </c>
      <c r="H142" s="12">
        <v>12</v>
      </c>
      <c r="I142" s="12">
        <v>7</v>
      </c>
      <c r="J142" s="12">
        <v>730</v>
      </c>
      <c r="K142" s="12">
        <v>770</v>
      </c>
      <c r="L142" s="12">
        <v>39</v>
      </c>
      <c r="M142" s="12">
        <v>20</v>
      </c>
      <c r="N142" s="12">
        <v>36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53D8-A3CC-40D1-856F-3A40C39D863D}">
  <sheetPr codeName="Лист17"/>
  <dimension ref="A1:H190"/>
  <sheetViews>
    <sheetView workbookViewId="0">
      <selection activeCell="U44" sqref="U44"/>
    </sheetView>
  </sheetViews>
  <sheetFormatPr defaultRowHeight="15" x14ac:dyDescent="0.25"/>
  <sheetData>
    <row r="1" spans="1:8" ht="75" x14ac:dyDescent="0.2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</row>
    <row r="2" spans="1:8" x14ac:dyDescent="0.25">
      <c r="A2" s="11">
        <v>10</v>
      </c>
      <c r="B2" s="11">
        <v>1</v>
      </c>
      <c r="C2" s="11">
        <v>15</v>
      </c>
      <c r="D2" s="11">
        <v>10</v>
      </c>
      <c r="E2" s="11">
        <v>75</v>
      </c>
      <c r="F2" s="11">
        <v>50</v>
      </c>
      <c r="G2" s="11">
        <v>4</v>
      </c>
      <c r="H2" t="s">
        <v>17</v>
      </c>
    </row>
    <row r="3" spans="1:8" ht="15" customHeight="1" x14ac:dyDescent="0.25">
      <c r="A3" s="12">
        <v>10</v>
      </c>
      <c r="B3" s="11">
        <v>2.5</v>
      </c>
      <c r="C3" s="12">
        <v>15</v>
      </c>
      <c r="D3" s="12">
        <v>10</v>
      </c>
      <c r="E3" s="13">
        <v>75</v>
      </c>
      <c r="F3" s="12">
        <v>50</v>
      </c>
      <c r="G3" s="13">
        <v>4</v>
      </c>
      <c r="H3" t="s">
        <v>17</v>
      </c>
    </row>
    <row r="4" spans="1:8" x14ac:dyDescent="0.25">
      <c r="A4" s="12">
        <v>10</v>
      </c>
      <c r="B4" s="11">
        <v>6</v>
      </c>
      <c r="C4" s="12">
        <v>15</v>
      </c>
      <c r="D4" s="11">
        <v>12</v>
      </c>
      <c r="E4" s="12">
        <v>75</v>
      </c>
      <c r="F4" s="12">
        <v>50</v>
      </c>
      <c r="G4" s="12">
        <v>4</v>
      </c>
      <c r="H4" t="s">
        <v>17</v>
      </c>
    </row>
    <row r="5" spans="1:8" ht="15" customHeight="1" x14ac:dyDescent="0.25">
      <c r="A5" s="12">
        <v>10</v>
      </c>
      <c r="B5" s="11">
        <v>10</v>
      </c>
      <c r="C5" s="12">
        <v>15</v>
      </c>
      <c r="D5" s="12">
        <v>12</v>
      </c>
      <c r="E5" s="13">
        <v>90</v>
      </c>
      <c r="F5" s="11">
        <v>60</v>
      </c>
      <c r="G5" s="12">
        <v>4</v>
      </c>
      <c r="H5" t="s">
        <v>33</v>
      </c>
    </row>
    <row r="6" spans="1:8" x14ac:dyDescent="0.25">
      <c r="A6" s="12">
        <v>10</v>
      </c>
      <c r="B6" s="11">
        <v>16</v>
      </c>
      <c r="C6" s="12">
        <v>15</v>
      </c>
      <c r="D6" s="11">
        <v>14</v>
      </c>
      <c r="E6" s="12">
        <v>90</v>
      </c>
      <c r="F6" s="12">
        <v>60</v>
      </c>
      <c r="G6" s="12">
        <v>4</v>
      </c>
      <c r="H6" t="s">
        <v>33</v>
      </c>
    </row>
    <row r="7" spans="1:8" x14ac:dyDescent="0.25">
      <c r="A7" s="12">
        <v>10</v>
      </c>
      <c r="B7" s="11">
        <v>25</v>
      </c>
      <c r="C7" s="12">
        <v>15</v>
      </c>
      <c r="D7" s="11">
        <v>16</v>
      </c>
      <c r="E7" s="12">
        <v>90</v>
      </c>
      <c r="F7" s="12">
        <v>60</v>
      </c>
      <c r="G7" s="12">
        <v>4</v>
      </c>
      <c r="H7" t="s">
        <v>33</v>
      </c>
    </row>
    <row r="8" spans="1:8" ht="15" customHeight="1" x14ac:dyDescent="0.25">
      <c r="A8" s="11">
        <v>15</v>
      </c>
      <c r="B8" s="11">
        <v>1</v>
      </c>
      <c r="C8" s="11">
        <v>19</v>
      </c>
      <c r="D8" s="11">
        <v>10</v>
      </c>
      <c r="E8" s="11">
        <v>80</v>
      </c>
      <c r="F8" s="11">
        <v>55</v>
      </c>
      <c r="G8" s="13">
        <v>4</v>
      </c>
      <c r="H8" t="s">
        <v>17</v>
      </c>
    </row>
    <row r="9" spans="1:8" ht="15" customHeight="1" x14ac:dyDescent="0.25">
      <c r="A9" s="12">
        <v>15</v>
      </c>
      <c r="B9" s="11">
        <v>2.5</v>
      </c>
      <c r="C9" s="12">
        <v>19</v>
      </c>
      <c r="D9" s="12">
        <v>10</v>
      </c>
      <c r="E9" s="13">
        <v>80</v>
      </c>
      <c r="F9" s="12">
        <v>55</v>
      </c>
      <c r="G9" s="12">
        <v>4</v>
      </c>
      <c r="H9" t="s">
        <v>17</v>
      </c>
    </row>
    <row r="10" spans="1:8" x14ac:dyDescent="0.25">
      <c r="A10" s="12">
        <v>15</v>
      </c>
      <c r="B10" s="11">
        <v>6</v>
      </c>
      <c r="C10" s="12">
        <v>19</v>
      </c>
      <c r="D10" s="11">
        <v>12</v>
      </c>
      <c r="E10" s="12">
        <v>80</v>
      </c>
      <c r="F10" s="12">
        <v>55</v>
      </c>
      <c r="G10" s="12">
        <v>4</v>
      </c>
      <c r="H10" t="s">
        <v>17</v>
      </c>
    </row>
    <row r="11" spans="1:8" ht="15" customHeight="1" x14ac:dyDescent="0.25">
      <c r="A11" s="12">
        <v>15</v>
      </c>
      <c r="B11" s="11">
        <v>10</v>
      </c>
      <c r="C11" s="12">
        <v>19</v>
      </c>
      <c r="D11" s="12">
        <v>12</v>
      </c>
      <c r="E11" s="13">
        <v>95</v>
      </c>
      <c r="F11" s="11">
        <v>65</v>
      </c>
      <c r="G11" s="12">
        <v>4</v>
      </c>
      <c r="H11" t="s">
        <v>33</v>
      </c>
    </row>
    <row r="12" spans="1:8" x14ac:dyDescent="0.25">
      <c r="A12" s="12">
        <v>15</v>
      </c>
      <c r="B12" s="11">
        <v>16</v>
      </c>
      <c r="C12" s="12">
        <v>19</v>
      </c>
      <c r="D12" s="11">
        <v>14</v>
      </c>
      <c r="E12" s="12">
        <v>95</v>
      </c>
      <c r="F12" s="12">
        <v>65</v>
      </c>
      <c r="G12" s="12">
        <v>4</v>
      </c>
      <c r="H12" t="s">
        <v>33</v>
      </c>
    </row>
    <row r="13" spans="1:8" x14ac:dyDescent="0.25">
      <c r="A13" s="12">
        <v>15</v>
      </c>
      <c r="B13" s="11">
        <v>25</v>
      </c>
      <c r="C13" s="12">
        <v>19</v>
      </c>
      <c r="D13" s="11">
        <v>16</v>
      </c>
      <c r="E13" s="12">
        <v>95</v>
      </c>
      <c r="F13" s="12">
        <v>65</v>
      </c>
      <c r="G13" s="12">
        <v>4</v>
      </c>
      <c r="H13" t="s">
        <v>33</v>
      </c>
    </row>
    <row r="14" spans="1:8" ht="15" customHeight="1" x14ac:dyDescent="0.25">
      <c r="A14" s="11">
        <v>20</v>
      </c>
      <c r="B14" s="11">
        <v>1</v>
      </c>
      <c r="C14" s="11">
        <v>26</v>
      </c>
      <c r="D14" s="11">
        <v>12</v>
      </c>
      <c r="E14" s="11">
        <v>90</v>
      </c>
      <c r="F14" s="11">
        <v>65</v>
      </c>
      <c r="G14" s="13">
        <v>4</v>
      </c>
      <c r="H14" t="s">
        <v>17</v>
      </c>
    </row>
    <row r="15" spans="1:8" ht="15" customHeight="1" x14ac:dyDescent="0.25">
      <c r="A15" s="12">
        <v>20</v>
      </c>
      <c r="B15" s="11">
        <v>2.5</v>
      </c>
      <c r="C15" s="12">
        <v>26</v>
      </c>
      <c r="D15" s="12">
        <v>12</v>
      </c>
      <c r="E15" s="13">
        <v>90</v>
      </c>
      <c r="F15" s="12">
        <v>65</v>
      </c>
      <c r="G15" s="12">
        <v>4</v>
      </c>
      <c r="H15" t="s">
        <v>17</v>
      </c>
    </row>
    <row r="16" spans="1:8" x14ac:dyDescent="0.25">
      <c r="A16" s="12">
        <v>20</v>
      </c>
      <c r="B16" s="11">
        <v>6</v>
      </c>
      <c r="C16" s="12">
        <v>26</v>
      </c>
      <c r="D16" s="11">
        <v>14</v>
      </c>
      <c r="E16" s="12">
        <v>90</v>
      </c>
      <c r="F16" s="12">
        <v>65</v>
      </c>
      <c r="G16" s="12">
        <v>4</v>
      </c>
      <c r="H16" t="s">
        <v>17</v>
      </c>
    </row>
    <row r="17" spans="1:8" ht="15" customHeight="1" x14ac:dyDescent="0.25">
      <c r="A17" s="12">
        <v>20</v>
      </c>
      <c r="B17" s="11">
        <v>10</v>
      </c>
      <c r="C17" s="12">
        <v>26</v>
      </c>
      <c r="D17" s="12">
        <v>14</v>
      </c>
      <c r="E17" s="13">
        <v>105</v>
      </c>
      <c r="F17" s="11">
        <v>75</v>
      </c>
      <c r="G17" s="12">
        <v>4</v>
      </c>
      <c r="H17" t="s">
        <v>33</v>
      </c>
    </row>
    <row r="18" spans="1:8" x14ac:dyDescent="0.25">
      <c r="A18" s="12">
        <v>20</v>
      </c>
      <c r="B18" s="11">
        <v>16</v>
      </c>
      <c r="C18" s="12">
        <v>26</v>
      </c>
      <c r="D18" s="11">
        <v>16</v>
      </c>
      <c r="E18" s="12">
        <v>105</v>
      </c>
      <c r="F18" s="12">
        <v>75</v>
      </c>
      <c r="G18" s="12">
        <v>4</v>
      </c>
      <c r="H18" t="s">
        <v>33</v>
      </c>
    </row>
    <row r="19" spans="1:8" x14ac:dyDescent="0.25">
      <c r="A19" s="12">
        <v>20</v>
      </c>
      <c r="B19" s="11">
        <v>25</v>
      </c>
      <c r="C19" s="12">
        <v>26</v>
      </c>
      <c r="D19" s="11">
        <v>18</v>
      </c>
      <c r="E19" s="12">
        <v>105</v>
      </c>
      <c r="F19" s="12">
        <v>75</v>
      </c>
      <c r="G19" s="12">
        <v>4</v>
      </c>
      <c r="H19" t="s">
        <v>33</v>
      </c>
    </row>
    <row r="20" spans="1:8" x14ac:dyDescent="0.25">
      <c r="A20" s="11">
        <v>25</v>
      </c>
      <c r="B20" s="11">
        <v>1</v>
      </c>
      <c r="C20" s="11">
        <v>33</v>
      </c>
      <c r="D20" s="11">
        <v>12</v>
      </c>
      <c r="E20" s="11">
        <v>100</v>
      </c>
      <c r="F20" s="11">
        <v>75</v>
      </c>
      <c r="G20" s="11">
        <v>4</v>
      </c>
      <c r="H20" t="s">
        <v>17</v>
      </c>
    </row>
    <row r="21" spans="1:8" ht="15" customHeight="1" x14ac:dyDescent="0.25">
      <c r="A21" s="12">
        <v>25</v>
      </c>
      <c r="B21" s="11">
        <v>2.5</v>
      </c>
      <c r="C21" s="12">
        <v>33</v>
      </c>
      <c r="D21" s="12">
        <v>12</v>
      </c>
      <c r="E21" s="13">
        <v>100</v>
      </c>
      <c r="F21" s="12">
        <v>75</v>
      </c>
      <c r="G21" s="13">
        <v>4</v>
      </c>
      <c r="H21" t="s">
        <v>17</v>
      </c>
    </row>
    <row r="22" spans="1:8" x14ac:dyDescent="0.25">
      <c r="A22" s="12">
        <v>25</v>
      </c>
      <c r="B22" s="11">
        <v>6</v>
      </c>
      <c r="C22" s="12">
        <v>33</v>
      </c>
      <c r="D22" s="11">
        <v>14</v>
      </c>
      <c r="E22" s="12">
        <v>100</v>
      </c>
      <c r="F22" s="12">
        <v>75</v>
      </c>
      <c r="G22" s="12">
        <v>4</v>
      </c>
      <c r="H22" t="s">
        <v>17</v>
      </c>
    </row>
    <row r="23" spans="1:8" ht="15" customHeight="1" x14ac:dyDescent="0.25">
      <c r="A23" s="12">
        <v>25</v>
      </c>
      <c r="B23" s="11">
        <v>10</v>
      </c>
      <c r="C23" s="12">
        <v>33</v>
      </c>
      <c r="D23" s="12">
        <v>14</v>
      </c>
      <c r="E23" s="13">
        <v>115</v>
      </c>
      <c r="F23" s="11">
        <v>85</v>
      </c>
      <c r="G23" s="12">
        <v>4</v>
      </c>
      <c r="H23" t="s">
        <v>33</v>
      </c>
    </row>
    <row r="24" spans="1:8" x14ac:dyDescent="0.25">
      <c r="A24" s="12">
        <v>25</v>
      </c>
      <c r="B24" s="11">
        <v>16</v>
      </c>
      <c r="C24" s="12">
        <v>33</v>
      </c>
      <c r="D24" s="11">
        <v>18</v>
      </c>
      <c r="E24" s="12">
        <v>115</v>
      </c>
      <c r="F24" s="12">
        <v>85</v>
      </c>
      <c r="G24" s="12">
        <v>4</v>
      </c>
      <c r="H24" t="s">
        <v>33</v>
      </c>
    </row>
    <row r="25" spans="1:8" x14ac:dyDescent="0.25">
      <c r="A25" s="12">
        <v>25</v>
      </c>
      <c r="B25" s="11">
        <v>25</v>
      </c>
      <c r="C25" s="12">
        <v>33</v>
      </c>
      <c r="D25" s="12">
        <v>18</v>
      </c>
      <c r="E25" s="12">
        <v>115</v>
      </c>
      <c r="F25" s="12">
        <v>85</v>
      </c>
      <c r="G25" s="12">
        <v>4</v>
      </c>
      <c r="H25" t="s">
        <v>33</v>
      </c>
    </row>
    <row r="26" spans="1:8" x14ac:dyDescent="0.25">
      <c r="A26" s="11">
        <v>32</v>
      </c>
      <c r="B26" s="11">
        <v>1</v>
      </c>
      <c r="C26" s="11">
        <v>39</v>
      </c>
      <c r="D26" s="11">
        <v>12</v>
      </c>
      <c r="E26" s="11">
        <v>120</v>
      </c>
      <c r="F26" s="11">
        <v>90</v>
      </c>
      <c r="G26" s="11">
        <v>4</v>
      </c>
      <c r="H26" t="s">
        <v>33</v>
      </c>
    </row>
    <row r="27" spans="1:8" ht="15" customHeight="1" x14ac:dyDescent="0.25">
      <c r="A27" s="12">
        <v>32</v>
      </c>
      <c r="B27" s="11">
        <v>2.5</v>
      </c>
      <c r="C27" s="12">
        <v>39</v>
      </c>
      <c r="D27" s="12">
        <v>12</v>
      </c>
      <c r="E27" s="13">
        <v>120</v>
      </c>
      <c r="F27" s="12">
        <v>90</v>
      </c>
      <c r="G27" s="13">
        <v>4</v>
      </c>
      <c r="H27" t="s">
        <v>33</v>
      </c>
    </row>
    <row r="28" spans="1:8" x14ac:dyDescent="0.25">
      <c r="A28" s="12">
        <v>32</v>
      </c>
      <c r="B28" s="11">
        <v>6</v>
      </c>
      <c r="C28" s="12">
        <v>39</v>
      </c>
      <c r="D28" s="11">
        <v>15</v>
      </c>
      <c r="E28" s="12">
        <v>120</v>
      </c>
      <c r="F28" s="12">
        <v>90</v>
      </c>
      <c r="G28" s="12">
        <v>4</v>
      </c>
      <c r="H28" t="s">
        <v>33</v>
      </c>
    </row>
    <row r="29" spans="1:8" ht="15" customHeight="1" x14ac:dyDescent="0.25">
      <c r="A29" s="12">
        <v>32</v>
      </c>
      <c r="B29" s="11">
        <v>10</v>
      </c>
      <c r="C29" s="12">
        <v>39</v>
      </c>
      <c r="D29" s="11">
        <v>16</v>
      </c>
      <c r="E29" s="11">
        <v>135</v>
      </c>
      <c r="F29" s="11">
        <v>100</v>
      </c>
      <c r="G29" s="12">
        <v>4</v>
      </c>
      <c r="H29" t="s">
        <v>65</v>
      </c>
    </row>
    <row r="30" spans="1:8" x14ac:dyDescent="0.25">
      <c r="A30" s="12">
        <v>32</v>
      </c>
      <c r="B30" s="11">
        <v>16</v>
      </c>
      <c r="C30" s="12">
        <v>39</v>
      </c>
      <c r="D30" s="11">
        <v>18</v>
      </c>
      <c r="E30" s="12">
        <v>135</v>
      </c>
      <c r="F30" s="12">
        <v>100</v>
      </c>
      <c r="G30" s="12">
        <v>4</v>
      </c>
      <c r="H30" t="s">
        <v>65</v>
      </c>
    </row>
    <row r="31" spans="1:8" x14ac:dyDescent="0.25">
      <c r="A31" s="12">
        <v>32</v>
      </c>
      <c r="B31" s="11">
        <v>25</v>
      </c>
      <c r="C31" s="12">
        <v>39</v>
      </c>
      <c r="D31" s="11">
        <v>20</v>
      </c>
      <c r="E31" s="12">
        <v>135</v>
      </c>
      <c r="F31" s="12">
        <v>100</v>
      </c>
      <c r="G31" s="12">
        <v>4</v>
      </c>
      <c r="H31" t="s">
        <v>65</v>
      </c>
    </row>
    <row r="32" spans="1:8" x14ac:dyDescent="0.25">
      <c r="A32" s="11">
        <v>40</v>
      </c>
      <c r="B32" s="11">
        <v>1</v>
      </c>
      <c r="C32" s="11">
        <v>46</v>
      </c>
      <c r="D32" s="11">
        <v>13</v>
      </c>
      <c r="E32" s="11">
        <v>130</v>
      </c>
      <c r="F32" s="11">
        <v>100</v>
      </c>
      <c r="G32" s="11">
        <v>4</v>
      </c>
      <c r="H32" t="s">
        <v>33</v>
      </c>
    </row>
    <row r="33" spans="1:8" ht="15" customHeight="1" x14ac:dyDescent="0.25">
      <c r="A33" s="12">
        <v>40</v>
      </c>
      <c r="B33" s="11">
        <v>2.5</v>
      </c>
      <c r="C33" s="12">
        <v>46</v>
      </c>
      <c r="D33" s="12">
        <v>13</v>
      </c>
      <c r="E33" s="13">
        <v>130</v>
      </c>
      <c r="F33" s="12">
        <v>100</v>
      </c>
      <c r="G33" s="13">
        <v>4</v>
      </c>
      <c r="H33" t="s">
        <v>33</v>
      </c>
    </row>
    <row r="34" spans="1:8" x14ac:dyDescent="0.25">
      <c r="A34" s="12">
        <v>40</v>
      </c>
      <c r="B34" s="11">
        <v>6</v>
      </c>
      <c r="C34" s="12">
        <v>46</v>
      </c>
      <c r="D34" s="11">
        <v>16</v>
      </c>
      <c r="E34" s="12">
        <v>130</v>
      </c>
      <c r="F34" s="12">
        <v>100</v>
      </c>
      <c r="G34" s="12">
        <v>4</v>
      </c>
      <c r="H34" t="s">
        <v>33</v>
      </c>
    </row>
    <row r="35" spans="1:8" ht="15" customHeight="1" x14ac:dyDescent="0.25">
      <c r="A35" s="12">
        <v>40</v>
      </c>
      <c r="B35" s="11">
        <v>10</v>
      </c>
      <c r="C35" s="12">
        <v>46</v>
      </c>
      <c r="D35" s="11">
        <v>18</v>
      </c>
      <c r="E35" s="11">
        <v>145</v>
      </c>
      <c r="F35" s="11">
        <v>110</v>
      </c>
      <c r="G35" s="12">
        <v>4</v>
      </c>
      <c r="H35" t="s">
        <v>65</v>
      </c>
    </row>
    <row r="36" spans="1:8" x14ac:dyDescent="0.25">
      <c r="A36" s="12">
        <v>40</v>
      </c>
      <c r="B36" s="11">
        <v>16</v>
      </c>
      <c r="C36" s="12">
        <v>46</v>
      </c>
      <c r="D36" s="11">
        <v>20</v>
      </c>
      <c r="E36" s="12">
        <v>145</v>
      </c>
      <c r="F36" s="12">
        <v>110</v>
      </c>
      <c r="G36" s="12">
        <v>4</v>
      </c>
      <c r="H36" t="s">
        <v>65</v>
      </c>
    </row>
    <row r="37" spans="1:8" x14ac:dyDescent="0.25">
      <c r="A37" s="12">
        <v>40</v>
      </c>
      <c r="B37" s="11">
        <v>25</v>
      </c>
      <c r="C37" s="12">
        <v>46</v>
      </c>
      <c r="D37" s="11">
        <v>22</v>
      </c>
      <c r="E37" s="12">
        <v>145</v>
      </c>
      <c r="F37" s="12">
        <v>110</v>
      </c>
      <c r="G37" s="12">
        <v>4</v>
      </c>
      <c r="H37" t="s">
        <v>65</v>
      </c>
    </row>
    <row r="38" spans="1:8" x14ac:dyDescent="0.25">
      <c r="A38" s="11">
        <v>50</v>
      </c>
      <c r="B38" s="11">
        <v>1</v>
      </c>
      <c r="C38" s="11">
        <v>59</v>
      </c>
      <c r="D38" s="11">
        <v>13</v>
      </c>
      <c r="E38" s="11">
        <v>140</v>
      </c>
      <c r="F38" s="11">
        <v>110</v>
      </c>
      <c r="G38" s="11">
        <v>4</v>
      </c>
      <c r="H38" t="s">
        <v>33</v>
      </c>
    </row>
    <row r="39" spans="1:8" ht="15" customHeight="1" x14ac:dyDescent="0.25">
      <c r="A39" s="12">
        <v>50</v>
      </c>
      <c r="B39" s="11">
        <v>2.5</v>
      </c>
      <c r="C39" s="12">
        <v>59</v>
      </c>
      <c r="D39" s="12">
        <v>13</v>
      </c>
      <c r="E39" s="13">
        <v>140</v>
      </c>
      <c r="F39" s="12">
        <v>110</v>
      </c>
      <c r="G39" s="13">
        <v>4</v>
      </c>
      <c r="H39" t="s">
        <v>33</v>
      </c>
    </row>
    <row r="40" spans="1:8" x14ac:dyDescent="0.25">
      <c r="A40" s="12">
        <v>50</v>
      </c>
      <c r="B40" s="11">
        <v>6</v>
      </c>
      <c r="C40" s="12">
        <v>59</v>
      </c>
      <c r="D40" s="11">
        <v>16</v>
      </c>
      <c r="E40" s="12">
        <v>140</v>
      </c>
      <c r="F40" s="12">
        <v>110</v>
      </c>
      <c r="G40" s="12">
        <v>4</v>
      </c>
      <c r="H40" t="s">
        <v>33</v>
      </c>
    </row>
    <row r="41" spans="1:8" ht="15" customHeight="1" x14ac:dyDescent="0.25">
      <c r="A41" s="12">
        <v>50</v>
      </c>
      <c r="B41" s="11">
        <v>10</v>
      </c>
      <c r="C41" s="12">
        <v>59</v>
      </c>
      <c r="D41" s="11">
        <v>18</v>
      </c>
      <c r="E41" s="11">
        <v>160</v>
      </c>
      <c r="F41" s="11">
        <v>125</v>
      </c>
      <c r="G41" s="12">
        <v>4</v>
      </c>
      <c r="H41" t="s">
        <v>65</v>
      </c>
    </row>
    <row r="42" spans="1:8" x14ac:dyDescent="0.25">
      <c r="A42" s="12">
        <v>50</v>
      </c>
      <c r="B42" s="11">
        <v>16</v>
      </c>
      <c r="C42" s="12">
        <v>59</v>
      </c>
      <c r="D42" s="11">
        <v>22</v>
      </c>
      <c r="E42" s="12">
        <v>160</v>
      </c>
      <c r="F42" s="12">
        <v>125</v>
      </c>
      <c r="G42" s="12">
        <v>4</v>
      </c>
      <c r="H42" t="s">
        <v>65</v>
      </c>
    </row>
    <row r="43" spans="1:8" x14ac:dyDescent="0.25">
      <c r="A43" s="12">
        <v>50</v>
      </c>
      <c r="B43" s="11">
        <v>25</v>
      </c>
      <c r="C43" s="12">
        <v>59</v>
      </c>
      <c r="D43" s="11">
        <v>24</v>
      </c>
      <c r="E43" s="12">
        <v>160</v>
      </c>
      <c r="F43" s="12">
        <v>125</v>
      </c>
      <c r="G43" s="12">
        <v>4</v>
      </c>
      <c r="H43" t="s">
        <v>65</v>
      </c>
    </row>
    <row r="44" spans="1:8" x14ac:dyDescent="0.25">
      <c r="A44" s="11">
        <v>65</v>
      </c>
      <c r="B44" s="11">
        <v>1</v>
      </c>
      <c r="C44" s="11">
        <v>78</v>
      </c>
      <c r="D44" s="11">
        <v>14</v>
      </c>
      <c r="E44" s="11">
        <v>160</v>
      </c>
      <c r="F44" s="11">
        <v>130</v>
      </c>
      <c r="G44" s="11">
        <v>4</v>
      </c>
      <c r="H44" t="s">
        <v>33</v>
      </c>
    </row>
    <row r="45" spans="1:8" ht="15" customHeight="1" x14ac:dyDescent="0.25">
      <c r="A45" s="12">
        <v>65</v>
      </c>
      <c r="B45" s="11">
        <v>2.5</v>
      </c>
      <c r="C45" s="12">
        <v>78</v>
      </c>
      <c r="D45" s="12">
        <v>14</v>
      </c>
      <c r="E45" s="13">
        <v>160</v>
      </c>
      <c r="F45" s="12">
        <v>130</v>
      </c>
      <c r="G45" s="13">
        <v>4</v>
      </c>
      <c r="H45" t="s">
        <v>33</v>
      </c>
    </row>
    <row r="46" spans="1:8" x14ac:dyDescent="0.25">
      <c r="A46" s="12">
        <v>65</v>
      </c>
      <c r="B46" s="11">
        <v>6</v>
      </c>
      <c r="C46" s="12">
        <v>78</v>
      </c>
      <c r="D46" s="11">
        <v>16</v>
      </c>
      <c r="E46" s="12">
        <v>160</v>
      </c>
      <c r="F46" s="12">
        <v>130</v>
      </c>
      <c r="G46" s="12">
        <v>4</v>
      </c>
      <c r="H46" t="s">
        <v>33</v>
      </c>
    </row>
    <row r="47" spans="1:8" ht="15" customHeight="1" x14ac:dyDescent="0.25">
      <c r="A47" s="12">
        <v>65</v>
      </c>
      <c r="B47" s="11">
        <v>10</v>
      </c>
      <c r="C47" s="12">
        <v>78</v>
      </c>
      <c r="D47" s="11">
        <v>20</v>
      </c>
      <c r="E47" s="11">
        <v>180</v>
      </c>
      <c r="F47" s="11">
        <v>145</v>
      </c>
      <c r="G47" s="11">
        <v>4</v>
      </c>
      <c r="H47" t="s">
        <v>65</v>
      </c>
    </row>
    <row r="48" spans="1:8" x14ac:dyDescent="0.25">
      <c r="A48" s="12">
        <v>65</v>
      </c>
      <c r="B48" s="11">
        <v>16</v>
      </c>
      <c r="C48" s="12">
        <v>78</v>
      </c>
      <c r="D48" s="11">
        <v>24</v>
      </c>
      <c r="E48" s="12">
        <v>180</v>
      </c>
      <c r="F48" s="12">
        <v>145</v>
      </c>
      <c r="G48" s="12">
        <v>4</v>
      </c>
      <c r="H48" t="s">
        <v>65</v>
      </c>
    </row>
    <row r="49" spans="1:8" ht="15" customHeight="1" x14ac:dyDescent="0.25">
      <c r="A49" s="12">
        <v>65</v>
      </c>
      <c r="B49" s="11">
        <v>25</v>
      </c>
      <c r="C49" s="12">
        <v>78</v>
      </c>
      <c r="D49" s="12">
        <v>24</v>
      </c>
      <c r="E49" s="12">
        <v>180</v>
      </c>
      <c r="F49" s="12">
        <v>145</v>
      </c>
      <c r="G49" s="13">
        <v>8</v>
      </c>
      <c r="H49" t="s">
        <v>65</v>
      </c>
    </row>
    <row r="50" spans="1:8" x14ac:dyDescent="0.25">
      <c r="A50" s="11">
        <v>80</v>
      </c>
      <c r="B50" s="11">
        <v>1</v>
      </c>
      <c r="C50" s="11">
        <v>91</v>
      </c>
      <c r="D50" s="11">
        <v>14</v>
      </c>
      <c r="E50" s="11">
        <v>185</v>
      </c>
      <c r="F50" s="11">
        <v>150</v>
      </c>
      <c r="G50" s="11">
        <v>4</v>
      </c>
      <c r="H50" t="s">
        <v>65</v>
      </c>
    </row>
    <row r="51" spans="1:8" ht="15" customHeight="1" x14ac:dyDescent="0.25">
      <c r="A51" s="12">
        <v>80</v>
      </c>
      <c r="B51" s="11">
        <v>2.5</v>
      </c>
      <c r="C51" s="12">
        <v>91</v>
      </c>
      <c r="D51" s="12">
        <v>14</v>
      </c>
      <c r="E51" s="12">
        <v>185</v>
      </c>
      <c r="F51" s="12">
        <v>150</v>
      </c>
      <c r="G51" s="13">
        <v>4</v>
      </c>
      <c r="H51" t="s">
        <v>65</v>
      </c>
    </row>
    <row r="52" spans="1:8" x14ac:dyDescent="0.25">
      <c r="A52" s="12">
        <v>80</v>
      </c>
      <c r="B52" s="11">
        <v>6</v>
      </c>
      <c r="C52" s="12">
        <v>91</v>
      </c>
      <c r="D52" s="11">
        <v>18</v>
      </c>
      <c r="E52" s="12">
        <v>185</v>
      </c>
      <c r="F52" s="12">
        <v>150</v>
      </c>
      <c r="G52" s="12">
        <v>4</v>
      </c>
      <c r="H52" t="s">
        <v>65</v>
      </c>
    </row>
    <row r="53" spans="1:8" x14ac:dyDescent="0.25">
      <c r="A53" s="12">
        <v>80</v>
      </c>
      <c r="B53" s="11">
        <v>10</v>
      </c>
      <c r="C53" s="12">
        <v>91</v>
      </c>
      <c r="D53" s="11">
        <v>20</v>
      </c>
      <c r="E53" s="11">
        <v>195</v>
      </c>
      <c r="F53" s="11">
        <v>160</v>
      </c>
      <c r="G53" s="11">
        <v>4</v>
      </c>
      <c r="H53" t="s">
        <v>65</v>
      </c>
    </row>
    <row r="54" spans="1:8" x14ac:dyDescent="0.25">
      <c r="A54" s="12">
        <v>80</v>
      </c>
      <c r="B54" s="11">
        <v>16</v>
      </c>
      <c r="C54" s="12">
        <v>91</v>
      </c>
      <c r="D54" s="11">
        <v>24</v>
      </c>
      <c r="E54" s="12">
        <v>195</v>
      </c>
      <c r="F54" s="12">
        <v>160</v>
      </c>
      <c r="G54" s="12">
        <v>4</v>
      </c>
      <c r="H54" t="s">
        <v>65</v>
      </c>
    </row>
    <row r="55" spans="1:8" ht="15" customHeight="1" x14ac:dyDescent="0.25">
      <c r="A55" s="12">
        <v>80</v>
      </c>
      <c r="B55" s="11">
        <v>25</v>
      </c>
      <c r="C55" s="12">
        <v>91</v>
      </c>
      <c r="D55" s="11">
        <v>26</v>
      </c>
      <c r="E55" s="12">
        <v>195</v>
      </c>
      <c r="F55" s="12">
        <v>160</v>
      </c>
      <c r="G55" s="13">
        <v>8</v>
      </c>
      <c r="H55" t="s">
        <v>65</v>
      </c>
    </row>
    <row r="56" spans="1:8" x14ac:dyDescent="0.25">
      <c r="A56" s="13">
        <v>100</v>
      </c>
      <c r="B56" s="13">
        <v>1</v>
      </c>
      <c r="C56" s="11">
        <v>110</v>
      </c>
      <c r="D56" s="13">
        <v>14</v>
      </c>
      <c r="E56" s="13">
        <v>205</v>
      </c>
      <c r="F56" s="13">
        <v>170</v>
      </c>
      <c r="G56" s="13">
        <v>4</v>
      </c>
      <c r="H56" t="s">
        <v>65</v>
      </c>
    </row>
    <row r="57" spans="1:8" x14ac:dyDescent="0.25">
      <c r="A57" s="13">
        <v>100</v>
      </c>
      <c r="B57" s="13">
        <v>1</v>
      </c>
      <c r="C57" s="11">
        <v>110</v>
      </c>
      <c r="D57" s="13">
        <v>14</v>
      </c>
      <c r="E57" s="13">
        <v>205</v>
      </c>
      <c r="F57" s="13">
        <v>170</v>
      </c>
      <c r="G57" s="13">
        <v>4</v>
      </c>
      <c r="H57" t="s">
        <v>65</v>
      </c>
    </row>
    <row r="58" spans="1:8" x14ac:dyDescent="0.25">
      <c r="A58" s="12">
        <v>100</v>
      </c>
      <c r="B58" s="13">
        <v>2.5</v>
      </c>
      <c r="C58" s="11">
        <v>110</v>
      </c>
      <c r="D58" s="12">
        <v>14</v>
      </c>
      <c r="E58" s="12">
        <v>205</v>
      </c>
      <c r="F58" s="12">
        <v>170</v>
      </c>
      <c r="G58" s="13">
        <v>4</v>
      </c>
      <c r="H58" t="s">
        <v>65</v>
      </c>
    </row>
    <row r="59" spans="1:8" x14ac:dyDescent="0.25">
      <c r="A59" s="12">
        <v>100</v>
      </c>
      <c r="B59" s="13">
        <v>2.5</v>
      </c>
      <c r="C59" s="11">
        <v>110</v>
      </c>
      <c r="D59" s="12">
        <v>14</v>
      </c>
      <c r="E59" s="12">
        <v>205</v>
      </c>
      <c r="F59" s="12">
        <v>170</v>
      </c>
      <c r="G59" s="13">
        <v>4</v>
      </c>
      <c r="H59" t="s">
        <v>65</v>
      </c>
    </row>
    <row r="60" spans="1:8" x14ac:dyDescent="0.25">
      <c r="A60" s="12">
        <v>100</v>
      </c>
      <c r="B60" s="13">
        <v>6</v>
      </c>
      <c r="C60" s="11">
        <v>110</v>
      </c>
      <c r="D60" s="13">
        <v>18</v>
      </c>
      <c r="E60" s="12">
        <v>205</v>
      </c>
      <c r="F60" s="12">
        <v>170</v>
      </c>
      <c r="G60" s="12">
        <v>4</v>
      </c>
      <c r="H60" t="s">
        <v>65</v>
      </c>
    </row>
    <row r="61" spans="1:8" x14ac:dyDescent="0.25">
      <c r="A61" s="12">
        <v>100</v>
      </c>
      <c r="B61" s="13">
        <v>6</v>
      </c>
      <c r="C61" s="11">
        <v>110</v>
      </c>
      <c r="D61" s="13">
        <v>18</v>
      </c>
      <c r="E61" s="12">
        <v>205</v>
      </c>
      <c r="F61" s="12">
        <v>170</v>
      </c>
      <c r="G61" s="12">
        <v>4</v>
      </c>
      <c r="H61" t="s">
        <v>65</v>
      </c>
    </row>
    <row r="62" spans="1:8" x14ac:dyDescent="0.25">
      <c r="A62" s="12">
        <v>100</v>
      </c>
      <c r="B62" s="13">
        <v>10</v>
      </c>
      <c r="C62" s="11">
        <v>110</v>
      </c>
      <c r="D62" s="13">
        <v>22</v>
      </c>
      <c r="E62" s="13">
        <v>215</v>
      </c>
      <c r="F62" s="13">
        <v>180</v>
      </c>
      <c r="G62" s="13">
        <v>8</v>
      </c>
      <c r="H62" t="s">
        <v>65</v>
      </c>
    </row>
    <row r="63" spans="1:8" x14ac:dyDescent="0.25">
      <c r="A63" s="12">
        <v>100</v>
      </c>
      <c r="B63" s="13">
        <v>10</v>
      </c>
      <c r="C63" s="11">
        <v>116</v>
      </c>
      <c r="D63" s="13">
        <v>22</v>
      </c>
      <c r="E63" s="13">
        <v>215</v>
      </c>
      <c r="F63" s="13">
        <v>180</v>
      </c>
      <c r="G63" s="13">
        <v>8</v>
      </c>
      <c r="H63" t="s">
        <v>65</v>
      </c>
    </row>
    <row r="64" spans="1:8" x14ac:dyDescent="0.25">
      <c r="A64" s="12">
        <v>100</v>
      </c>
      <c r="B64" s="13">
        <v>16</v>
      </c>
      <c r="C64" s="11">
        <v>110</v>
      </c>
      <c r="D64" s="13">
        <v>26</v>
      </c>
      <c r="E64" s="12">
        <v>215</v>
      </c>
      <c r="F64" s="12">
        <v>180</v>
      </c>
      <c r="G64" s="12">
        <v>8</v>
      </c>
      <c r="H64" t="s">
        <v>65</v>
      </c>
    </row>
    <row r="65" spans="1:8" x14ac:dyDescent="0.25">
      <c r="A65" s="12">
        <v>100</v>
      </c>
      <c r="B65" s="13">
        <v>16</v>
      </c>
      <c r="C65" s="11">
        <v>116</v>
      </c>
      <c r="D65" s="13">
        <v>26</v>
      </c>
      <c r="E65" s="12">
        <v>215</v>
      </c>
      <c r="F65" s="12">
        <v>180</v>
      </c>
      <c r="G65" s="12">
        <v>8</v>
      </c>
      <c r="H65" t="s">
        <v>65</v>
      </c>
    </row>
    <row r="66" spans="1:8" x14ac:dyDescent="0.25">
      <c r="A66" s="12">
        <v>100</v>
      </c>
      <c r="B66" s="13">
        <v>25</v>
      </c>
      <c r="C66" s="11">
        <v>110</v>
      </c>
      <c r="D66" s="13">
        <v>28</v>
      </c>
      <c r="E66" s="13">
        <v>230</v>
      </c>
      <c r="F66" s="13">
        <v>190</v>
      </c>
      <c r="G66" s="12">
        <v>8</v>
      </c>
      <c r="H66" t="s">
        <v>78</v>
      </c>
    </row>
    <row r="67" spans="1:8" x14ac:dyDescent="0.25">
      <c r="A67" s="12">
        <v>100</v>
      </c>
      <c r="B67" s="13">
        <v>25</v>
      </c>
      <c r="C67" s="11">
        <v>116</v>
      </c>
      <c r="D67" s="13">
        <v>28</v>
      </c>
      <c r="E67" s="13">
        <v>230</v>
      </c>
      <c r="F67" s="13">
        <v>190</v>
      </c>
      <c r="G67" s="12">
        <v>8</v>
      </c>
      <c r="H67" t="s">
        <v>78</v>
      </c>
    </row>
    <row r="68" spans="1:8" x14ac:dyDescent="0.25">
      <c r="A68" s="13">
        <v>125</v>
      </c>
      <c r="B68" s="13">
        <v>1</v>
      </c>
      <c r="C68" s="11">
        <v>135</v>
      </c>
      <c r="D68" s="13">
        <v>16</v>
      </c>
      <c r="E68" s="13">
        <v>235</v>
      </c>
      <c r="F68" s="13">
        <v>200</v>
      </c>
      <c r="G68" s="13">
        <v>8</v>
      </c>
      <c r="H68" t="s">
        <v>65</v>
      </c>
    </row>
    <row r="69" spans="1:8" x14ac:dyDescent="0.25">
      <c r="A69" s="13">
        <v>125</v>
      </c>
      <c r="B69" s="13">
        <v>1</v>
      </c>
      <c r="C69" s="11">
        <v>142</v>
      </c>
      <c r="D69" s="13">
        <v>16</v>
      </c>
      <c r="E69" s="13">
        <v>235</v>
      </c>
      <c r="F69" s="13">
        <v>200</v>
      </c>
      <c r="G69" s="13">
        <v>8</v>
      </c>
      <c r="H69" t="s">
        <v>65</v>
      </c>
    </row>
    <row r="70" spans="1:8" x14ac:dyDescent="0.25">
      <c r="A70" s="12">
        <v>125</v>
      </c>
      <c r="B70" s="13">
        <v>2.5</v>
      </c>
      <c r="C70" s="11">
        <v>135</v>
      </c>
      <c r="D70" s="12">
        <v>16</v>
      </c>
      <c r="E70" s="12">
        <v>235</v>
      </c>
      <c r="F70" s="12">
        <v>200</v>
      </c>
      <c r="G70" s="13">
        <v>8</v>
      </c>
      <c r="H70" t="s">
        <v>65</v>
      </c>
    </row>
    <row r="71" spans="1:8" x14ac:dyDescent="0.25">
      <c r="A71" s="12">
        <v>125</v>
      </c>
      <c r="B71" s="13">
        <v>2.5</v>
      </c>
      <c r="C71" s="11">
        <v>142</v>
      </c>
      <c r="D71" s="12">
        <v>16</v>
      </c>
      <c r="E71" s="12">
        <v>235</v>
      </c>
      <c r="F71" s="12">
        <v>200</v>
      </c>
      <c r="G71" s="13">
        <v>8</v>
      </c>
      <c r="H71" t="s">
        <v>65</v>
      </c>
    </row>
    <row r="72" spans="1:8" x14ac:dyDescent="0.25">
      <c r="A72" s="12">
        <v>125</v>
      </c>
      <c r="B72" s="13">
        <v>6</v>
      </c>
      <c r="C72" s="11">
        <v>135</v>
      </c>
      <c r="D72" s="13">
        <v>20</v>
      </c>
      <c r="E72" s="12">
        <v>235</v>
      </c>
      <c r="F72" s="12">
        <v>200</v>
      </c>
      <c r="G72" s="12">
        <v>8</v>
      </c>
      <c r="H72" t="s">
        <v>65</v>
      </c>
    </row>
    <row r="73" spans="1:8" x14ac:dyDescent="0.25">
      <c r="A73" s="12">
        <v>125</v>
      </c>
      <c r="B73" s="13">
        <v>6</v>
      </c>
      <c r="C73" s="11">
        <v>142</v>
      </c>
      <c r="D73" s="13">
        <v>20</v>
      </c>
      <c r="E73" s="12">
        <v>235</v>
      </c>
      <c r="F73" s="12">
        <v>200</v>
      </c>
      <c r="G73" s="12">
        <v>8</v>
      </c>
      <c r="H73" t="s">
        <v>65</v>
      </c>
    </row>
    <row r="74" spans="1:8" x14ac:dyDescent="0.25">
      <c r="A74" s="12">
        <v>125</v>
      </c>
      <c r="B74" s="13">
        <v>10</v>
      </c>
      <c r="C74" s="11">
        <v>135</v>
      </c>
      <c r="D74" s="13">
        <v>24</v>
      </c>
      <c r="E74" s="13">
        <v>245</v>
      </c>
      <c r="F74" s="13">
        <v>210</v>
      </c>
      <c r="G74" s="12">
        <v>8</v>
      </c>
      <c r="H74" t="s">
        <v>65</v>
      </c>
    </row>
    <row r="75" spans="1:8" x14ac:dyDescent="0.25">
      <c r="A75" s="12">
        <v>125</v>
      </c>
      <c r="B75" s="13">
        <v>10</v>
      </c>
      <c r="C75" s="11">
        <v>142</v>
      </c>
      <c r="D75" s="13">
        <v>24</v>
      </c>
      <c r="E75" s="13">
        <v>245</v>
      </c>
      <c r="F75" s="13">
        <v>210</v>
      </c>
      <c r="G75" s="12">
        <v>8</v>
      </c>
      <c r="H75" t="s">
        <v>65</v>
      </c>
    </row>
    <row r="76" spans="1:8" x14ac:dyDescent="0.25">
      <c r="A76" s="12">
        <v>125</v>
      </c>
      <c r="B76" s="13">
        <v>16</v>
      </c>
      <c r="C76" s="11">
        <v>135</v>
      </c>
      <c r="D76" s="13">
        <v>28</v>
      </c>
      <c r="E76" s="12">
        <v>245</v>
      </c>
      <c r="F76" s="12">
        <v>210</v>
      </c>
      <c r="G76" s="12">
        <v>8</v>
      </c>
      <c r="H76" t="s">
        <v>65</v>
      </c>
    </row>
    <row r="77" spans="1:8" x14ac:dyDescent="0.25">
      <c r="A77" s="12">
        <v>125</v>
      </c>
      <c r="B77" s="13">
        <v>16</v>
      </c>
      <c r="C77" s="11">
        <v>142</v>
      </c>
      <c r="D77" s="13">
        <v>28</v>
      </c>
      <c r="E77" s="12">
        <v>245</v>
      </c>
      <c r="F77" s="12">
        <v>210</v>
      </c>
      <c r="G77" s="12">
        <v>8</v>
      </c>
      <c r="H77" t="s">
        <v>65</v>
      </c>
    </row>
    <row r="78" spans="1:8" x14ac:dyDescent="0.25">
      <c r="A78" s="12">
        <v>125</v>
      </c>
      <c r="B78" s="13">
        <v>25</v>
      </c>
      <c r="C78" s="11">
        <v>135</v>
      </c>
      <c r="D78" s="13">
        <v>30</v>
      </c>
      <c r="E78" s="13">
        <v>270</v>
      </c>
      <c r="F78" s="13">
        <v>220</v>
      </c>
      <c r="G78" s="12">
        <v>8</v>
      </c>
      <c r="H78" t="s">
        <v>90</v>
      </c>
    </row>
    <row r="79" spans="1:8" x14ac:dyDescent="0.25">
      <c r="A79" s="12">
        <v>125</v>
      </c>
      <c r="B79" s="13">
        <v>25</v>
      </c>
      <c r="C79" s="11">
        <v>142</v>
      </c>
      <c r="D79" s="13">
        <v>30</v>
      </c>
      <c r="E79" s="13">
        <v>270</v>
      </c>
      <c r="F79" s="13">
        <v>220</v>
      </c>
      <c r="G79" s="12">
        <v>8</v>
      </c>
      <c r="H79" t="s">
        <v>90</v>
      </c>
    </row>
    <row r="80" spans="1:8" x14ac:dyDescent="0.25">
      <c r="A80" s="13">
        <v>150</v>
      </c>
      <c r="B80" s="13">
        <v>1</v>
      </c>
      <c r="C80" s="11">
        <v>154</v>
      </c>
      <c r="D80" s="13">
        <v>16</v>
      </c>
      <c r="E80" s="13">
        <v>260</v>
      </c>
      <c r="F80" s="13">
        <v>225</v>
      </c>
      <c r="G80" s="13">
        <v>8</v>
      </c>
      <c r="H80" t="s">
        <v>65</v>
      </c>
    </row>
    <row r="81" spans="1:8" x14ac:dyDescent="0.25">
      <c r="A81" s="13">
        <v>150</v>
      </c>
      <c r="B81" s="13">
        <v>1</v>
      </c>
      <c r="C81" s="11">
        <v>161</v>
      </c>
      <c r="D81" s="13">
        <v>16</v>
      </c>
      <c r="E81" s="13">
        <v>260</v>
      </c>
      <c r="F81" s="13">
        <v>225</v>
      </c>
      <c r="G81" s="13">
        <v>8</v>
      </c>
      <c r="H81" t="s">
        <v>65</v>
      </c>
    </row>
    <row r="82" spans="1:8" x14ac:dyDescent="0.25">
      <c r="A82" s="13">
        <v>150</v>
      </c>
      <c r="B82" s="13">
        <v>1</v>
      </c>
      <c r="C82" s="11">
        <v>161</v>
      </c>
      <c r="D82" s="13">
        <v>16</v>
      </c>
      <c r="E82" s="13">
        <v>260</v>
      </c>
      <c r="F82" s="13">
        <v>225</v>
      </c>
      <c r="G82" s="13">
        <v>8</v>
      </c>
      <c r="H82" t="s">
        <v>65</v>
      </c>
    </row>
    <row r="83" spans="1:8" x14ac:dyDescent="0.25">
      <c r="A83" s="12">
        <v>150</v>
      </c>
      <c r="B83" s="13">
        <v>2.5</v>
      </c>
      <c r="C83" s="11">
        <v>154</v>
      </c>
      <c r="D83" s="13">
        <v>16</v>
      </c>
      <c r="E83" s="12">
        <v>260</v>
      </c>
      <c r="F83" s="12">
        <v>225</v>
      </c>
      <c r="G83" s="13">
        <v>8</v>
      </c>
      <c r="H83" t="s">
        <v>65</v>
      </c>
    </row>
    <row r="84" spans="1:8" x14ac:dyDescent="0.25">
      <c r="A84" s="12">
        <v>150</v>
      </c>
      <c r="B84" s="13">
        <v>2.5</v>
      </c>
      <c r="C84" s="11">
        <v>161</v>
      </c>
      <c r="D84" s="13">
        <v>16</v>
      </c>
      <c r="E84" s="12">
        <v>260</v>
      </c>
      <c r="F84" s="12">
        <v>225</v>
      </c>
      <c r="G84" s="13">
        <v>8</v>
      </c>
      <c r="H84" t="s">
        <v>65</v>
      </c>
    </row>
    <row r="85" spans="1:8" x14ac:dyDescent="0.25">
      <c r="A85" s="12">
        <v>150</v>
      </c>
      <c r="B85" s="13">
        <v>2.5</v>
      </c>
      <c r="C85" s="11">
        <v>161</v>
      </c>
      <c r="D85" s="13">
        <v>16</v>
      </c>
      <c r="E85" s="12">
        <v>260</v>
      </c>
      <c r="F85" s="12">
        <v>225</v>
      </c>
      <c r="G85" s="13">
        <v>8</v>
      </c>
      <c r="H85" t="s">
        <v>65</v>
      </c>
    </row>
    <row r="86" spans="1:8" x14ac:dyDescent="0.25">
      <c r="A86" s="12">
        <v>150</v>
      </c>
      <c r="B86" s="13">
        <v>6</v>
      </c>
      <c r="C86" s="11">
        <v>154</v>
      </c>
      <c r="D86" s="13">
        <v>20</v>
      </c>
      <c r="E86" s="12">
        <v>260</v>
      </c>
      <c r="F86" s="12">
        <v>225</v>
      </c>
      <c r="G86" s="12">
        <v>8</v>
      </c>
      <c r="H86" t="s">
        <v>65</v>
      </c>
    </row>
    <row r="87" spans="1:8" x14ac:dyDescent="0.25">
      <c r="A87" s="12">
        <v>150</v>
      </c>
      <c r="B87" s="13">
        <v>6</v>
      </c>
      <c r="C87" s="11">
        <v>161</v>
      </c>
      <c r="D87" s="13">
        <v>20</v>
      </c>
      <c r="E87" s="12">
        <v>260</v>
      </c>
      <c r="F87" s="12">
        <v>225</v>
      </c>
      <c r="G87" s="12">
        <v>8</v>
      </c>
      <c r="H87" t="s">
        <v>65</v>
      </c>
    </row>
    <row r="88" spans="1:8" x14ac:dyDescent="0.25">
      <c r="A88" s="12">
        <v>150</v>
      </c>
      <c r="B88" s="13">
        <v>6</v>
      </c>
      <c r="C88" s="11">
        <v>161</v>
      </c>
      <c r="D88" s="13">
        <v>20</v>
      </c>
      <c r="E88" s="12">
        <v>260</v>
      </c>
      <c r="F88" s="12">
        <v>225</v>
      </c>
      <c r="G88" s="12">
        <v>8</v>
      </c>
      <c r="H88" t="s">
        <v>65</v>
      </c>
    </row>
    <row r="89" spans="1:8" x14ac:dyDescent="0.25">
      <c r="A89" s="12">
        <v>150</v>
      </c>
      <c r="B89" s="13">
        <v>10</v>
      </c>
      <c r="C89" s="11">
        <v>154</v>
      </c>
      <c r="D89" s="13">
        <v>24</v>
      </c>
      <c r="E89" s="13">
        <v>280</v>
      </c>
      <c r="F89" s="13">
        <v>240</v>
      </c>
      <c r="G89" s="12">
        <v>8</v>
      </c>
      <c r="H89" t="s">
        <v>78</v>
      </c>
    </row>
    <row r="90" spans="1:8" x14ac:dyDescent="0.25">
      <c r="A90" s="12">
        <v>150</v>
      </c>
      <c r="B90" s="13">
        <v>10</v>
      </c>
      <c r="C90" s="11">
        <v>161</v>
      </c>
      <c r="D90" s="13">
        <v>24</v>
      </c>
      <c r="E90" s="13">
        <v>280</v>
      </c>
      <c r="F90" s="13">
        <v>240</v>
      </c>
      <c r="G90" s="12">
        <v>8</v>
      </c>
      <c r="H90" t="s">
        <v>78</v>
      </c>
    </row>
    <row r="91" spans="1:8" x14ac:dyDescent="0.25">
      <c r="A91" s="12">
        <v>150</v>
      </c>
      <c r="B91" s="13">
        <v>10</v>
      </c>
      <c r="C91" s="11">
        <v>170</v>
      </c>
      <c r="D91" s="13">
        <v>24</v>
      </c>
      <c r="E91" s="13">
        <v>280</v>
      </c>
      <c r="F91" s="13">
        <v>240</v>
      </c>
      <c r="G91" s="12">
        <v>8</v>
      </c>
      <c r="H91" t="s">
        <v>78</v>
      </c>
    </row>
    <row r="92" spans="1:8" x14ac:dyDescent="0.25">
      <c r="A92" s="12">
        <v>150</v>
      </c>
      <c r="B92" s="13">
        <v>16</v>
      </c>
      <c r="C92" s="11">
        <v>154</v>
      </c>
      <c r="D92" s="13">
        <v>28</v>
      </c>
      <c r="E92" s="12">
        <v>280</v>
      </c>
      <c r="F92" s="12">
        <v>240</v>
      </c>
      <c r="G92" s="12">
        <v>8</v>
      </c>
      <c r="H92" t="s">
        <v>78</v>
      </c>
    </row>
    <row r="93" spans="1:8" x14ac:dyDescent="0.25">
      <c r="A93" s="12">
        <v>150</v>
      </c>
      <c r="B93" s="13">
        <v>16</v>
      </c>
      <c r="C93" s="11">
        <v>161</v>
      </c>
      <c r="D93" s="13">
        <v>28</v>
      </c>
      <c r="E93" s="12">
        <v>280</v>
      </c>
      <c r="F93" s="12">
        <v>240</v>
      </c>
      <c r="G93" s="12">
        <v>8</v>
      </c>
      <c r="H93" t="s">
        <v>78</v>
      </c>
    </row>
    <row r="94" spans="1:8" x14ac:dyDescent="0.25">
      <c r="A94" s="12">
        <v>150</v>
      </c>
      <c r="B94" s="13">
        <v>16</v>
      </c>
      <c r="C94" s="11">
        <v>170</v>
      </c>
      <c r="D94" s="13">
        <v>28</v>
      </c>
      <c r="E94" s="12">
        <v>280</v>
      </c>
      <c r="F94" s="12">
        <v>240</v>
      </c>
      <c r="G94" s="12">
        <v>8</v>
      </c>
      <c r="H94" t="s">
        <v>78</v>
      </c>
    </row>
    <row r="95" spans="1:8" x14ac:dyDescent="0.25">
      <c r="A95" s="12">
        <v>150</v>
      </c>
      <c r="B95" s="13">
        <v>25</v>
      </c>
      <c r="C95" s="11">
        <v>154</v>
      </c>
      <c r="D95" s="13">
        <v>30</v>
      </c>
      <c r="E95" s="13">
        <v>300</v>
      </c>
      <c r="F95" s="13">
        <v>250</v>
      </c>
      <c r="G95" s="12">
        <v>8</v>
      </c>
      <c r="H95" t="s">
        <v>90</v>
      </c>
    </row>
    <row r="96" spans="1:8" x14ac:dyDescent="0.25">
      <c r="A96" s="12">
        <v>150</v>
      </c>
      <c r="B96" s="13">
        <v>25</v>
      </c>
      <c r="C96" s="11">
        <v>161</v>
      </c>
      <c r="D96" s="13">
        <v>30</v>
      </c>
      <c r="E96" s="13">
        <v>300</v>
      </c>
      <c r="F96" s="13">
        <v>250</v>
      </c>
      <c r="G96" s="12">
        <v>8</v>
      </c>
      <c r="H96" t="s">
        <v>90</v>
      </c>
    </row>
    <row r="97" spans="1:8" x14ac:dyDescent="0.25">
      <c r="A97" s="12">
        <v>150</v>
      </c>
      <c r="B97" s="13">
        <v>25</v>
      </c>
      <c r="C97" s="11">
        <v>170</v>
      </c>
      <c r="D97" s="13">
        <v>30</v>
      </c>
      <c r="E97" s="13">
        <v>300</v>
      </c>
      <c r="F97" s="13">
        <v>250</v>
      </c>
      <c r="G97" s="12">
        <v>8</v>
      </c>
      <c r="H97" t="s">
        <v>90</v>
      </c>
    </row>
    <row r="98" spans="1:8" x14ac:dyDescent="0.25">
      <c r="A98" s="11">
        <v>200</v>
      </c>
      <c r="B98" s="11">
        <v>1</v>
      </c>
      <c r="C98" s="11">
        <v>222</v>
      </c>
      <c r="D98" s="11">
        <v>18</v>
      </c>
      <c r="E98" s="11">
        <v>315</v>
      </c>
      <c r="F98" s="11">
        <v>280</v>
      </c>
      <c r="G98" s="11">
        <v>8</v>
      </c>
      <c r="H98" t="s">
        <v>65</v>
      </c>
    </row>
    <row r="99" spans="1:8" ht="15" customHeight="1" x14ac:dyDescent="0.25">
      <c r="A99" s="12">
        <v>200</v>
      </c>
      <c r="B99" s="11">
        <v>2.5</v>
      </c>
      <c r="C99" s="12">
        <v>222</v>
      </c>
      <c r="D99" s="12">
        <v>18</v>
      </c>
      <c r="E99" s="12">
        <v>315</v>
      </c>
      <c r="F99" s="12">
        <v>280</v>
      </c>
      <c r="G99" s="13">
        <v>8</v>
      </c>
      <c r="H99" t="s">
        <v>65</v>
      </c>
    </row>
    <row r="100" spans="1:8" x14ac:dyDescent="0.25">
      <c r="A100" s="12">
        <v>200</v>
      </c>
      <c r="B100" s="11">
        <v>6</v>
      </c>
      <c r="C100" s="12">
        <v>222</v>
      </c>
      <c r="D100" s="11">
        <v>22</v>
      </c>
      <c r="E100" s="12">
        <v>315</v>
      </c>
      <c r="F100" s="12">
        <v>280</v>
      </c>
      <c r="G100" s="12">
        <v>8</v>
      </c>
      <c r="H100" t="s">
        <v>65</v>
      </c>
    </row>
    <row r="101" spans="1:8" ht="15" customHeight="1" x14ac:dyDescent="0.25">
      <c r="A101" s="12">
        <v>200</v>
      </c>
      <c r="B101" s="11">
        <v>10</v>
      </c>
      <c r="C101" s="12">
        <v>222</v>
      </c>
      <c r="D101" s="13">
        <v>24</v>
      </c>
      <c r="E101" s="11">
        <v>335</v>
      </c>
      <c r="F101" s="11">
        <v>295</v>
      </c>
      <c r="G101" s="12">
        <v>8</v>
      </c>
      <c r="H101" t="s">
        <v>78</v>
      </c>
    </row>
    <row r="102" spans="1:8" ht="15" customHeight="1" x14ac:dyDescent="0.25">
      <c r="A102" s="12">
        <v>200</v>
      </c>
      <c r="B102" s="11">
        <v>16</v>
      </c>
      <c r="C102" s="12">
        <v>222</v>
      </c>
      <c r="D102" s="11">
        <v>30</v>
      </c>
      <c r="E102" s="12">
        <v>335</v>
      </c>
      <c r="F102" s="12">
        <v>295</v>
      </c>
      <c r="G102" s="13">
        <v>12</v>
      </c>
      <c r="H102" t="s">
        <v>78</v>
      </c>
    </row>
    <row r="103" spans="1:8" ht="15" customHeight="1" x14ac:dyDescent="0.25">
      <c r="A103" s="12">
        <v>200</v>
      </c>
      <c r="B103" s="11">
        <v>25</v>
      </c>
      <c r="C103" s="12">
        <v>222</v>
      </c>
      <c r="D103" s="13">
        <v>32</v>
      </c>
      <c r="E103" s="13">
        <v>360</v>
      </c>
      <c r="F103" s="11">
        <v>310</v>
      </c>
      <c r="G103" s="12">
        <v>12</v>
      </c>
      <c r="H103" t="s">
        <v>90</v>
      </c>
    </row>
    <row r="104" spans="1:8" x14ac:dyDescent="0.25">
      <c r="A104" s="11">
        <v>250</v>
      </c>
      <c r="B104" s="11">
        <v>1</v>
      </c>
      <c r="C104" s="11">
        <v>273</v>
      </c>
      <c r="D104" s="11">
        <v>21</v>
      </c>
      <c r="E104" s="11">
        <v>370</v>
      </c>
      <c r="F104" s="11">
        <v>335</v>
      </c>
      <c r="G104" s="11">
        <v>12</v>
      </c>
      <c r="H104" t="s">
        <v>65</v>
      </c>
    </row>
    <row r="105" spans="1:8" ht="15" customHeight="1" x14ac:dyDescent="0.25">
      <c r="A105" s="12">
        <v>250</v>
      </c>
      <c r="B105" s="11">
        <v>2.5</v>
      </c>
      <c r="C105" s="12">
        <v>273</v>
      </c>
      <c r="D105" s="12">
        <v>21</v>
      </c>
      <c r="E105" s="12">
        <v>370</v>
      </c>
      <c r="F105" s="12">
        <v>335</v>
      </c>
      <c r="G105" s="13">
        <v>12</v>
      </c>
      <c r="H105" t="s">
        <v>65</v>
      </c>
    </row>
    <row r="106" spans="1:8" x14ac:dyDescent="0.25">
      <c r="A106" s="12">
        <v>250</v>
      </c>
      <c r="B106" s="11">
        <v>6</v>
      </c>
      <c r="C106" s="12">
        <v>273</v>
      </c>
      <c r="D106" s="11">
        <v>23</v>
      </c>
      <c r="E106" s="12">
        <v>370</v>
      </c>
      <c r="F106" s="12">
        <v>335</v>
      </c>
      <c r="G106" s="12">
        <v>12</v>
      </c>
      <c r="H106" t="s">
        <v>65</v>
      </c>
    </row>
    <row r="107" spans="1:8" ht="15" customHeight="1" x14ac:dyDescent="0.25">
      <c r="A107" s="12">
        <v>250</v>
      </c>
      <c r="B107" s="11">
        <v>10</v>
      </c>
      <c r="C107" s="12">
        <v>273</v>
      </c>
      <c r="D107" s="13">
        <v>26</v>
      </c>
      <c r="E107" s="13">
        <v>390</v>
      </c>
      <c r="F107" s="11">
        <v>350</v>
      </c>
      <c r="G107" s="12">
        <v>12</v>
      </c>
      <c r="H107" t="s">
        <v>78</v>
      </c>
    </row>
    <row r="108" spans="1:8" ht="15" customHeight="1" x14ac:dyDescent="0.25">
      <c r="A108" s="12">
        <v>250</v>
      </c>
      <c r="B108" s="11">
        <v>16</v>
      </c>
      <c r="C108" s="12">
        <v>273</v>
      </c>
      <c r="D108" s="11">
        <v>31</v>
      </c>
      <c r="E108" s="13">
        <v>405</v>
      </c>
      <c r="F108" s="11">
        <v>355</v>
      </c>
      <c r="G108" s="12">
        <v>12</v>
      </c>
      <c r="H108" t="s">
        <v>90</v>
      </c>
    </row>
    <row r="109" spans="1:8" ht="15" customHeight="1" x14ac:dyDescent="0.25">
      <c r="A109" s="12">
        <v>250</v>
      </c>
      <c r="B109" s="11">
        <v>25</v>
      </c>
      <c r="C109" s="12">
        <v>273</v>
      </c>
      <c r="D109" s="11">
        <v>34</v>
      </c>
      <c r="E109" s="13">
        <v>425</v>
      </c>
      <c r="F109" s="11">
        <v>370</v>
      </c>
      <c r="G109" s="12">
        <v>12</v>
      </c>
      <c r="H109" t="s">
        <v>99</v>
      </c>
    </row>
    <row r="110" spans="1:8" x14ac:dyDescent="0.25">
      <c r="A110" s="11">
        <v>300</v>
      </c>
      <c r="B110" s="11">
        <v>1</v>
      </c>
      <c r="C110" s="11">
        <v>325</v>
      </c>
      <c r="D110" s="11">
        <v>22</v>
      </c>
      <c r="E110" s="11">
        <v>435</v>
      </c>
      <c r="F110" s="11">
        <v>395</v>
      </c>
      <c r="G110" s="11">
        <v>12</v>
      </c>
      <c r="H110" t="s">
        <v>78</v>
      </c>
    </row>
    <row r="111" spans="1:8" ht="15" customHeight="1" x14ac:dyDescent="0.25">
      <c r="A111" s="12">
        <v>300</v>
      </c>
      <c r="B111" s="11">
        <v>2.5</v>
      </c>
      <c r="C111" s="12">
        <v>325</v>
      </c>
      <c r="D111" s="12">
        <v>22</v>
      </c>
      <c r="E111" s="12">
        <v>435</v>
      </c>
      <c r="F111" s="12">
        <v>395</v>
      </c>
      <c r="G111" s="13">
        <v>12</v>
      </c>
      <c r="H111" t="s">
        <v>78</v>
      </c>
    </row>
    <row r="112" spans="1:8" x14ac:dyDescent="0.25">
      <c r="A112" s="12">
        <v>300</v>
      </c>
      <c r="B112" s="11">
        <v>6</v>
      </c>
      <c r="C112" s="12">
        <v>325</v>
      </c>
      <c r="D112" s="11">
        <v>24</v>
      </c>
      <c r="E112" s="12">
        <v>435</v>
      </c>
      <c r="F112" s="12">
        <v>395</v>
      </c>
      <c r="G112" s="12">
        <v>12</v>
      </c>
      <c r="H112" t="s">
        <v>78</v>
      </c>
    </row>
    <row r="113" spans="1:8" x14ac:dyDescent="0.25">
      <c r="A113" s="12">
        <v>300</v>
      </c>
      <c r="B113" s="11">
        <v>10</v>
      </c>
      <c r="C113" s="12">
        <v>325</v>
      </c>
      <c r="D113" s="11">
        <v>28</v>
      </c>
      <c r="E113" s="11">
        <v>440</v>
      </c>
      <c r="F113" s="11">
        <v>400</v>
      </c>
      <c r="G113" s="12">
        <v>12</v>
      </c>
      <c r="H113" t="s">
        <v>78</v>
      </c>
    </row>
    <row r="114" spans="1:8" ht="15" customHeight="1" x14ac:dyDescent="0.25">
      <c r="A114" s="12">
        <v>300</v>
      </c>
      <c r="B114" s="11">
        <v>16</v>
      </c>
      <c r="C114" s="12">
        <v>325</v>
      </c>
      <c r="D114" s="11">
        <v>32</v>
      </c>
      <c r="E114" s="13">
        <v>460</v>
      </c>
      <c r="F114" s="11">
        <v>410</v>
      </c>
      <c r="G114" s="12">
        <v>12</v>
      </c>
      <c r="H114" t="s">
        <v>90</v>
      </c>
    </row>
    <row r="115" spans="1:8" ht="15" customHeight="1" x14ac:dyDescent="0.25">
      <c r="A115" s="12">
        <v>300</v>
      </c>
      <c r="B115" s="11">
        <v>25</v>
      </c>
      <c r="C115" s="12">
        <v>325</v>
      </c>
      <c r="D115" s="11">
        <v>36</v>
      </c>
      <c r="E115" s="13">
        <v>485</v>
      </c>
      <c r="F115" s="11">
        <v>430</v>
      </c>
      <c r="G115" s="13">
        <v>16</v>
      </c>
      <c r="H115" t="s">
        <v>99</v>
      </c>
    </row>
    <row r="116" spans="1:8" x14ac:dyDescent="0.25">
      <c r="A116" s="11">
        <v>350</v>
      </c>
      <c r="B116" s="11">
        <v>1</v>
      </c>
      <c r="C116" s="11">
        <v>377</v>
      </c>
      <c r="D116" s="11">
        <v>22</v>
      </c>
      <c r="E116" s="11">
        <v>485</v>
      </c>
      <c r="F116" s="11">
        <v>445</v>
      </c>
      <c r="G116" s="11">
        <v>12</v>
      </c>
      <c r="H116" t="s">
        <v>78</v>
      </c>
    </row>
    <row r="117" spans="1:8" ht="15" customHeight="1" x14ac:dyDescent="0.25">
      <c r="A117" s="12">
        <v>350</v>
      </c>
      <c r="B117" s="11">
        <v>2.5</v>
      </c>
      <c r="C117" s="12">
        <v>377</v>
      </c>
      <c r="D117" s="12">
        <v>22</v>
      </c>
      <c r="E117" s="12">
        <v>485</v>
      </c>
      <c r="F117" s="12">
        <v>445</v>
      </c>
      <c r="G117" s="13">
        <v>12</v>
      </c>
      <c r="H117" t="s">
        <v>78</v>
      </c>
    </row>
    <row r="118" spans="1:8" x14ac:dyDescent="0.25">
      <c r="A118" s="12">
        <v>350</v>
      </c>
      <c r="B118" s="11">
        <v>6</v>
      </c>
      <c r="C118" s="12">
        <v>377</v>
      </c>
      <c r="D118" s="11">
        <v>26</v>
      </c>
      <c r="E118" s="12">
        <v>485</v>
      </c>
      <c r="F118" s="12">
        <v>445</v>
      </c>
      <c r="G118" s="12">
        <v>12</v>
      </c>
      <c r="H118" t="s">
        <v>78</v>
      </c>
    </row>
    <row r="119" spans="1:8" ht="15" customHeight="1" x14ac:dyDescent="0.25">
      <c r="A119" s="12">
        <v>350</v>
      </c>
      <c r="B119" s="11">
        <v>10</v>
      </c>
      <c r="C119" s="12">
        <v>377</v>
      </c>
      <c r="D119" s="11">
        <v>28</v>
      </c>
      <c r="E119" s="11">
        <v>500</v>
      </c>
      <c r="F119" s="11">
        <v>460</v>
      </c>
      <c r="G119" s="13">
        <v>16</v>
      </c>
      <c r="H119" t="s">
        <v>78</v>
      </c>
    </row>
    <row r="120" spans="1:8" ht="15" customHeight="1" x14ac:dyDescent="0.25">
      <c r="A120" s="12">
        <v>350</v>
      </c>
      <c r="B120" s="11">
        <v>16</v>
      </c>
      <c r="C120" s="12">
        <v>377</v>
      </c>
      <c r="D120" s="11">
        <v>34</v>
      </c>
      <c r="E120" s="13">
        <v>520</v>
      </c>
      <c r="F120" s="11">
        <v>470</v>
      </c>
      <c r="G120" s="12">
        <v>16</v>
      </c>
      <c r="H120" t="s">
        <v>90</v>
      </c>
    </row>
    <row r="121" spans="1:8" ht="15" customHeight="1" x14ac:dyDescent="0.25">
      <c r="A121" s="12">
        <v>350</v>
      </c>
      <c r="B121" s="11">
        <v>25</v>
      </c>
      <c r="C121" s="12">
        <v>377</v>
      </c>
      <c r="D121" s="13">
        <v>42</v>
      </c>
      <c r="E121" s="11">
        <v>550</v>
      </c>
      <c r="F121" s="11">
        <v>490</v>
      </c>
      <c r="G121" s="12">
        <v>16</v>
      </c>
      <c r="H121" t="s">
        <v>108</v>
      </c>
    </row>
    <row r="122" spans="1:8" x14ac:dyDescent="0.25">
      <c r="A122" s="11">
        <v>400</v>
      </c>
      <c r="B122" s="11">
        <v>1</v>
      </c>
      <c r="C122" s="11">
        <v>426</v>
      </c>
      <c r="D122" s="11">
        <v>22</v>
      </c>
      <c r="E122" s="11">
        <v>535</v>
      </c>
      <c r="F122" s="11">
        <v>495</v>
      </c>
      <c r="G122" s="11">
        <v>16</v>
      </c>
      <c r="H122" t="s">
        <v>78</v>
      </c>
    </row>
    <row r="123" spans="1:8" ht="15" customHeight="1" x14ac:dyDescent="0.25">
      <c r="A123" s="12">
        <v>400</v>
      </c>
      <c r="B123" s="11">
        <v>2.5</v>
      </c>
      <c r="C123" s="12">
        <v>426</v>
      </c>
      <c r="D123" s="12">
        <v>22</v>
      </c>
      <c r="E123" s="12">
        <v>535</v>
      </c>
      <c r="F123" s="12">
        <v>495</v>
      </c>
      <c r="G123" s="13">
        <v>16</v>
      </c>
      <c r="H123" t="s">
        <v>78</v>
      </c>
    </row>
    <row r="124" spans="1:8" x14ac:dyDescent="0.25">
      <c r="A124" s="12">
        <v>400</v>
      </c>
      <c r="B124" s="11">
        <v>6</v>
      </c>
      <c r="C124" s="12">
        <v>426</v>
      </c>
      <c r="D124" s="11">
        <v>28</v>
      </c>
      <c r="E124" s="12">
        <v>535</v>
      </c>
      <c r="F124" s="12">
        <v>495</v>
      </c>
      <c r="G124" s="12">
        <v>16</v>
      </c>
      <c r="H124" t="s">
        <v>78</v>
      </c>
    </row>
    <row r="125" spans="1:8" ht="15" customHeight="1" x14ac:dyDescent="0.25">
      <c r="A125" s="12">
        <v>400</v>
      </c>
      <c r="B125" s="11">
        <v>10</v>
      </c>
      <c r="C125" s="12">
        <v>426</v>
      </c>
      <c r="D125" s="11">
        <v>30</v>
      </c>
      <c r="E125" s="13">
        <v>565</v>
      </c>
      <c r="F125" s="11">
        <v>515</v>
      </c>
      <c r="G125" s="12">
        <v>16</v>
      </c>
      <c r="H125" t="s">
        <v>90</v>
      </c>
    </row>
    <row r="126" spans="1:8" ht="15" customHeight="1" x14ac:dyDescent="0.25">
      <c r="A126" s="12">
        <v>400</v>
      </c>
      <c r="B126" s="11">
        <v>16</v>
      </c>
      <c r="C126" s="12">
        <v>426</v>
      </c>
      <c r="D126" s="13">
        <v>38</v>
      </c>
      <c r="E126" s="13">
        <v>580</v>
      </c>
      <c r="F126" s="11">
        <v>525</v>
      </c>
      <c r="G126" s="12">
        <v>16</v>
      </c>
      <c r="H126" t="s">
        <v>99</v>
      </c>
    </row>
    <row r="127" spans="1:8" x14ac:dyDescent="0.25">
      <c r="A127" s="12">
        <v>400</v>
      </c>
      <c r="B127" s="11">
        <v>25</v>
      </c>
      <c r="C127" s="12">
        <v>426</v>
      </c>
      <c r="D127" s="11">
        <v>44</v>
      </c>
      <c r="E127" s="11">
        <v>610</v>
      </c>
      <c r="F127" s="11">
        <v>550</v>
      </c>
      <c r="G127" s="12">
        <v>16</v>
      </c>
      <c r="H127" t="s">
        <v>108</v>
      </c>
    </row>
    <row r="128" spans="1:8" x14ac:dyDescent="0.25">
      <c r="A128" s="11">
        <v>450</v>
      </c>
      <c r="B128" s="11">
        <v>1</v>
      </c>
      <c r="C128" s="11">
        <v>480</v>
      </c>
      <c r="D128" s="11">
        <v>24</v>
      </c>
      <c r="E128" s="11">
        <v>590</v>
      </c>
      <c r="F128" s="11">
        <v>550</v>
      </c>
      <c r="G128" s="11">
        <v>16</v>
      </c>
      <c r="H128" t="s">
        <v>78</v>
      </c>
    </row>
    <row r="129" spans="1:8" ht="15" customHeight="1" x14ac:dyDescent="0.25">
      <c r="A129" s="12">
        <v>450</v>
      </c>
      <c r="B129" s="11">
        <v>2.5</v>
      </c>
      <c r="C129" s="12">
        <v>480</v>
      </c>
      <c r="D129" s="12">
        <v>24</v>
      </c>
      <c r="E129" s="12">
        <v>590</v>
      </c>
      <c r="F129" s="12">
        <v>550</v>
      </c>
      <c r="G129" s="13">
        <v>16</v>
      </c>
      <c r="H129" t="s">
        <v>78</v>
      </c>
    </row>
    <row r="130" spans="1:8" x14ac:dyDescent="0.25">
      <c r="A130" s="12">
        <v>450</v>
      </c>
      <c r="B130" s="11">
        <v>6</v>
      </c>
      <c r="C130" s="12">
        <v>480</v>
      </c>
      <c r="D130" s="11">
        <v>28</v>
      </c>
      <c r="E130" s="12">
        <v>590</v>
      </c>
      <c r="F130" s="12">
        <v>550</v>
      </c>
      <c r="G130" s="12">
        <v>16</v>
      </c>
      <c r="H130" t="s">
        <v>78</v>
      </c>
    </row>
    <row r="131" spans="1:8" ht="15" customHeight="1" x14ac:dyDescent="0.25">
      <c r="A131" s="12">
        <v>450</v>
      </c>
      <c r="B131" s="11">
        <v>10</v>
      </c>
      <c r="C131" s="12">
        <v>480</v>
      </c>
      <c r="D131" s="11">
        <v>30</v>
      </c>
      <c r="E131" s="13">
        <v>615</v>
      </c>
      <c r="F131" s="11">
        <v>565</v>
      </c>
      <c r="G131" s="13">
        <v>20</v>
      </c>
      <c r="H131" t="s">
        <v>90</v>
      </c>
    </row>
    <row r="132" spans="1:8" ht="15" customHeight="1" x14ac:dyDescent="0.25">
      <c r="A132" s="12">
        <v>450</v>
      </c>
      <c r="B132" s="11">
        <v>16</v>
      </c>
      <c r="C132" s="12">
        <v>480</v>
      </c>
      <c r="D132" s="13">
        <v>42</v>
      </c>
      <c r="E132" s="13">
        <v>640</v>
      </c>
      <c r="F132" s="11">
        <v>585</v>
      </c>
      <c r="G132" s="12">
        <v>20</v>
      </c>
      <c r="H132" t="s">
        <v>99</v>
      </c>
    </row>
    <row r="133" spans="1:8" x14ac:dyDescent="0.25">
      <c r="A133" s="12">
        <v>450</v>
      </c>
      <c r="B133" s="11">
        <v>25</v>
      </c>
      <c r="C133" s="12">
        <v>480</v>
      </c>
      <c r="D133" s="11">
        <v>48</v>
      </c>
      <c r="E133" s="11">
        <v>660</v>
      </c>
      <c r="F133" s="11">
        <v>600</v>
      </c>
      <c r="G133" s="12">
        <v>20</v>
      </c>
      <c r="H133" t="s">
        <v>108</v>
      </c>
    </row>
    <row r="134" spans="1:8" x14ac:dyDescent="0.25">
      <c r="A134" s="11">
        <v>500</v>
      </c>
      <c r="B134" s="11">
        <v>1</v>
      </c>
      <c r="C134" s="11">
        <v>530</v>
      </c>
      <c r="D134" s="11">
        <v>24</v>
      </c>
      <c r="E134" s="11">
        <v>640</v>
      </c>
      <c r="F134" s="11">
        <v>600</v>
      </c>
      <c r="G134" s="11">
        <v>16</v>
      </c>
      <c r="H134" t="s">
        <v>78</v>
      </c>
    </row>
    <row r="135" spans="1:8" ht="15" customHeight="1" x14ac:dyDescent="0.25">
      <c r="A135" s="12">
        <v>500</v>
      </c>
      <c r="B135" s="11">
        <v>2.5</v>
      </c>
      <c r="C135" s="12">
        <v>530</v>
      </c>
      <c r="D135" s="12">
        <v>24</v>
      </c>
      <c r="E135" s="12">
        <v>640</v>
      </c>
      <c r="F135" s="12">
        <v>600</v>
      </c>
      <c r="G135" s="12">
        <v>16</v>
      </c>
      <c r="H135" t="s">
        <v>78</v>
      </c>
    </row>
    <row r="136" spans="1:8" x14ac:dyDescent="0.25">
      <c r="A136" s="12">
        <v>500</v>
      </c>
      <c r="B136" s="11">
        <v>6</v>
      </c>
      <c r="C136" s="12">
        <v>530</v>
      </c>
      <c r="D136" s="11">
        <v>29</v>
      </c>
      <c r="E136" s="12">
        <v>640</v>
      </c>
      <c r="F136" s="12">
        <v>600</v>
      </c>
      <c r="G136" s="12">
        <v>16</v>
      </c>
      <c r="H136" t="s">
        <v>78</v>
      </c>
    </row>
    <row r="137" spans="1:8" ht="15" customHeight="1" x14ac:dyDescent="0.25">
      <c r="A137" s="12">
        <v>500</v>
      </c>
      <c r="B137" s="11">
        <v>10</v>
      </c>
      <c r="C137" s="12">
        <v>530</v>
      </c>
      <c r="D137" s="11">
        <v>32</v>
      </c>
      <c r="E137" s="13">
        <v>670</v>
      </c>
      <c r="F137" s="11">
        <v>620</v>
      </c>
      <c r="G137" s="13">
        <v>20</v>
      </c>
      <c r="H137" t="s">
        <v>90</v>
      </c>
    </row>
    <row r="138" spans="1:8" ht="15" customHeight="1" x14ac:dyDescent="0.25">
      <c r="A138" s="12">
        <v>500</v>
      </c>
      <c r="B138" s="11">
        <v>16</v>
      </c>
      <c r="C138" s="12">
        <v>530</v>
      </c>
      <c r="D138" s="11">
        <v>48</v>
      </c>
      <c r="E138" s="11">
        <v>710</v>
      </c>
      <c r="F138" s="11">
        <v>650</v>
      </c>
      <c r="G138" s="12">
        <v>20</v>
      </c>
      <c r="H138" t="s">
        <v>108</v>
      </c>
    </row>
    <row r="139" spans="1:8" ht="15" customHeight="1" x14ac:dyDescent="0.25">
      <c r="A139" s="12">
        <v>500</v>
      </c>
      <c r="B139" s="11">
        <v>25</v>
      </c>
      <c r="C139" s="12">
        <v>530</v>
      </c>
      <c r="D139" s="11">
        <v>52</v>
      </c>
      <c r="E139" s="13">
        <v>730</v>
      </c>
      <c r="F139" s="11">
        <v>660</v>
      </c>
      <c r="G139" s="12">
        <v>20</v>
      </c>
      <c r="H139" t="s">
        <v>126</v>
      </c>
    </row>
    <row r="140" spans="1:8" x14ac:dyDescent="0.25">
      <c r="A140" s="11">
        <v>600</v>
      </c>
      <c r="B140" s="11">
        <v>1</v>
      </c>
      <c r="C140" s="11">
        <v>630</v>
      </c>
      <c r="D140" s="11">
        <v>25</v>
      </c>
      <c r="E140" s="11">
        <v>755</v>
      </c>
      <c r="F140" s="11">
        <v>705</v>
      </c>
      <c r="G140" s="11">
        <v>20</v>
      </c>
      <c r="H140" t="s">
        <v>90</v>
      </c>
    </row>
    <row r="141" spans="1:8" ht="15" customHeight="1" x14ac:dyDescent="0.25">
      <c r="A141" s="12">
        <v>600</v>
      </c>
      <c r="B141" s="11">
        <v>2.5</v>
      </c>
      <c r="C141" s="12">
        <v>630</v>
      </c>
      <c r="D141" s="12">
        <v>25</v>
      </c>
      <c r="E141" s="13">
        <v>755</v>
      </c>
      <c r="F141" s="12">
        <v>705</v>
      </c>
      <c r="G141" s="13">
        <v>20</v>
      </c>
      <c r="H141" t="s">
        <v>90</v>
      </c>
    </row>
    <row r="142" spans="1:8" x14ac:dyDescent="0.25">
      <c r="A142" s="12">
        <v>600</v>
      </c>
      <c r="B142" s="11">
        <v>6</v>
      </c>
      <c r="C142" s="12">
        <v>630</v>
      </c>
      <c r="D142" s="11">
        <v>30</v>
      </c>
      <c r="E142" s="12">
        <v>755</v>
      </c>
      <c r="F142" s="12">
        <v>705</v>
      </c>
      <c r="G142" s="12">
        <v>20</v>
      </c>
      <c r="H142" t="s">
        <v>90</v>
      </c>
    </row>
    <row r="143" spans="1:8" ht="15" customHeight="1" x14ac:dyDescent="0.25">
      <c r="A143" s="12">
        <v>600</v>
      </c>
      <c r="B143" s="11">
        <v>10</v>
      </c>
      <c r="C143" s="12">
        <v>630</v>
      </c>
      <c r="D143" s="11">
        <v>36</v>
      </c>
      <c r="E143" s="13">
        <v>780</v>
      </c>
      <c r="F143" s="11">
        <v>725</v>
      </c>
      <c r="G143" s="12">
        <v>20</v>
      </c>
      <c r="H143" t="s">
        <v>99</v>
      </c>
    </row>
    <row r="144" spans="1:8" ht="15" customHeight="1" x14ac:dyDescent="0.25">
      <c r="A144" s="12">
        <v>600</v>
      </c>
      <c r="B144" s="11">
        <v>16</v>
      </c>
      <c r="C144" s="12">
        <v>630</v>
      </c>
      <c r="D144" s="11">
        <v>50</v>
      </c>
      <c r="E144" s="13">
        <v>840</v>
      </c>
      <c r="F144" s="11">
        <v>770</v>
      </c>
      <c r="G144" s="12">
        <v>20</v>
      </c>
      <c r="H144" t="s">
        <v>126</v>
      </c>
    </row>
    <row r="145" spans="1:8" ht="15" customHeight="1" x14ac:dyDescent="0.25">
      <c r="A145" s="12">
        <v>600</v>
      </c>
      <c r="B145" s="11">
        <v>25</v>
      </c>
      <c r="C145" s="12">
        <v>630</v>
      </c>
      <c r="D145" s="11">
        <v>54</v>
      </c>
      <c r="E145" s="11">
        <v>840</v>
      </c>
      <c r="F145" s="12">
        <v>770</v>
      </c>
      <c r="G145" s="12">
        <v>20</v>
      </c>
      <c r="H145" t="s">
        <v>126</v>
      </c>
    </row>
    <row r="146" spans="1:8" x14ac:dyDescent="0.25">
      <c r="A146" s="11">
        <v>700</v>
      </c>
      <c r="B146" s="11">
        <v>1</v>
      </c>
      <c r="C146" s="11">
        <v>720</v>
      </c>
      <c r="D146" s="11">
        <v>26</v>
      </c>
      <c r="E146" s="11">
        <v>860</v>
      </c>
      <c r="F146" s="11">
        <v>810</v>
      </c>
      <c r="G146" s="11">
        <v>24</v>
      </c>
      <c r="H146" t="s">
        <v>90</v>
      </c>
    </row>
    <row r="147" spans="1:8" ht="15" customHeight="1" x14ac:dyDescent="0.25">
      <c r="A147" s="12">
        <v>700</v>
      </c>
      <c r="B147" s="11">
        <v>2.5</v>
      </c>
      <c r="C147" s="12">
        <v>720</v>
      </c>
      <c r="D147" s="12">
        <v>26</v>
      </c>
      <c r="E147" s="13">
        <v>860</v>
      </c>
      <c r="F147" s="12">
        <v>810</v>
      </c>
      <c r="G147" s="13">
        <v>24</v>
      </c>
      <c r="H147" t="s">
        <v>90</v>
      </c>
    </row>
    <row r="148" spans="1:8" x14ac:dyDescent="0.25">
      <c r="A148" s="12">
        <v>700</v>
      </c>
      <c r="B148" s="11">
        <v>6</v>
      </c>
      <c r="C148" s="12">
        <v>720</v>
      </c>
      <c r="D148" s="11">
        <v>32</v>
      </c>
      <c r="E148" s="12">
        <v>860</v>
      </c>
      <c r="F148" s="12">
        <v>810</v>
      </c>
      <c r="G148" s="12">
        <v>24</v>
      </c>
      <c r="H148" t="s">
        <v>90</v>
      </c>
    </row>
    <row r="149" spans="1:8" ht="15" customHeight="1" x14ac:dyDescent="0.25">
      <c r="A149" s="12">
        <v>700</v>
      </c>
      <c r="B149" s="11">
        <v>10</v>
      </c>
      <c r="C149" s="12">
        <v>720</v>
      </c>
      <c r="D149" s="11">
        <v>39</v>
      </c>
      <c r="E149" s="13">
        <v>895</v>
      </c>
      <c r="F149" s="11">
        <v>840</v>
      </c>
      <c r="G149" s="12">
        <v>24</v>
      </c>
      <c r="H149" t="s">
        <v>99</v>
      </c>
    </row>
    <row r="150" spans="1:8" ht="15" customHeight="1" x14ac:dyDescent="0.25">
      <c r="A150" s="12">
        <v>700</v>
      </c>
      <c r="B150" s="11">
        <v>16</v>
      </c>
      <c r="C150" s="12">
        <v>720</v>
      </c>
      <c r="D150" s="11">
        <v>52</v>
      </c>
      <c r="E150" s="13">
        <v>910</v>
      </c>
      <c r="F150" s="12">
        <v>840</v>
      </c>
      <c r="G150" s="12">
        <v>24</v>
      </c>
      <c r="H150" t="s">
        <v>126</v>
      </c>
    </row>
    <row r="151" spans="1:8" ht="15" customHeight="1" x14ac:dyDescent="0.25">
      <c r="A151" s="12">
        <v>700</v>
      </c>
      <c r="B151" s="11">
        <v>25</v>
      </c>
      <c r="C151" s="12">
        <v>720</v>
      </c>
      <c r="D151" s="11">
        <v>60</v>
      </c>
      <c r="E151" s="13">
        <v>960</v>
      </c>
      <c r="F151" s="11">
        <v>875</v>
      </c>
      <c r="G151" s="12">
        <v>24</v>
      </c>
      <c r="H151" t="s">
        <v>144</v>
      </c>
    </row>
    <row r="152" spans="1:8" x14ac:dyDescent="0.25">
      <c r="A152" s="11">
        <v>800</v>
      </c>
      <c r="B152" s="11">
        <v>1</v>
      </c>
      <c r="C152" s="11">
        <v>820</v>
      </c>
      <c r="D152" s="11">
        <v>26</v>
      </c>
      <c r="E152" s="11">
        <v>975</v>
      </c>
      <c r="F152" s="11">
        <v>920</v>
      </c>
      <c r="G152" s="11">
        <v>24</v>
      </c>
      <c r="H152" t="s">
        <v>99</v>
      </c>
    </row>
    <row r="153" spans="1:8" ht="15" customHeight="1" x14ac:dyDescent="0.25">
      <c r="A153" s="12">
        <v>800</v>
      </c>
      <c r="B153" s="11">
        <v>2.5</v>
      </c>
      <c r="C153" s="12">
        <v>820</v>
      </c>
      <c r="D153" s="12">
        <v>26</v>
      </c>
      <c r="E153" s="13">
        <v>975</v>
      </c>
      <c r="F153" s="12">
        <v>920</v>
      </c>
      <c r="G153" s="13">
        <v>24</v>
      </c>
      <c r="H153" t="s">
        <v>99</v>
      </c>
    </row>
    <row r="154" spans="1:8" x14ac:dyDescent="0.25">
      <c r="A154" s="12">
        <v>800</v>
      </c>
      <c r="B154" s="11">
        <v>6</v>
      </c>
      <c r="C154" s="12">
        <v>820</v>
      </c>
      <c r="D154" s="11">
        <v>32</v>
      </c>
      <c r="E154" s="12">
        <v>975</v>
      </c>
      <c r="F154" s="12">
        <v>920</v>
      </c>
      <c r="G154" s="12">
        <v>24</v>
      </c>
      <c r="H154" t="s">
        <v>99</v>
      </c>
    </row>
    <row r="155" spans="1:8" ht="15" customHeight="1" x14ac:dyDescent="0.25">
      <c r="A155" s="12">
        <v>800</v>
      </c>
      <c r="B155" s="11">
        <v>10</v>
      </c>
      <c r="C155" s="12">
        <v>820</v>
      </c>
      <c r="D155" s="11">
        <v>42</v>
      </c>
      <c r="E155" s="11">
        <v>1010</v>
      </c>
      <c r="F155" s="11">
        <v>950</v>
      </c>
      <c r="G155" s="12">
        <v>24</v>
      </c>
      <c r="H155" t="s">
        <v>108</v>
      </c>
    </row>
    <row r="156" spans="1:8" ht="15" customHeight="1" x14ac:dyDescent="0.25">
      <c r="A156" s="12">
        <v>800</v>
      </c>
      <c r="B156" s="11">
        <v>16</v>
      </c>
      <c r="C156" s="12">
        <v>820</v>
      </c>
      <c r="D156" s="11">
        <v>54</v>
      </c>
      <c r="E156" s="11">
        <v>1020</v>
      </c>
      <c r="F156" s="12">
        <v>950</v>
      </c>
      <c r="G156" s="12">
        <v>24</v>
      </c>
      <c r="H156" t="s">
        <v>126</v>
      </c>
    </row>
    <row r="157" spans="1:8" x14ac:dyDescent="0.25">
      <c r="A157" s="12">
        <v>800</v>
      </c>
      <c r="B157" s="11">
        <v>25</v>
      </c>
      <c r="C157" s="12">
        <v>820</v>
      </c>
      <c r="D157" s="11">
        <v>68</v>
      </c>
      <c r="E157" s="11">
        <v>1075</v>
      </c>
      <c r="F157" s="11">
        <v>990</v>
      </c>
      <c r="G157" s="12">
        <v>24</v>
      </c>
      <c r="H157" t="s">
        <v>144</v>
      </c>
    </row>
    <row r="158" spans="1:8" x14ac:dyDescent="0.25">
      <c r="A158" s="11">
        <v>900</v>
      </c>
      <c r="B158" s="11">
        <v>1</v>
      </c>
      <c r="C158" s="11">
        <v>920</v>
      </c>
      <c r="D158" s="11">
        <v>28</v>
      </c>
      <c r="E158" s="11">
        <v>1075</v>
      </c>
      <c r="F158" s="11">
        <v>1020</v>
      </c>
      <c r="G158" s="11">
        <v>24</v>
      </c>
      <c r="H158" t="s">
        <v>99</v>
      </c>
    </row>
    <row r="159" spans="1:8" ht="15" customHeight="1" x14ac:dyDescent="0.25">
      <c r="A159" s="12">
        <v>900</v>
      </c>
      <c r="B159" s="11">
        <v>2.5</v>
      </c>
      <c r="C159" s="12">
        <v>920</v>
      </c>
      <c r="D159" s="12">
        <v>28</v>
      </c>
      <c r="E159" s="13">
        <v>1075</v>
      </c>
      <c r="F159" s="12">
        <v>1020</v>
      </c>
      <c r="G159" s="13">
        <v>24</v>
      </c>
      <c r="H159" t="s">
        <v>99</v>
      </c>
    </row>
    <row r="160" spans="1:8" x14ac:dyDescent="0.25">
      <c r="A160" s="12">
        <v>900</v>
      </c>
      <c r="B160" s="11">
        <v>6</v>
      </c>
      <c r="C160" s="12">
        <v>920</v>
      </c>
      <c r="D160" s="11">
        <v>34</v>
      </c>
      <c r="E160" s="12">
        <v>1075</v>
      </c>
      <c r="F160" s="12">
        <v>1020</v>
      </c>
      <c r="G160" s="12">
        <v>24</v>
      </c>
      <c r="H160" t="s">
        <v>99</v>
      </c>
    </row>
    <row r="161" spans="1:8" ht="15" customHeight="1" x14ac:dyDescent="0.25">
      <c r="A161" s="12">
        <v>900</v>
      </c>
      <c r="B161" s="11">
        <v>10</v>
      </c>
      <c r="C161" s="12">
        <v>920</v>
      </c>
      <c r="D161" s="11">
        <v>45</v>
      </c>
      <c r="E161" s="11">
        <v>1110</v>
      </c>
      <c r="F161" s="11">
        <v>1050</v>
      </c>
      <c r="G161" s="13">
        <v>28</v>
      </c>
      <c r="H161" t="s">
        <v>108</v>
      </c>
    </row>
    <row r="162" spans="1:8" ht="15" customHeight="1" x14ac:dyDescent="0.25">
      <c r="A162" s="12">
        <v>900</v>
      </c>
      <c r="B162" s="11">
        <v>16</v>
      </c>
      <c r="C162" s="12">
        <v>920</v>
      </c>
      <c r="D162" s="11">
        <v>59</v>
      </c>
      <c r="E162" s="11">
        <v>1120</v>
      </c>
      <c r="F162" s="12">
        <v>1050</v>
      </c>
      <c r="G162" s="12">
        <v>28</v>
      </c>
      <c r="H162" t="s">
        <v>126</v>
      </c>
    </row>
    <row r="163" spans="1:8" x14ac:dyDescent="0.25">
      <c r="A163" s="11">
        <v>1000</v>
      </c>
      <c r="B163" s="11">
        <v>1</v>
      </c>
      <c r="C163" s="11">
        <v>1020</v>
      </c>
      <c r="D163" s="11">
        <v>30</v>
      </c>
      <c r="E163" s="11">
        <v>1175</v>
      </c>
      <c r="F163" s="11">
        <v>1120</v>
      </c>
      <c r="G163" s="11">
        <v>28</v>
      </c>
      <c r="H163" t="s">
        <v>99</v>
      </c>
    </row>
    <row r="164" spans="1:8" ht="15" customHeight="1" x14ac:dyDescent="0.25">
      <c r="A164" s="12">
        <v>1000</v>
      </c>
      <c r="B164" s="11">
        <v>2.5</v>
      </c>
      <c r="C164" s="12">
        <v>1020</v>
      </c>
      <c r="D164" s="12">
        <v>30</v>
      </c>
      <c r="E164" s="13">
        <v>1175</v>
      </c>
      <c r="F164" s="12">
        <v>1120</v>
      </c>
      <c r="G164" s="13">
        <v>28</v>
      </c>
      <c r="H164" t="s">
        <v>99</v>
      </c>
    </row>
    <row r="165" spans="1:8" x14ac:dyDescent="0.25">
      <c r="A165" s="12">
        <v>1000</v>
      </c>
      <c r="B165" s="11">
        <v>6</v>
      </c>
      <c r="C165" s="12">
        <v>1020</v>
      </c>
      <c r="D165" s="11">
        <v>36</v>
      </c>
      <c r="E165" s="12">
        <v>1175</v>
      </c>
      <c r="F165" s="12">
        <v>1120</v>
      </c>
      <c r="G165" s="12">
        <v>28</v>
      </c>
      <c r="H165" t="s">
        <v>99</v>
      </c>
    </row>
    <row r="166" spans="1:8" x14ac:dyDescent="0.25">
      <c r="A166" s="12">
        <v>1000</v>
      </c>
      <c r="B166" s="11">
        <v>10</v>
      </c>
      <c r="C166" s="12">
        <v>1020</v>
      </c>
      <c r="D166" s="11">
        <v>48</v>
      </c>
      <c r="E166" s="11">
        <v>1220</v>
      </c>
      <c r="F166" s="11">
        <v>1160</v>
      </c>
      <c r="G166" s="12">
        <v>28</v>
      </c>
      <c r="H166" t="s">
        <v>108</v>
      </c>
    </row>
    <row r="167" spans="1:8" ht="15" customHeight="1" x14ac:dyDescent="0.25">
      <c r="A167" s="12">
        <v>1000</v>
      </c>
      <c r="B167" s="11">
        <v>16</v>
      </c>
      <c r="C167" s="12">
        <v>1020</v>
      </c>
      <c r="D167" s="11">
        <v>63</v>
      </c>
      <c r="E167" s="13">
        <v>1255</v>
      </c>
      <c r="F167" s="11">
        <v>1170</v>
      </c>
      <c r="G167" s="12">
        <v>28</v>
      </c>
      <c r="H167" t="s">
        <v>144</v>
      </c>
    </row>
    <row r="168" spans="1:8" x14ac:dyDescent="0.25">
      <c r="A168" s="11">
        <v>1200</v>
      </c>
      <c r="B168" s="11">
        <v>1</v>
      </c>
      <c r="C168" s="11">
        <v>1220</v>
      </c>
      <c r="D168" s="11">
        <v>30</v>
      </c>
      <c r="E168" s="11">
        <v>1375</v>
      </c>
      <c r="F168" s="11">
        <v>1320</v>
      </c>
      <c r="G168" s="11">
        <v>32</v>
      </c>
      <c r="H168" t="s">
        <v>99</v>
      </c>
    </row>
    <row r="169" spans="1:8" ht="15" customHeight="1" x14ac:dyDescent="0.25">
      <c r="A169" s="12">
        <v>1200</v>
      </c>
      <c r="B169" s="11">
        <v>2.5</v>
      </c>
      <c r="C169" s="12">
        <v>1220</v>
      </c>
      <c r="D169" s="12">
        <v>30</v>
      </c>
      <c r="E169" s="13">
        <v>1375</v>
      </c>
      <c r="F169" s="12">
        <v>1320</v>
      </c>
      <c r="G169" s="13">
        <v>32</v>
      </c>
      <c r="H169" t="s">
        <v>99</v>
      </c>
    </row>
    <row r="170" spans="1:8" ht="15" customHeight="1" x14ac:dyDescent="0.25">
      <c r="A170" s="12">
        <v>1200</v>
      </c>
      <c r="B170" s="11">
        <v>6</v>
      </c>
      <c r="C170" s="12">
        <v>1220</v>
      </c>
      <c r="D170" s="11">
        <v>39</v>
      </c>
      <c r="E170" s="11">
        <v>1400</v>
      </c>
      <c r="F170" s="11">
        <v>1340</v>
      </c>
      <c r="G170" s="12">
        <v>32</v>
      </c>
      <c r="H170" t="s">
        <v>108</v>
      </c>
    </row>
    <row r="171" spans="1:8" ht="15" customHeight="1" x14ac:dyDescent="0.25">
      <c r="A171" s="12">
        <v>1200</v>
      </c>
      <c r="B171" s="11">
        <v>10</v>
      </c>
      <c r="C171" s="12">
        <v>1220</v>
      </c>
      <c r="D171" s="11">
        <v>56</v>
      </c>
      <c r="E171" s="13">
        <v>1455</v>
      </c>
      <c r="F171" s="11">
        <v>1380</v>
      </c>
      <c r="G171" s="12">
        <v>32</v>
      </c>
      <c r="H171" t="s">
        <v>126</v>
      </c>
    </row>
    <row r="172" spans="1:8" ht="15" customHeight="1" x14ac:dyDescent="0.25">
      <c r="A172" s="12">
        <v>1200</v>
      </c>
      <c r="B172" s="11">
        <v>16</v>
      </c>
      <c r="C172" s="12">
        <v>1220</v>
      </c>
      <c r="D172" s="11">
        <v>76</v>
      </c>
      <c r="E172" s="13">
        <v>1485</v>
      </c>
      <c r="F172" s="11">
        <v>1390</v>
      </c>
      <c r="G172" s="12">
        <v>32</v>
      </c>
      <c r="H172" t="s">
        <v>164</v>
      </c>
    </row>
    <row r="173" spans="1:8" x14ac:dyDescent="0.25">
      <c r="A173" s="11">
        <v>1400</v>
      </c>
      <c r="B173" s="11">
        <v>1</v>
      </c>
      <c r="C173" s="11">
        <v>1420</v>
      </c>
      <c r="D173" s="11">
        <v>32</v>
      </c>
      <c r="E173" s="11">
        <v>1575</v>
      </c>
      <c r="F173" s="11">
        <v>1520</v>
      </c>
      <c r="G173" s="11">
        <v>36</v>
      </c>
      <c r="H173" t="s">
        <v>99</v>
      </c>
    </row>
    <row r="174" spans="1:8" x14ac:dyDescent="0.25">
      <c r="A174" s="12">
        <v>1400</v>
      </c>
      <c r="B174" s="11">
        <v>2.5</v>
      </c>
      <c r="C174" s="12">
        <v>1420</v>
      </c>
      <c r="D174" s="12">
        <v>32</v>
      </c>
      <c r="E174" s="12">
        <v>1575</v>
      </c>
      <c r="F174" s="12">
        <v>1520</v>
      </c>
      <c r="G174" s="12">
        <v>36</v>
      </c>
      <c r="H174" t="s">
        <v>99</v>
      </c>
    </row>
    <row r="175" spans="1:8" ht="15" customHeight="1" x14ac:dyDescent="0.25">
      <c r="A175" s="12">
        <v>1400</v>
      </c>
      <c r="B175" s="11">
        <v>6</v>
      </c>
      <c r="C175" s="12">
        <v>1420</v>
      </c>
      <c r="D175" s="11">
        <v>48</v>
      </c>
      <c r="E175" s="11">
        <v>1620</v>
      </c>
      <c r="F175" s="11">
        <v>1560</v>
      </c>
      <c r="G175" s="13">
        <v>36</v>
      </c>
      <c r="H175" t="s">
        <v>108</v>
      </c>
    </row>
    <row r="176" spans="1:8" ht="15" customHeight="1" x14ac:dyDescent="0.25">
      <c r="A176" s="12">
        <v>1400</v>
      </c>
      <c r="B176" s="11">
        <v>10</v>
      </c>
      <c r="C176" s="12">
        <v>1420</v>
      </c>
      <c r="D176" s="11">
        <v>65</v>
      </c>
      <c r="E176" s="13">
        <v>1675</v>
      </c>
      <c r="F176" s="11">
        <v>1590</v>
      </c>
      <c r="G176" s="12">
        <v>36</v>
      </c>
      <c r="H176" t="s">
        <v>144</v>
      </c>
    </row>
    <row r="177" spans="1:8" x14ac:dyDescent="0.25">
      <c r="A177" s="11">
        <v>1600</v>
      </c>
      <c r="B177" s="11">
        <v>1</v>
      </c>
      <c r="C177" s="11">
        <v>1620</v>
      </c>
      <c r="D177" s="11">
        <v>32</v>
      </c>
      <c r="E177" s="11">
        <v>1785</v>
      </c>
      <c r="F177" s="11">
        <v>1730</v>
      </c>
      <c r="G177" s="11">
        <v>40</v>
      </c>
      <c r="H177" t="s">
        <v>99</v>
      </c>
    </row>
    <row r="178" spans="1:8" x14ac:dyDescent="0.25">
      <c r="A178" s="12">
        <v>1600</v>
      </c>
      <c r="B178" s="11">
        <v>2.5</v>
      </c>
      <c r="C178" s="12">
        <v>1620</v>
      </c>
      <c r="D178" s="12">
        <v>32</v>
      </c>
      <c r="E178" s="12">
        <v>1785</v>
      </c>
      <c r="F178" s="12">
        <v>1730</v>
      </c>
      <c r="G178" s="12">
        <v>40</v>
      </c>
      <c r="H178" t="s">
        <v>99</v>
      </c>
    </row>
    <row r="179" spans="1:8" x14ac:dyDescent="0.25">
      <c r="A179" s="12">
        <v>1600</v>
      </c>
      <c r="B179" s="11">
        <v>6</v>
      </c>
      <c r="C179" s="12">
        <v>1620</v>
      </c>
      <c r="D179" s="11">
        <v>53</v>
      </c>
      <c r="E179" s="11">
        <v>1820</v>
      </c>
      <c r="F179" s="11">
        <v>1760</v>
      </c>
      <c r="G179" s="12">
        <v>40</v>
      </c>
      <c r="H179" t="s">
        <v>108</v>
      </c>
    </row>
    <row r="180" spans="1:8" ht="15" customHeight="1" x14ac:dyDescent="0.25">
      <c r="A180" s="12">
        <v>1600</v>
      </c>
      <c r="B180" s="11">
        <v>10</v>
      </c>
      <c r="C180" s="12">
        <v>1620</v>
      </c>
      <c r="D180" s="11">
        <v>75</v>
      </c>
      <c r="E180" s="13">
        <v>1915</v>
      </c>
      <c r="F180" s="11">
        <v>1820</v>
      </c>
      <c r="G180" s="12">
        <v>40</v>
      </c>
      <c r="H180" t="s">
        <v>164</v>
      </c>
    </row>
    <row r="181" spans="1:8" x14ac:dyDescent="0.25">
      <c r="A181" s="11">
        <v>1800</v>
      </c>
      <c r="B181" s="11">
        <v>1</v>
      </c>
      <c r="C181" s="11">
        <v>1820</v>
      </c>
      <c r="D181" s="11">
        <v>35</v>
      </c>
      <c r="E181" s="11">
        <v>1985</v>
      </c>
      <c r="F181" s="11">
        <v>1930</v>
      </c>
      <c r="G181" s="11">
        <v>44</v>
      </c>
      <c r="H181" t="s">
        <v>99</v>
      </c>
    </row>
    <row r="182" spans="1:8" x14ac:dyDescent="0.25">
      <c r="A182" s="12">
        <v>1800</v>
      </c>
      <c r="B182" s="11">
        <v>2.5</v>
      </c>
      <c r="C182" s="12">
        <v>1820</v>
      </c>
      <c r="D182" s="12">
        <v>35</v>
      </c>
      <c r="E182" s="12">
        <v>1985</v>
      </c>
      <c r="F182" s="12">
        <v>1930</v>
      </c>
      <c r="G182" s="12">
        <v>44</v>
      </c>
      <c r="H182" t="s">
        <v>99</v>
      </c>
    </row>
    <row r="183" spans="1:8" ht="15" customHeight="1" x14ac:dyDescent="0.25">
      <c r="A183" s="12">
        <v>1800</v>
      </c>
      <c r="B183" s="11">
        <v>6</v>
      </c>
      <c r="C183" s="11">
        <v>1820</v>
      </c>
      <c r="D183" s="11">
        <v>35</v>
      </c>
      <c r="E183" s="13">
        <v>2045</v>
      </c>
      <c r="F183" s="11">
        <v>1970</v>
      </c>
      <c r="G183" s="12">
        <v>44</v>
      </c>
      <c r="H183" t="s">
        <v>126</v>
      </c>
    </row>
    <row r="184" spans="1:8" x14ac:dyDescent="0.25">
      <c r="A184" s="11">
        <v>2000</v>
      </c>
      <c r="B184" s="11">
        <v>1</v>
      </c>
      <c r="C184" s="11">
        <v>2020</v>
      </c>
      <c r="D184" s="11">
        <v>35</v>
      </c>
      <c r="E184" s="11">
        <v>2190</v>
      </c>
      <c r="F184" s="11">
        <v>2130</v>
      </c>
      <c r="G184" s="11">
        <v>48</v>
      </c>
      <c r="H184" t="s">
        <v>99</v>
      </c>
    </row>
    <row r="185" spans="1:8" x14ac:dyDescent="0.25">
      <c r="A185" s="12">
        <v>2000</v>
      </c>
      <c r="B185" s="11">
        <v>2.5</v>
      </c>
      <c r="C185" s="12">
        <v>2020</v>
      </c>
      <c r="D185" s="12">
        <v>35</v>
      </c>
      <c r="E185" s="12">
        <v>2190</v>
      </c>
      <c r="F185" s="12">
        <v>2130</v>
      </c>
      <c r="G185" s="12">
        <v>48</v>
      </c>
      <c r="H185" t="s">
        <v>99</v>
      </c>
    </row>
    <row r="186" spans="1:8" ht="15" customHeight="1" x14ac:dyDescent="0.25">
      <c r="A186" s="12">
        <v>2000</v>
      </c>
      <c r="B186" s="11">
        <v>6</v>
      </c>
      <c r="C186" s="11">
        <v>2020</v>
      </c>
      <c r="D186" s="11">
        <v>35</v>
      </c>
      <c r="E186" s="13">
        <v>2265</v>
      </c>
      <c r="F186" s="11">
        <v>2180</v>
      </c>
      <c r="G186" s="12">
        <v>48</v>
      </c>
      <c r="H186" t="s">
        <v>144</v>
      </c>
    </row>
    <row r="187" spans="1:8" x14ac:dyDescent="0.25">
      <c r="A187" s="11">
        <v>2200</v>
      </c>
      <c r="B187" s="11">
        <v>1</v>
      </c>
      <c r="C187" s="11">
        <v>2220</v>
      </c>
      <c r="D187" s="11">
        <v>42</v>
      </c>
      <c r="E187" s="11">
        <v>2405</v>
      </c>
      <c r="F187" s="11">
        <v>2340</v>
      </c>
      <c r="G187" s="11">
        <v>52</v>
      </c>
      <c r="H187" t="s">
        <v>108</v>
      </c>
    </row>
    <row r="188" spans="1:8" x14ac:dyDescent="0.25">
      <c r="A188" s="12">
        <v>2200</v>
      </c>
      <c r="B188" s="11">
        <v>2.5</v>
      </c>
      <c r="C188" s="12">
        <v>2220</v>
      </c>
      <c r="D188" s="12">
        <v>42</v>
      </c>
      <c r="E188" s="12">
        <v>2405</v>
      </c>
      <c r="F188" s="12">
        <v>2340</v>
      </c>
      <c r="G188" s="12">
        <v>52</v>
      </c>
      <c r="H188" t="s">
        <v>108</v>
      </c>
    </row>
    <row r="189" spans="1:8" x14ac:dyDescent="0.25">
      <c r="A189" s="11">
        <v>2400</v>
      </c>
      <c r="B189" s="11">
        <v>1</v>
      </c>
      <c r="C189" s="11">
        <v>2420</v>
      </c>
      <c r="D189" s="11">
        <v>47</v>
      </c>
      <c r="E189" s="11">
        <v>2605</v>
      </c>
      <c r="F189" s="11">
        <v>2540</v>
      </c>
      <c r="G189" s="11">
        <v>56</v>
      </c>
      <c r="H189" t="s">
        <v>108</v>
      </c>
    </row>
    <row r="190" spans="1:8" x14ac:dyDescent="0.25">
      <c r="A190" s="12">
        <v>2400</v>
      </c>
      <c r="B190" s="11">
        <v>2.5</v>
      </c>
      <c r="C190" s="12">
        <v>2420</v>
      </c>
      <c r="D190" s="12">
        <v>47</v>
      </c>
      <c r="E190" s="12">
        <v>2605</v>
      </c>
      <c r="F190" s="12">
        <v>2540</v>
      </c>
      <c r="G190" s="12">
        <v>56</v>
      </c>
      <c r="H190" t="s">
        <v>108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E4CA-482F-46E7-9591-3BDC31BACF26}">
  <sheetPr codeName="Лист18"/>
  <dimension ref="A1:S311"/>
  <sheetViews>
    <sheetView workbookViewId="0">
      <selection activeCell="P30" sqref="P30"/>
    </sheetView>
  </sheetViews>
  <sheetFormatPr defaultRowHeight="15" x14ac:dyDescent="0.25"/>
  <sheetData>
    <row r="1" spans="1:19" ht="45" x14ac:dyDescent="0.2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2781</v>
      </c>
      <c r="J1" s="13" t="s">
        <v>2788</v>
      </c>
      <c r="K1" s="11" t="s">
        <v>2801</v>
      </c>
      <c r="L1" s="12" t="s">
        <v>2802</v>
      </c>
      <c r="M1" s="12"/>
      <c r="N1" s="11"/>
      <c r="O1" s="11"/>
      <c r="P1" s="11"/>
      <c r="Q1" s="12"/>
      <c r="R1" s="11"/>
      <c r="S1" s="11"/>
    </row>
    <row r="2" spans="1:19" ht="15" customHeight="1" x14ac:dyDescent="0.25">
      <c r="A2" s="11">
        <v>10</v>
      </c>
      <c r="B2" s="11">
        <v>1</v>
      </c>
      <c r="C2" s="11">
        <v>8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22</v>
      </c>
      <c r="J2">
        <v>9</v>
      </c>
      <c r="K2" s="11">
        <v>15</v>
      </c>
      <c r="L2" s="13">
        <v>6</v>
      </c>
    </row>
    <row r="3" spans="1:19" ht="15" customHeight="1" x14ac:dyDescent="0.25">
      <c r="A3" s="12">
        <v>10</v>
      </c>
      <c r="B3" s="11" t="s">
        <v>2399</v>
      </c>
      <c r="C3" s="12">
        <v>8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22</v>
      </c>
      <c r="J3">
        <v>9</v>
      </c>
      <c r="K3" s="12">
        <v>15</v>
      </c>
      <c r="L3" s="12">
        <v>6</v>
      </c>
    </row>
    <row r="4" spans="1:19" x14ac:dyDescent="0.25">
      <c r="A4" s="12">
        <v>10</v>
      </c>
      <c r="B4" s="11">
        <v>6</v>
      </c>
      <c r="C4" s="12">
        <v>8</v>
      </c>
      <c r="D4" s="11">
        <v>12</v>
      </c>
      <c r="E4" s="12">
        <v>75</v>
      </c>
      <c r="F4" s="12">
        <v>50</v>
      </c>
      <c r="G4" s="12">
        <v>4</v>
      </c>
      <c r="H4" s="12">
        <v>10</v>
      </c>
      <c r="I4" s="12">
        <v>22</v>
      </c>
      <c r="J4">
        <v>11</v>
      </c>
      <c r="K4" s="12">
        <v>15</v>
      </c>
      <c r="L4" s="12">
        <v>6</v>
      </c>
    </row>
    <row r="5" spans="1:19" ht="15" customHeight="1" x14ac:dyDescent="0.25">
      <c r="A5" s="12">
        <v>10</v>
      </c>
      <c r="B5" s="11">
        <v>10</v>
      </c>
      <c r="C5" s="12">
        <v>8</v>
      </c>
      <c r="D5" s="12">
        <v>12</v>
      </c>
      <c r="E5" s="13">
        <v>90</v>
      </c>
      <c r="F5" s="11">
        <v>60</v>
      </c>
      <c r="G5" s="12">
        <v>4</v>
      </c>
      <c r="H5" s="13">
        <v>12</v>
      </c>
      <c r="I5" s="11">
        <v>25</v>
      </c>
      <c r="J5">
        <v>17</v>
      </c>
      <c r="K5" s="12">
        <v>15</v>
      </c>
      <c r="L5" s="12">
        <v>6</v>
      </c>
    </row>
    <row r="6" spans="1:19" x14ac:dyDescent="0.25">
      <c r="A6" s="12">
        <v>10</v>
      </c>
      <c r="B6" s="11">
        <v>16</v>
      </c>
      <c r="C6" s="12">
        <v>8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1">
        <v>26</v>
      </c>
      <c r="J6">
        <v>15</v>
      </c>
      <c r="K6" s="12">
        <v>15</v>
      </c>
      <c r="L6" s="12">
        <v>6</v>
      </c>
    </row>
    <row r="7" spans="1:19" x14ac:dyDescent="0.25">
      <c r="A7" s="12">
        <v>10</v>
      </c>
      <c r="B7" s="11">
        <v>25</v>
      </c>
      <c r="C7" s="12">
        <v>8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26</v>
      </c>
      <c r="J7">
        <v>13</v>
      </c>
      <c r="K7" s="12">
        <v>15</v>
      </c>
      <c r="L7" s="12">
        <v>6</v>
      </c>
    </row>
    <row r="8" spans="1:19" x14ac:dyDescent="0.25">
      <c r="A8" s="12">
        <v>10</v>
      </c>
      <c r="B8" s="11">
        <v>40</v>
      </c>
      <c r="C8" s="12">
        <v>8</v>
      </c>
      <c r="D8" s="12">
        <v>16</v>
      </c>
      <c r="E8" s="12">
        <v>90</v>
      </c>
      <c r="F8" s="12">
        <v>60</v>
      </c>
      <c r="G8" s="12">
        <v>4</v>
      </c>
      <c r="H8" s="12">
        <v>12</v>
      </c>
      <c r="I8" s="12">
        <v>26</v>
      </c>
      <c r="J8">
        <v>13</v>
      </c>
      <c r="K8" s="12">
        <v>15</v>
      </c>
      <c r="L8" s="12">
        <v>6</v>
      </c>
    </row>
    <row r="9" spans="1:19" ht="15" customHeight="1" x14ac:dyDescent="0.25">
      <c r="A9" s="12">
        <v>10</v>
      </c>
      <c r="B9" s="11">
        <v>63</v>
      </c>
      <c r="C9" s="12">
        <v>8</v>
      </c>
      <c r="D9" s="11">
        <v>18</v>
      </c>
      <c r="E9" s="13">
        <v>100</v>
      </c>
      <c r="F9" s="11">
        <v>70</v>
      </c>
      <c r="G9" s="12">
        <v>4</v>
      </c>
      <c r="H9" s="12">
        <v>12</v>
      </c>
      <c r="I9" s="11">
        <v>34</v>
      </c>
      <c r="J9">
        <v>24</v>
      </c>
      <c r="K9" s="12">
        <v>15</v>
      </c>
      <c r="L9" s="12">
        <v>6</v>
      </c>
    </row>
    <row r="10" spans="1:19" x14ac:dyDescent="0.25">
      <c r="A10" s="12">
        <v>10</v>
      </c>
      <c r="B10" s="11">
        <v>100</v>
      </c>
      <c r="C10" s="12">
        <v>8</v>
      </c>
      <c r="D10" s="12">
        <v>18</v>
      </c>
      <c r="E10" s="12">
        <v>100</v>
      </c>
      <c r="F10" s="12">
        <v>70</v>
      </c>
      <c r="G10" s="12">
        <v>4</v>
      </c>
      <c r="H10" s="12">
        <v>12</v>
      </c>
      <c r="I10" s="12">
        <v>34</v>
      </c>
      <c r="J10">
        <v>21</v>
      </c>
      <c r="K10" s="12">
        <v>15</v>
      </c>
      <c r="L10" s="12">
        <v>6</v>
      </c>
    </row>
    <row r="11" spans="1:19" x14ac:dyDescent="0.25">
      <c r="A11" s="12">
        <v>10</v>
      </c>
      <c r="B11" s="11">
        <v>160</v>
      </c>
      <c r="C11" s="11">
        <v>8</v>
      </c>
      <c r="D11" s="11">
        <v>18</v>
      </c>
      <c r="E11" s="11">
        <v>100</v>
      </c>
      <c r="F11" s="12">
        <v>70</v>
      </c>
      <c r="G11" s="11">
        <v>4</v>
      </c>
      <c r="H11" s="11">
        <v>12</v>
      </c>
      <c r="I11" s="11">
        <v>34</v>
      </c>
      <c r="J11">
        <v>21</v>
      </c>
      <c r="K11" s="11">
        <v>15</v>
      </c>
      <c r="L11" s="12">
        <v>6</v>
      </c>
    </row>
    <row r="12" spans="1:19" x14ac:dyDescent="0.25">
      <c r="A12" s="12">
        <v>10</v>
      </c>
      <c r="B12" s="11">
        <v>250</v>
      </c>
      <c r="C12" s="12">
        <v>8</v>
      </c>
      <c r="D12" s="12">
        <v>18</v>
      </c>
      <c r="E12" s="12">
        <v>100</v>
      </c>
      <c r="F12" s="11">
        <v>85</v>
      </c>
      <c r="G12" s="12">
        <v>4</v>
      </c>
      <c r="H12" s="12">
        <v>12</v>
      </c>
      <c r="I12" s="12">
        <v>34</v>
      </c>
      <c r="J12">
        <v>21</v>
      </c>
      <c r="K12" s="12">
        <v>15</v>
      </c>
      <c r="L12" s="12">
        <v>6</v>
      </c>
    </row>
    <row r="13" spans="1:19" ht="15" customHeight="1" x14ac:dyDescent="0.25">
      <c r="A13" s="11">
        <v>15</v>
      </c>
      <c r="B13" s="11">
        <v>1</v>
      </c>
      <c r="C13" s="11">
        <v>12</v>
      </c>
      <c r="D13" s="11">
        <v>10</v>
      </c>
      <c r="E13" s="11">
        <v>80</v>
      </c>
      <c r="F13" s="11">
        <v>55</v>
      </c>
      <c r="G13" s="11">
        <v>4</v>
      </c>
      <c r="H13" s="11">
        <v>10</v>
      </c>
      <c r="I13" s="11">
        <v>28</v>
      </c>
      <c r="J13">
        <v>12</v>
      </c>
      <c r="K13" s="11">
        <v>19</v>
      </c>
      <c r="L13" s="13">
        <v>6</v>
      </c>
    </row>
    <row r="14" spans="1:19" ht="15" customHeight="1" x14ac:dyDescent="0.25">
      <c r="A14" s="12">
        <v>15</v>
      </c>
      <c r="B14" s="11" t="s">
        <v>2399</v>
      </c>
      <c r="C14" s="12">
        <v>12</v>
      </c>
      <c r="D14" s="12">
        <v>10</v>
      </c>
      <c r="E14" s="13">
        <v>80</v>
      </c>
      <c r="F14" s="12">
        <v>55</v>
      </c>
      <c r="G14" s="13">
        <v>4</v>
      </c>
      <c r="H14" s="13">
        <v>10</v>
      </c>
      <c r="I14" s="12">
        <v>28</v>
      </c>
      <c r="J14">
        <v>12</v>
      </c>
      <c r="K14" s="12">
        <v>19</v>
      </c>
      <c r="L14" s="12">
        <v>6</v>
      </c>
    </row>
    <row r="15" spans="1:19" x14ac:dyDescent="0.25">
      <c r="A15" s="12">
        <v>15</v>
      </c>
      <c r="B15" s="11">
        <v>6</v>
      </c>
      <c r="C15" s="12">
        <v>12</v>
      </c>
      <c r="D15" s="11">
        <v>12</v>
      </c>
      <c r="E15" s="12">
        <v>80</v>
      </c>
      <c r="F15" s="12">
        <v>55</v>
      </c>
      <c r="G15" s="12">
        <v>4</v>
      </c>
      <c r="H15" s="12">
        <v>10</v>
      </c>
      <c r="I15" s="12">
        <v>28</v>
      </c>
      <c r="J15">
        <v>12</v>
      </c>
      <c r="K15" s="12">
        <v>19</v>
      </c>
      <c r="L15" s="12">
        <v>6</v>
      </c>
    </row>
    <row r="16" spans="1:19" ht="15" customHeight="1" x14ac:dyDescent="0.25">
      <c r="A16" s="12">
        <v>15</v>
      </c>
      <c r="B16" s="11">
        <v>10</v>
      </c>
      <c r="C16" s="12">
        <v>12</v>
      </c>
      <c r="D16" s="12">
        <v>12</v>
      </c>
      <c r="E16" s="13">
        <v>95</v>
      </c>
      <c r="F16" s="11">
        <v>65</v>
      </c>
      <c r="G16" s="12">
        <v>4</v>
      </c>
      <c r="H16" s="13">
        <v>12</v>
      </c>
      <c r="I16" s="11">
        <v>30</v>
      </c>
      <c r="J16">
        <v>17</v>
      </c>
      <c r="K16" s="12">
        <v>19</v>
      </c>
      <c r="L16" s="12">
        <v>6</v>
      </c>
    </row>
    <row r="17" spans="1:12" x14ac:dyDescent="0.25">
      <c r="A17" s="12">
        <v>15</v>
      </c>
      <c r="B17" s="11">
        <v>16</v>
      </c>
      <c r="C17" s="12">
        <v>12</v>
      </c>
      <c r="D17" s="11">
        <v>14</v>
      </c>
      <c r="E17" s="12">
        <v>95</v>
      </c>
      <c r="F17" s="12">
        <v>65</v>
      </c>
      <c r="G17" s="12">
        <v>4</v>
      </c>
      <c r="H17" s="12">
        <v>12</v>
      </c>
      <c r="I17" s="12">
        <v>30</v>
      </c>
      <c r="J17">
        <v>15</v>
      </c>
      <c r="K17" s="12">
        <v>19</v>
      </c>
      <c r="L17" s="12">
        <v>6</v>
      </c>
    </row>
    <row r="18" spans="1:12" x14ac:dyDescent="0.25">
      <c r="A18" s="12">
        <v>15</v>
      </c>
      <c r="B18" s="11">
        <v>25</v>
      </c>
      <c r="C18" s="12">
        <v>12</v>
      </c>
      <c r="D18" s="11">
        <v>16</v>
      </c>
      <c r="E18" s="12">
        <v>95</v>
      </c>
      <c r="F18" s="12">
        <v>65</v>
      </c>
      <c r="G18" s="12">
        <v>4</v>
      </c>
      <c r="H18" s="12">
        <v>12</v>
      </c>
      <c r="I18" s="12">
        <v>30</v>
      </c>
      <c r="J18">
        <v>13</v>
      </c>
      <c r="K18" s="12">
        <v>19</v>
      </c>
      <c r="L18" s="12">
        <v>6</v>
      </c>
    </row>
    <row r="19" spans="1:12" x14ac:dyDescent="0.25">
      <c r="A19" s="12">
        <v>15</v>
      </c>
      <c r="B19" s="11">
        <v>40</v>
      </c>
      <c r="C19" s="12">
        <v>12</v>
      </c>
      <c r="D19" s="12">
        <v>16</v>
      </c>
      <c r="E19" s="12">
        <v>95</v>
      </c>
      <c r="F19" s="12">
        <v>65</v>
      </c>
      <c r="G19" s="12">
        <v>4</v>
      </c>
      <c r="H19" s="12">
        <v>12</v>
      </c>
      <c r="I19" s="12">
        <v>30</v>
      </c>
      <c r="J19">
        <v>13</v>
      </c>
      <c r="K19" s="12">
        <v>19</v>
      </c>
      <c r="L19" s="12">
        <v>6</v>
      </c>
    </row>
    <row r="20" spans="1:12" ht="15" customHeight="1" x14ac:dyDescent="0.25">
      <c r="A20" s="12">
        <v>15</v>
      </c>
      <c r="B20" s="11">
        <v>63</v>
      </c>
      <c r="C20" s="12">
        <v>12</v>
      </c>
      <c r="D20" s="11">
        <v>18</v>
      </c>
      <c r="E20" s="13">
        <v>105</v>
      </c>
      <c r="F20" s="11">
        <v>75</v>
      </c>
      <c r="G20" s="12">
        <v>4</v>
      </c>
      <c r="H20" s="12">
        <v>12</v>
      </c>
      <c r="I20" s="11">
        <v>38</v>
      </c>
      <c r="J20">
        <v>24</v>
      </c>
      <c r="K20" s="12">
        <v>19</v>
      </c>
      <c r="L20" s="12">
        <v>6</v>
      </c>
    </row>
    <row r="21" spans="1:12" x14ac:dyDescent="0.25">
      <c r="A21" s="12">
        <v>15</v>
      </c>
      <c r="B21" s="11">
        <v>100</v>
      </c>
      <c r="C21" s="12">
        <v>12</v>
      </c>
      <c r="D21" s="11">
        <v>20</v>
      </c>
      <c r="E21" s="12">
        <v>105</v>
      </c>
      <c r="F21" s="12">
        <v>75</v>
      </c>
      <c r="G21" s="12">
        <v>4</v>
      </c>
      <c r="H21" s="12">
        <v>12</v>
      </c>
      <c r="I21" s="12">
        <v>38</v>
      </c>
      <c r="J21">
        <v>22</v>
      </c>
      <c r="K21" s="12">
        <v>19</v>
      </c>
      <c r="L21" s="12">
        <v>6</v>
      </c>
    </row>
    <row r="22" spans="1:12" x14ac:dyDescent="0.25">
      <c r="A22" s="12">
        <v>15</v>
      </c>
      <c r="B22" s="11">
        <v>160</v>
      </c>
      <c r="C22" s="12">
        <v>12</v>
      </c>
      <c r="D22" s="12">
        <v>20</v>
      </c>
      <c r="E22" s="12">
        <v>105</v>
      </c>
      <c r="F22" s="12">
        <v>75</v>
      </c>
      <c r="G22" s="12">
        <v>4</v>
      </c>
      <c r="H22" s="12">
        <v>12</v>
      </c>
      <c r="I22" s="12">
        <v>38</v>
      </c>
      <c r="J22">
        <v>26</v>
      </c>
      <c r="K22" s="12">
        <v>19</v>
      </c>
      <c r="L22" s="12">
        <v>6</v>
      </c>
    </row>
    <row r="23" spans="1:12" x14ac:dyDescent="0.25">
      <c r="A23" s="12">
        <v>15</v>
      </c>
      <c r="B23" s="11">
        <v>200</v>
      </c>
      <c r="C23" s="11">
        <v>14</v>
      </c>
      <c r="D23" s="11">
        <v>26</v>
      </c>
      <c r="E23" s="11">
        <v>120</v>
      </c>
      <c r="F23" s="11">
        <v>82</v>
      </c>
      <c r="G23" s="11">
        <v>4</v>
      </c>
      <c r="H23" s="11">
        <v>20</v>
      </c>
      <c r="I23" s="11">
        <v>40</v>
      </c>
      <c r="J23">
        <v>22</v>
      </c>
      <c r="K23" s="11">
        <v>23</v>
      </c>
      <c r="L23" s="12">
        <v>6</v>
      </c>
    </row>
    <row r="24" spans="1:12" x14ac:dyDescent="0.25">
      <c r="A24" s="12">
        <v>15</v>
      </c>
      <c r="B24" s="11">
        <v>250</v>
      </c>
      <c r="C24" s="11">
        <v>14</v>
      </c>
      <c r="D24" s="11">
        <v>26</v>
      </c>
      <c r="E24" s="11">
        <v>120</v>
      </c>
      <c r="F24" s="11">
        <v>90</v>
      </c>
      <c r="G24" s="11">
        <v>4</v>
      </c>
      <c r="H24" s="11">
        <v>20</v>
      </c>
      <c r="I24" s="11">
        <v>40</v>
      </c>
      <c r="J24">
        <v>22</v>
      </c>
      <c r="K24" s="11">
        <v>23</v>
      </c>
      <c r="L24" s="12">
        <v>6</v>
      </c>
    </row>
    <row r="25" spans="1:12" ht="15" customHeight="1" x14ac:dyDescent="0.25">
      <c r="A25" s="11">
        <v>20</v>
      </c>
      <c r="B25" s="11">
        <v>1</v>
      </c>
      <c r="C25" s="11">
        <v>18</v>
      </c>
      <c r="D25" s="11">
        <v>10</v>
      </c>
      <c r="E25" s="11">
        <v>90</v>
      </c>
      <c r="F25" s="11">
        <v>65</v>
      </c>
      <c r="G25" s="11">
        <v>4</v>
      </c>
      <c r="H25" s="11">
        <v>10</v>
      </c>
      <c r="I25" s="11">
        <v>36</v>
      </c>
      <c r="J25">
        <v>14</v>
      </c>
      <c r="K25" s="11">
        <v>26</v>
      </c>
      <c r="L25" s="13">
        <v>6</v>
      </c>
    </row>
    <row r="26" spans="1:12" ht="15" customHeight="1" x14ac:dyDescent="0.25">
      <c r="A26" s="12">
        <v>20</v>
      </c>
      <c r="B26" s="11" t="s">
        <v>2399</v>
      </c>
      <c r="C26" s="12">
        <v>18</v>
      </c>
      <c r="D26" s="12">
        <v>10</v>
      </c>
      <c r="E26" s="13">
        <v>90</v>
      </c>
      <c r="F26" s="12">
        <v>65</v>
      </c>
      <c r="G26" s="13">
        <v>4</v>
      </c>
      <c r="H26" s="13">
        <v>10</v>
      </c>
      <c r="I26" s="12">
        <v>36</v>
      </c>
      <c r="J26">
        <v>14</v>
      </c>
      <c r="K26" s="12">
        <v>26</v>
      </c>
      <c r="L26" s="12">
        <v>6</v>
      </c>
    </row>
    <row r="27" spans="1:12" x14ac:dyDescent="0.25">
      <c r="A27" s="12">
        <v>20</v>
      </c>
      <c r="B27" s="11">
        <v>6</v>
      </c>
      <c r="C27" s="12">
        <v>18</v>
      </c>
      <c r="D27" s="11">
        <v>12</v>
      </c>
      <c r="E27" s="12">
        <v>90</v>
      </c>
      <c r="F27" s="12">
        <v>65</v>
      </c>
      <c r="G27" s="12">
        <v>4</v>
      </c>
      <c r="H27" s="12">
        <v>10</v>
      </c>
      <c r="I27" s="12">
        <v>36</v>
      </c>
      <c r="J27">
        <v>14</v>
      </c>
      <c r="K27" s="12">
        <v>26</v>
      </c>
      <c r="L27" s="12">
        <v>6</v>
      </c>
    </row>
    <row r="28" spans="1:12" ht="15" customHeight="1" x14ac:dyDescent="0.25">
      <c r="A28" s="12">
        <v>20</v>
      </c>
      <c r="B28" s="11">
        <v>10</v>
      </c>
      <c r="C28" s="12">
        <v>18</v>
      </c>
      <c r="D28" s="11">
        <v>14</v>
      </c>
      <c r="E28" s="13">
        <v>105</v>
      </c>
      <c r="F28" s="11">
        <v>75</v>
      </c>
      <c r="G28" s="12">
        <v>4</v>
      </c>
      <c r="H28" s="13">
        <v>12</v>
      </c>
      <c r="I28" s="11">
        <v>38</v>
      </c>
      <c r="J28">
        <v>18</v>
      </c>
      <c r="K28" s="12">
        <v>26</v>
      </c>
      <c r="L28" s="12">
        <v>6</v>
      </c>
    </row>
    <row r="29" spans="1:12" x14ac:dyDescent="0.25">
      <c r="A29" s="12">
        <v>20</v>
      </c>
      <c r="B29" s="11">
        <v>16</v>
      </c>
      <c r="C29" s="12">
        <v>18</v>
      </c>
      <c r="D29" s="12">
        <v>14</v>
      </c>
      <c r="E29" s="12">
        <v>105</v>
      </c>
      <c r="F29" s="12">
        <v>75</v>
      </c>
      <c r="G29" s="12">
        <v>4</v>
      </c>
      <c r="H29" s="12">
        <v>12</v>
      </c>
      <c r="I29" s="12">
        <v>38</v>
      </c>
      <c r="J29">
        <v>18</v>
      </c>
      <c r="K29" s="12">
        <v>26</v>
      </c>
      <c r="L29" s="12">
        <v>6</v>
      </c>
    </row>
    <row r="30" spans="1:12" x14ac:dyDescent="0.25">
      <c r="A30" s="12">
        <v>20</v>
      </c>
      <c r="B30" s="11">
        <v>25</v>
      </c>
      <c r="C30" s="12">
        <v>18</v>
      </c>
      <c r="D30" s="11">
        <v>16</v>
      </c>
      <c r="E30" s="12">
        <v>105</v>
      </c>
      <c r="F30" s="12">
        <v>75</v>
      </c>
      <c r="G30" s="12">
        <v>4</v>
      </c>
      <c r="H30" s="12">
        <v>12</v>
      </c>
      <c r="I30" s="11">
        <v>38</v>
      </c>
      <c r="J30">
        <v>14</v>
      </c>
      <c r="K30" s="12">
        <v>26</v>
      </c>
      <c r="L30" s="12">
        <v>6</v>
      </c>
    </row>
    <row r="31" spans="1:12" x14ac:dyDescent="0.25">
      <c r="A31" s="12">
        <v>20</v>
      </c>
      <c r="B31" s="11">
        <v>40</v>
      </c>
      <c r="C31" s="12">
        <v>18</v>
      </c>
      <c r="D31" s="12">
        <v>16</v>
      </c>
      <c r="E31" s="12">
        <v>105</v>
      </c>
      <c r="F31" s="12">
        <v>75</v>
      </c>
      <c r="G31" s="12">
        <v>4</v>
      </c>
      <c r="H31" s="12">
        <v>12</v>
      </c>
      <c r="I31" s="12">
        <v>38</v>
      </c>
      <c r="J31">
        <v>14</v>
      </c>
      <c r="K31" s="12">
        <v>26</v>
      </c>
      <c r="L31" s="12">
        <v>6</v>
      </c>
    </row>
    <row r="32" spans="1:12" ht="15" customHeight="1" x14ac:dyDescent="0.25">
      <c r="A32" s="12">
        <v>20</v>
      </c>
      <c r="B32" s="11">
        <v>63</v>
      </c>
      <c r="C32" s="12">
        <v>18</v>
      </c>
      <c r="D32" s="11">
        <v>20</v>
      </c>
      <c r="E32" s="11">
        <v>125</v>
      </c>
      <c r="F32" s="11">
        <v>90</v>
      </c>
      <c r="G32" s="12">
        <v>4</v>
      </c>
      <c r="H32" s="13">
        <v>16</v>
      </c>
      <c r="I32" s="11">
        <v>48</v>
      </c>
      <c r="J32">
        <v>28</v>
      </c>
      <c r="K32" s="12">
        <v>26</v>
      </c>
      <c r="L32" s="13">
        <v>8</v>
      </c>
    </row>
    <row r="33" spans="1:12" x14ac:dyDescent="0.25">
      <c r="A33" s="12">
        <v>20</v>
      </c>
      <c r="B33" s="11">
        <v>100</v>
      </c>
      <c r="C33" s="12">
        <v>18</v>
      </c>
      <c r="D33" s="11">
        <v>22</v>
      </c>
      <c r="E33" s="12">
        <v>125</v>
      </c>
      <c r="F33" s="12">
        <v>90</v>
      </c>
      <c r="G33" s="12">
        <v>4</v>
      </c>
      <c r="H33" s="12">
        <v>16</v>
      </c>
      <c r="I33" s="12">
        <v>48</v>
      </c>
      <c r="J33">
        <v>23</v>
      </c>
      <c r="K33" s="12">
        <v>26</v>
      </c>
      <c r="L33" s="12">
        <v>8</v>
      </c>
    </row>
    <row r="34" spans="1:12" x14ac:dyDescent="0.25">
      <c r="A34" s="12">
        <v>20</v>
      </c>
      <c r="B34" s="11">
        <v>160</v>
      </c>
      <c r="C34" s="12">
        <v>18</v>
      </c>
      <c r="D34" s="11">
        <v>22</v>
      </c>
      <c r="E34" s="12">
        <v>125</v>
      </c>
      <c r="F34" s="12">
        <v>90</v>
      </c>
      <c r="G34" s="11">
        <v>4</v>
      </c>
      <c r="H34" s="11">
        <v>16</v>
      </c>
      <c r="I34" s="12">
        <v>48</v>
      </c>
      <c r="J34">
        <v>28</v>
      </c>
      <c r="K34" s="12">
        <v>26</v>
      </c>
      <c r="L34" s="12">
        <v>8</v>
      </c>
    </row>
    <row r="35" spans="1:12" x14ac:dyDescent="0.25">
      <c r="A35" s="12">
        <v>20</v>
      </c>
      <c r="B35" s="11">
        <v>200</v>
      </c>
      <c r="C35" s="11">
        <v>19</v>
      </c>
      <c r="D35" s="11">
        <v>28</v>
      </c>
      <c r="E35" s="11">
        <v>130</v>
      </c>
      <c r="F35" s="12">
        <v>90</v>
      </c>
      <c r="G35" s="12">
        <v>4</v>
      </c>
      <c r="H35" s="11">
        <v>20</v>
      </c>
      <c r="I35" s="11">
        <v>46</v>
      </c>
      <c r="J35">
        <v>21</v>
      </c>
      <c r="K35" s="11">
        <v>29</v>
      </c>
      <c r="L35" s="12">
        <v>8</v>
      </c>
    </row>
    <row r="36" spans="1:12" x14ac:dyDescent="0.25">
      <c r="A36" s="12">
        <v>20</v>
      </c>
      <c r="B36" s="11">
        <v>250</v>
      </c>
      <c r="C36" s="12">
        <v>19</v>
      </c>
      <c r="D36" s="11">
        <v>33</v>
      </c>
      <c r="E36" s="12">
        <v>130</v>
      </c>
      <c r="F36" s="12">
        <v>90</v>
      </c>
      <c r="G36" s="12">
        <v>4</v>
      </c>
      <c r="H36" s="12">
        <v>20</v>
      </c>
      <c r="I36" s="11">
        <v>46</v>
      </c>
      <c r="J36">
        <v>21</v>
      </c>
      <c r="K36" s="12">
        <v>29</v>
      </c>
      <c r="L36" s="12">
        <v>8</v>
      </c>
    </row>
    <row r="37" spans="1:12" ht="15" customHeight="1" x14ac:dyDescent="0.25">
      <c r="A37" s="11">
        <v>25</v>
      </c>
      <c r="B37" s="11">
        <v>1</v>
      </c>
      <c r="C37" s="11">
        <v>25</v>
      </c>
      <c r="D37" s="11">
        <v>10</v>
      </c>
      <c r="E37" s="11">
        <v>100</v>
      </c>
      <c r="F37" s="11">
        <v>75</v>
      </c>
      <c r="G37" s="11">
        <v>4</v>
      </c>
      <c r="H37" s="11">
        <v>10</v>
      </c>
      <c r="I37" s="11">
        <v>42</v>
      </c>
      <c r="J37">
        <v>14</v>
      </c>
      <c r="K37" s="11">
        <v>33</v>
      </c>
      <c r="L37" s="13">
        <v>6</v>
      </c>
    </row>
    <row r="38" spans="1:12" ht="15" customHeight="1" x14ac:dyDescent="0.25">
      <c r="A38" s="12">
        <v>25</v>
      </c>
      <c r="B38" s="11" t="s">
        <v>2399</v>
      </c>
      <c r="C38" s="12">
        <v>25</v>
      </c>
      <c r="D38" s="12">
        <v>10</v>
      </c>
      <c r="E38" s="13">
        <v>100</v>
      </c>
      <c r="F38" s="12">
        <v>75</v>
      </c>
      <c r="G38" s="13">
        <v>4</v>
      </c>
      <c r="H38" s="13">
        <v>10</v>
      </c>
      <c r="I38" s="12">
        <v>42</v>
      </c>
      <c r="J38">
        <v>14</v>
      </c>
      <c r="K38" s="12">
        <v>33</v>
      </c>
      <c r="L38" s="12">
        <v>6</v>
      </c>
    </row>
    <row r="39" spans="1:12" x14ac:dyDescent="0.25">
      <c r="A39" s="12">
        <v>25</v>
      </c>
      <c r="B39" s="11">
        <v>6</v>
      </c>
      <c r="C39" s="12">
        <v>25</v>
      </c>
      <c r="D39" s="11">
        <v>14</v>
      </c>
      <c r="E39" s="12">
        <v>100</v>
      </c>
      <c r="F39" s="12">
        <v>75</v>
      </c>
      <c r="G39" s="12">
        <v>4</v>
      </c>
      <c r="H39" s="12">
        <v>10</v>
      </c>
      <c r="I39" s="12">
        <v>42</v>
      </c>
      <c r="J39">
        <v>12</v>
      </c>
      <c r="K39" s="12">
        <v>33</v>
      </c>
      <c r="L39" s="12">
        <v>6</v>
      </c>
    </row>
    <row r="40" spans="1:12" ht="15" customHeight="1" x14ac:dyDescent="0.25">
      <c r="A40" s="12">
        <v>25</v>
      </c>
      <c r="B40" s="11">
        <v>10</v>
      </c>
      <c r="C40" s="12">
        <v>25</v>
      </c>
      <c r="D40" s="12">
        <v>14</v>
      </c>
      <c r="E40" s="13">
        <v>115</v>
      </c>
      <c r="F40" s="11">
        <v>85</v>
      </c>
      <c r="G40" s="12">
        <v>4</v>
      </c>
      <c r="H40" s="13">
        <v>12</v>
      </c>
      <c r="I40" s="11">
        <v>45</v>
      </c>
      <c r="J40">
        <v>20</v>
      </c>
      <c r="K40" s="12">
        <v>33</v>
      </c>
      <c r="L40" s="12">
        <v>6</v>
      </c>
    </row>
    <row r="41" spans="1:12" x14ac:dyDescent="0.25">
      <c r="A41" s="12">
        <v>25</v>
      </c>
      <c r="B41" s="11">
        <v>16</v>
      </c>
      <c r="C41" s="12">
        <v>25</v>
      </c>
      <c r="D41" s="12">
        <v>14</v>
      </c>
      <c r="E41" s="12">
        <v>115</v>
      </c>
      <c r="F41" s="12">
        <v>85</v>
      </c>
      <c r="G41" s="12">
        <v>4</v>
      </c>
      <c r="H41" s="12">
        <v>12</v>
      </c>
      <c r="I41" s="12">
        <v>45</v>
      </c>
      <c r="J41">
        <v>20</v>
      </c>
      <c r="K41" s="12">
        <v>33</v>
      </c>
      <c r="L41" s="12">
        <v>6</v>
      </c>
    </row>
    <row r="42" spans="1:12" x14ac:dyDescent="0.25">
      <c r="A42" s="12">
        <v>25</v>
      </c>
      <c r="B42" s="11">
        <v>25</v>
      </c>
      <c r="C42" s="12">
        <v>25</v>
      </c>
      <c r="D42" s="11">
        <v>16</v>
      </c>
      <c r="E42" s="12">
        <v>115</v>
      </c>
      <c r="F42" s="12">
        <v>85</v>
      </c>
      <c r="G42" s="12">
        <v>4</v>
      </c>
      <c r="H42" s="12">
        <v>12</v>
      </c>
      <c r="I42" s="12">
        <v>45</v>
      </c>
      <c r="J42">
        <v>16</v>
      </c>
      <c r="K42" s="12">
        <v>33</v>
      </c>
      <c r="L42" s="12">
        <v>6</v>
      </c>
    </row>
    <row r="43" spans="1:12" x14ac:dyDescent="0.25">
      <c r="A43" s="12">
        <v>25</v>
      </c>
      <c r="B43" s="11">
        <v>40</v>
      </c>
      <c r="C43" s="12">
        <v>25</v>
      </c>
      <c r="D43" s="12">
        <v>16</v>
      </c>
      <c r="E43" s="12">
        <v>115</v>
      </c>
      <c r="F43" s="12">
        <v>85</v>
      </c>
      <c r="G43" s="12">
        <v>4</v>
      </c>
      <c r="H43" s="12">
        <v>12</v>
      </c>
      <c r="I43" s="12">
        <v>45</v>
      </c>
      <c r="J43">
        <v>16</v>
      </c>
      <c r="K43" s="12">
        <v>33</v>
      </c>
      <c r="L43" s="12">
        <v>6</v>
      </c>
    </row>
    <row r="44" spans="1:12" ht="15" customHeight="1" x14ac:dyDescent="0.25">
      <c r="A44" s="12">
        <v>25</v>
      </c>
      <c r="B44" s="11">
        <v>63</v>
      </c>
      <c r="C44" s="12">
        <v>25</v>
      </c>
      <c r="D44" s="11">
        <v>22</v>
      </c>
      <c r="E44" s="11">
        <v>135</v>
      </c>
      <c r="F44" s="11">
        <v>100</v>
      </c>
      <c r="G44" s="12">
        <v>4</v>
      </c>
      <c r="H44" s="13">
        <v>16</v>
      </c>
      <c r="I44" s="11">
        <v>52</v>
      </c>
      <c r="J44">
        <v>28</v>
      </c>
      <c r="K44" s="12">
        <v>33</v>
      </c>
      <c r="L44" s="13">
        <v>8</v>
      </c>
    </row>
    <row r="45" spans="1:12" x14ac:dyDescent="0.25">
      <c r="A45" s="12">
        <v>25</v>
      </c>
      <c r="B45" s="11">
        <v>100</v>
      </c>
      <c r="C45" s="12">
        <v>25</v>
      </c>
      <c r="D45" s="11">
        <v>24</v>
      </c>
      <c r="E45" s="12">
        <v>135</v>
      </c>
      <c r="F45" s="12">
        <v>100</v>
      </c>
      <c r="G45" s="12">
        <v>4</v>
      </c>
      <c r="H45" s="12">
        <v>16</v>
      </c>
      <c r="I45" s="12">
        <v>52</v>
      </c>
      <c r="J45">
        <v>26</v>
      </c>
      <c r="K45" s="12">
        <v>33</v>
      </c>
      <c r="L45" s="12">
        <v>8</v>
      </c>
    </row>
    <row r="46" spans="1:12" ht="15" customHeight="1" x14ac:dyDescent="0.25">
      <c r="A46" s="12">
        <v>25</v>
      </c>
      <c r="B46" s="11">
        <v>160</v>
      </c>
      <c r="C46" s="12">
        <v>25</v>
      </c>
      <c r="D46" s="13">
        <v>24</v>
      </c>
      <c r="E46" s="12">
        <v>135</v>
      </c>
      <c r="F46" s="12">
        <v>100</v>
      </c>
      <c r="G46" s="12">
        <v>4</v>
      </c>
      <c r="H46" s="12">
        <v>16</v>
      </c>
      <c r="I46" s="11">
        <v>52</v>
      </c>
      <c r="J46">
        <v>26</v>
      </c>
      <c r="K46" s="12">
        <v>33</v>
      </c>
      <c r="L46" s="12">
        <v>8</v>
      </c>
    </row>
    <row r="47" spans="1:12" x14ac:dyDescent="0.25">
      <c r="A47" s="12">
        <v>25</v>
      </c>
      <c r="B47" s="11">
        <v>200</v>
      </c>
      <c r="C47" s="12">
        <v>25</v>
      </c>
      <c r="D47" s="11">
        <v>30</v>
      </c>
      <c r="E47" s="11">
        <v>150</v>
      </c>
      <c r="F47" s="11">
        <v>102</v>
      </c>
      <c r="G47" s="11">
        <v>4</v>
      </c>
      <c r="H47" s="11">
        <v>24</v>
      </c>
      <c r="I47" s="11">
        <v>54</v>
      </c>
      <c r="J47">
        <v>24</v>
      </c>
      <c r="K47" s="11">
        <v>36</v>
      </c>
      <c r="L47" s="12">
        <v>8</v>
      </c>
    </row>
    <row r="48" spans="1:12" x14ac:dyDescent="0.25">
      <c r="A48" s="12">
        <v>25</v>
      </c>
      <c r="B48" s="11">
        <v>250</v>
      </c>
      <c r="C48" s="11">
        <v>25</v>
      </c>
      <c r="D48" s="11">
        <v>30</v>
      </c>
      <c r="E48" s="11">
        <v>150</v>
      </c>
      <c r="F48" s="11">
        <v>105</v>
      </c>
      <c r="G48" s="11">
        <v>4</v>
      </c>
      <c r="H48" s="11">
        <v>24</v>
      </c>
      <c r="I48" s="11">
        <v>54</v>
      </c>
      <c r="J48">
        <v>24</v>
      </c>
      <c r="K48" s="11">
        <v>36</v>
      </c>
      <c r="L48" s="12">
        <v>8</v>
      </c>
    </row>
    <row r="49" spans="1:12" ht="15" customHeight="1" x14ac:dyDescent="0.25">
      <c r="A49" s="11">
        <v>32</v>
      </c>
      <c r="B49" s="11">
        <v>1</v>
      </c>
      <c r="C49" s="11">
        <v>31</v>
      </c>
      <c r="D49" s="11">
        <v>10</v>
      </c>
      <c r="E49" s="11">
        <v>120</v>
      </c>
      <c r="F49" s="11">
        <v>90</v>
      </c>
      <c r="G49" s="11">
        <v>4</v>
      </c>
      <c r="H49" s="11">
        <v>12</v>
      </c>
      <c r="I49" s="11">
        <v>50</v>
      </c>
      <c r="J49">
        <v>14</v>
      </c>
      <c r="K49" s="11">
        <v>39</v>
      </c>
      <c r="L49" s="13">
        <v>6</v>
      </c>
    </row>
    <row r="50" spans="1:12" ht="15" customHeight="1" x14ac:dyDescent="0.25">
      <c r="A50" s="12">
        <v>32</v>
      </c>
      <c r="B50" s="11" t="s">
        <v>2399</v>
      </c>
      <c r="C50" s="12">
        <v>31</v>
      </c>
      <c r="D50" s="12">
        <v>10</v>
      </c>
      <c r="E50" s="13">
        <v>120</v>
      </c>
      <c r="F50" s="12">
        <v>90</v>
      </c>
      <c r="G50" s="13">
        <v>4</v>
      </c>
      <c r="H50" s="13">
        <v>12</v>
      </c>
      <c r="I50" s="12">
        <v>50</v>
      </c>
      <c r="J50">
        <v>14</v>
      </c>
      <c r="K50" s="12">
        <v>39</v>
      </c>
      <c r="L50" s="12">
        <v>6</v>
      </c>
    </row>
    <row r="51" spans="1:12" x14ac:dyDescent="0.25">
      <c r="A51" s="12">
        <v>32</v>
      </c>
      <c r="B51" s="11">
        <v>6</v>
      </c>
      <c r="C51" s="12">
        <v>31</v>
      </c>
      <c r="D51" s="11">
        <v>14</v>
      </c>
      <c r="E51" s="12">
        <v>120</v>
      </c>
      <c r="F51" s="12">
        <v>90</v>
      </c>
      <c r="G51" s="12">
        <v>4</v>
      </c>
      <c r="H51" s="12">
        <v>12</v>
      </c>
      <c r="I51" s="12">
        <v>50</v>
      </c>
      <c r="J51">
        <v>15</v>
      </c>
      <c r="K51" s="12">
        <v>39</v>
      </c>
      <c r="L51" s="12">
        <v>6</v>
      </c>
    </row>
    <row r="52" spans="1:12" ht="15" customHeight="1" x14ac:dyDescent="0.25">
      <c r="A52" s="12">
        <v>32</v>
      </c>
      <c r="B52" s="11">
        <v>10</v>
      </c>
      <c r="C52" s="12">
        <v>31</v>
      </c>
      <c r="D52" s="11">
        <v>15</v>
      </c>
      <c r="E52" s="11">
        <v>135</v>
      </c>
      <c r="F52" s="11">
        <v>100</v>
      </c>
      <c r="G52" s="12">
        <v>4</v>
      </c>
      <c r="H52" s="13">
        <v>16</v>
      </c>
      <c r="I52" s="11">
        <v>55</v>
      </c>
      <c r="J52">
        <v>21</v>
      </c>
      <c r="K52" s="12">
        <v>39</v>
      </c>
      <c r="L52" s="12">
        <v>6</v>
      </c>
    </row>
    <row r="53" spans="1:12" x14ac:dyDescent="0.25">
      <c r="A53" s="12">
        <v>32</v>
      </c>
      <c r="B53" s="11">
        <v>16</v>
      </c>
      <c r="C53" s="12">
        <v>31</v>
      </c>
      <c r="D53" s="12">
        <v>15</v>
      </c>
      <c r="E53" s="12">
        <v>135</v>
      </c>
      <c r="F53" s="12">
        <v>100</v>
      </c>
      <c r="G53" s="12">
        <v>4</v>
      </c>
      <c r="H53" s="12">
        <v>16</v>
      </c>
      <c r="I53" s="12">
        <v>55</v>
      </c>
      <c r="J53">
        <v>21</v>
      </c>
      <c r="K53" s="12">
        <v>39</v>
      </c>
      <c r="L53" s="12">
        <v>6</v>
      </c>
    </row>
    <row r="54" spans="1:12" ht="15" customHeight="1" x14ac:dyDescent="0.25">
      <c r="A54" s="12">
        <v>32</v>
      </c>
      <c r="B54" s="11">
        <v>25</v>
      </c>
      <c r="C54" s="12">
        <v>31</v>
      </c>
      <c r="D54" s="13">
        <v>18</v>
      </c>
      <c r="E54" s="12">
        <v>135</v>
      </c>
      <c r="F54" s="12">
        <v>100</v>
      </c>
      <c r="G54" s="12">
        <v>4</v>
      </c>
      <c r="H54" s="12">
        <v>16</v>
      </c>
      <c r="I54" s="11">
        <v>56</v>
      </c>
      <c r="J54">
        <v>21</v>
      </c>
      <c r="K54" s="12">
        <v>39</v>
      </c>
      <c r="L54" s="12">
        <v>6</v>
      </c>
    </row>
    <row r="55" spans="1:12" x14ac:dyDescent="0.25">
      <c r="A55" s="12">
        <v>32</v>
      </c>
      <c r="B55" s="11">
        <v>40</v>
      </c>
      <c r="C55" s="12">
        <v>31</v>
      </c>
      <c r="D55" s="12">
        <v>18</v>
      </c>
      <c r="E55" s="12">
        <v>135</v>
      </c>
      <c r="F55" s="12">
        <v>100</v>
      </c>
      <c r="G55" s="12">
        <v>4</v>
      </c>
      <c r="H55" s="12">
        <v>16</v>
      </c>
      <c r="I55" s="12">
        <v>56</v>
      </c>
      <c r="J55">
        <v>21</v>
      </c>
      <c r="K55" s="12">
        <v>39</v>
      </c>
      <c r="L55" s="12">
        <v>6</v>
      </c>
    </row>
    <row r="56" spans="1:12" ht="15" customHeight="1" x14ac:dyDescent="0.25">
      <c r="A56" s="12">
        <v>32</v>
      </c>
      <c r="B56" s="11">
        <v>63</v>
      </c>
      <c r="C56" s="12">
        <v>31</v>
      </c>
      <c r="D56" s="11">
        <v>23</v>
      </c>
      <c r="E56" s="11">
        <v>150</v>
      </c>
      <c r="F56" s="11">
        <v>110</v>
      </c>
      <c r="G56" s="12">
        <v>4</v>
      </c>
      <c r="H56" s="13">
        <v>20</v>
      </c>
      <c r="I56" s="11">
        <v>64</v>
      </c>
      <c r="J56">
        <v>31</v>
      </c>
      <c r="K56" s="12">
        <v>39</v>
      </c>
      <c r="L56" s="13">
        <v>8</v>
      </c>
    </row>
    <row r="57" spans="1:12" x14ac:dyDescent="0.25">
      <c r="A57" s="12">
        <v>32</v>
      </c>
      <c r="B57" s="11">
        <v>100</v>
      </c>
      <c r="C57" s="12">
        <v>31</v>
      </c>
      <c r="D57" s="11">
        <v>24</v>
      </c>
      <c r="E57" s="12">
        <v>150</v>
      </c>
      <c r="F57" s="12">
        <v>110</v>
      </c>
      <c r="G57" s="12">
        <v>4</v>
      </c>
      <c r="H57" s="12">
        <v>20</v>
      </c>
      <c r="I57" s="12">
        <v>64</v>
      </c>
      <c r="J57">
        <v>30</v>
      </c>
      <c r="K57" s="12">
        <v>39</v>
      </c>
      <c r="L57" s="12">
        <v>8</v>
      </c>
    </row>
    <row r="58" spans="1:12" x14ac:dyDescent="0.25">
      <c r="A58" s="12">
        <v>32</v>
      </c>
      <c r="B58" s="11">
        <v>160</v>
      </c>
      <c r="C58" s="12">
        <v>31</v>
      </c>
      <c r="D58" s="11">
        <v>24</v>
      </c>
      <c r="E58" s="12">
        <v>150</v>
      </c>
      <c r="F58" s="12">
        <v>110</v>
      </c>
      <c r="G58" s="11">
        <v>4</v>
      </c>
      <c r="H58" s="11">
        <v>20</v>
      </c>
      <c r="I58" s="12">
        <v>64</v>
      </c>
      <c r="J58">
        <v>35</v>
      </c>
      <c r="K58" s="12">
        <v>39</v>
      </c>
      <c r="L58" s="12">
        <v>8</v>
      </c>
    </row>
    <row r="59" spans="1:12" x14ac:dyDescent="0.25">
      <c r="A59" s="12">
        <v>32</v>
      </c>
      <c r="B59" s="11">
        <v>200</v>
      </c>
      <c r="C59" s="12">
        <v>31</v>
      </c>
      <c r="D59" s="11">
        <v>32</v>
      </c>
      <c r="E59" s="11">
        <v>160</v>
      </c>
      <c r="F59" s="11">
        <v>115</v>
      </c>
      <c r="G59" s="12">
        <v>4</v>
      </c>
      <c r="H59" s="11">
        <v>24</v>
      </c>
      <c r="I59" s="12">
        <v>64</v>
      </c>
      <c r="J59">
        <v>27</v>
      </c>
      <c r="K59" s="11">
        <v>43</v>
      </c>
      <c r="L59" s="12">
        <v>8</v>
      </c>
    </row>
    <row r="60" spans="1:12" ht="15" customHeight="1" x14ac:dyDescent="0.25">
      <c r="A60" s="12">
        <v>32</v>
      </c>
      <c r="B60" s="11">
        <v>250</v>
      </c>
      <c r="C60" s="12">
        <v>31</v>
      </c>
      <c r="D60" s="11">
        <v>37</v>
      </c>
      <c r="E60" s="12">
        <v>160</v>
      </c>
      <c r="F60" s="12">
        <v>115</v>
      </c>
      <c r="G60" s="12">
        <v>4</v>
      </c>
      <c r="H60" s="12">
        <v>24</v>
      </c>
      <c r="I60" s="12">
        <v>64</v>
      </c>
      <c r="J60">
        <v>26</v>
      </c>
      <c r="K60" s="12">
        <v>43</v>
      </c>
      <c r="L60" s="13">
        <v>9</v>
      </c>
    </row>
    <row r="61" spans="1:12" ht="15" customHeight="1" x14ac:dyDescent="0.25">
      <c r="A61" s="11">
        <v>40</v>
      </c>
      <c r="B61" s="11">
        <v>1</v>
      </c>
      <c r="C61" s="11">
        <v>38</v>
      </c>
      <c r="D61" s="11">
        <v>12</v>
      </c>
      <c r="E61" s="11">
        <v>130</v>
      </c>
      <c r="F61" s="11">
        <v>100</v>
      </c>
      <c r="G61" s="11">
        <v>4</v>
      </c>
      <c r="H61" s="11">
        <v>12</v>
      </c>
      <c r="I61" s="11">
        <v>60</v>
      </c>
      <c r="J61">
        <v>17</v>
      </c>
      <c r="K61" s="11">
        <v>46</v>
      </c>
      <c r="L61" s="13">
        <v>7</v>
      </c>
    </row>
    <row r="62" spans="1:12" ht="15" customHeight="1" x14ac:dyDescent="0.25">
      <c r="A62" s="12">
        <v>40</v>
      </c>
      <c r="B62" s="11" t="s">
        <v>2399</v>
      </c>
      <c r="C62" s="12">
        <v>38</v>
      </c>
      <c r="D62" s="12">
        <v>12</v>
      </c>
      <c r="E62" s="13">
        <v>130</v>
      </c>
      <c r="F62" s="12">
        <v>100</v>
      </c>
      <c r="G62" s="13">
        <v>4</v>
      </c>
      <c r="H62" s="13">
        <v>12</v>
      </c>
      <c r="I62" s="12">
        <v>60</v>
      </c>
      <c r="J62">
        <v>17</v>
      </c>
      <c r="K62" s="12">
        <v>46</v>
      </c>
      <c r="L62" s="12">
        <v>7</v>
      </c>
    </row>
    <row r="63" spans="1:12" x14ac:dyDescent="0.25">
      <c r="A63" s="12">
        <v>40</v>
      </c>
      <c r="B63" s="11">
        <v>6</v>
      </c>
      <c r="C63" s="12">
        <v>38</v>
      </c>
      <c r="D63" s="11">
        <v>15</v>
      </c>
      <c r="E63" s="12">
        <v>130</v>
      </c>
      <c r="F63" s="12">
        <v>100</v>
      </c>
      <c r="G63" s="12">
        <v>4</v>
      </c>
      <c r="H63" s="12">
        <v>12</v>
      </c>
      <c r="I63" s="12">
        <v>60</v>
      </c>
      <c r="J63">
        <v>16</v>
      </c>
      <c r="K63" s="12">
        <v>46</v>
      </c>
      <c r="L63" s="12">
        <v>7</v>
      </c>
    </row>
    <row r="64" spans="1:12" ht="15" customHeight="1" x14ac:dyDescent="0.25">
      <c r="A64" s="12">
        <v>40</v>
      </c>
      <c r="B64" s="11">
        <v>10</v>
      </c>
      <c r="C64" s="12">
        <v>38</v>
      </c>
      <c r="D64" s="11">
        <v>16</v>
      </c>
      <c r="E64" s="11">
        <v>145</v>
      </c>
      <c r="F64" s="11">
        <v>110</v>
      </c>
      <c r="G64" s="12">
        <v>4</v>
      </c>
      <c r="H64" s="13">
        <v>16</v>
      </c>
      <c r="I64" s="11">
        <v>62</v>
      </c>
      <c r="J64">
        <v>22</v>
      </c>
      <c r="K64" s="12">
        <v>46</v>
      </c>
      <c r="L64" s="12">
        <v>7</v>
      </c>
    </row>
    <row r="65" spans="1:12" x14ac:dyDescent="0.25">
      <c r="A65" s="12">
        <v>40</v>
      </c>
      <c r="B65" s="11">
        <v>16</v>
      </c>
      <c r="C65" s="12">
        <v>38</v>
      </c>
      <c r="D65" s="12">
        <v>16</v>
      </c>
      <c r="E65" s="12">
        <v>145</v>
      </c>
      <c r="F65" s="12">
        <v>110</v>
      </c>
      <c r="G65" s="12">
        <v>4</v>
      </c>
      <c r="H65" s="12">
        <v>16</v>
      </c>
      <c r="I65" s="11">
        <v>64</v>
      </c>
      <c r="J65">
        <v>22</v>
      </c>
      <c r="K65" s="12">
        <v>46</v>
      </c>
      <c r="L65" s="12">
        <v>7</v>
      </c>
    </row>
    <row r="66" spans="1:12" x14ac:dyDescent="0.25">
      <c r="A66" s="12">
        <v>40</v>
      </c>
      <c r="B66" s="11">
        <v>25</v>
      </c>
      <c r="C66" s="12">
        <v>38</v>
      </c>
      <c r="D66" s="11">
        <v>19</v>
      </c>
      <c r="E66" s="11">
        <v>145</v>
      </c>
      <c r="F66" s="12">
        <v>110</v>
      </c>
      <c r="G66" s="12">
        <v>4</v>
      </c>
      <c r="H66" s="12">
        <v>16</v>
      </c>
      <c r="I66" s="12">
        <v>64</v>
      </c>
      <c r="J66">
        <v>22</v>
      </c>
      <c r="K66" s="12">
        <v>46</v>
      </c>
      <c r="L66" s="12">
        <v>7</v>
      </c>
    </row>
    <row r="67" spans="1:12" x14ac:dyDescent="0.25">
      <c r="A67" s="12">
        <v>40</v>
      </c>
      <c r="B67" s="11">
        <v>40</v>
      </c>
      <c r="C67" s="12">
        <v>38</v>
      </c>
      <c r="D67" s="12">
        <v>19</v>
      </c>
      <c r="E67" s="12">
        <v>145</v>
      </c>
      <c r="F67" s="12">
        <v>110</v>
      </c>
      <c r="G67" s="12">
        <v>4</v>
      </c>
      <c r="H67" s="12">
        <v>16</v>
      </c>
      <c r="I67" s="12">
        <v>64</v>
      </c>
      <c r="J67">
        <v>22</v>
      </c>
      <c r="K67" s="12">
        <v>46</v>
      </c>
      <c r="L67" s="12">
        <v>7</v>
      </c>
    </row>
    <row r="68" spans="1:12" ht="15" customHeight="1" x14ac:dyDescent="0.25">
      <c r="A68" s="12">
        <v>40</v>
      </c>
      <c r="B68" s="11">
        <v>63</v>
      </c>
      <c r="C68" s="11">
        <v>37</v>
      </c>
      <c r="D68" s="11">
        <v>24</v>
      </c>
      <c r="E68" s="11">
        <v>165</v>
      </c>
      <c r="F68" s="11">
        <v>125</v>
      </c>
      <c r="G68" s="12">
        <v>4</v>
      </c>
      <c r="H68" s="13">
        <v>20</v>
      </c>
      <c r="I68" s="11">
        <v>74</v>
      </c>
      <c r="J68">
        <v>34</v>
      </c>
      <c r="K68" s="12">
        <v>46</v>
      </c>
      <c r="L68" s="13">
        <v>10</v>
      </c>
    </row>
    <row r="69" spans="1:12" x14ac:dyDescent="0.25">
      <c r="A69" s="12">
        <v>40</v>
      </c>
      <c r="B69" s="11">
        <v>100</v>
      </c>
      <c r="C69" s="12">
        <v>37</v>
      </c>
      <c r="D69" s="11">
        <v>26</v>
      </c>
      <c r="E69" s="12">
        <v>165</v>
      </c>
      <c r="F69" s="12">
        <v>125</v>
      </c>
      <c r="G69" s="12">
        <v>4</v>
      </c>
      <c r="H69" s="12">
        <v>20</v>
      </c>
      <c r="I69" s="11">
        <v>76</v>
      </c>
      <c r="J69">
        <v>34</v>
      </c>
      <c r="K69" s="12">
        <v>46</v>
      </c>
      <c r="L69" s="12">
        <v>10</v>
      </c>
    </row>
    <row r="70" spans="1:12" ht="15" customHeight="1" x14ac:dyDescent="0.25">
      <c r="A70" s="12">
        <v>40</v>
      </c>
      <c r="B70" s="11">
        <v>160</v>
      </c>
      <c r="C70" s="12">
        <v>37</v>
      </c>
      <c r="D70" s="13">
        <v>28</v>
      </c>
      <c r="E70" s="12">
        <v>165</v>
      </c>
      <c r="F70" s="12">
        <v>125</v>
      </c>
      <c r="G70" s="12">
        <v>4</v>
      </c>
      <c r="H70" s="12">
        <v>20</v>
      </c>
      <c r="I70" s="12">
        <v>76</v>
      </c>
      <c r="J70">
        <v>37</v>
      </c>
      <c r="K70" s="12">
        <v>46</v>
      </c>
      <c r="L70" s="12">
        <v>10</v>
      </c>
    </row>
    <row r="71" spans="1:12" x14ac:dyDescent="0.25">
      <c r="A71" s="12">
        <v>40</v>
      </c>
      <c r="B71" s="11">
        <v>200</v>
      </c>
      <c r="C71" s="11">
        <v>36</v>
      </c>
      <c r="D71" s="11">
        <v>34</v>
      </c>
      <c r="E71" s="11">
        <v>170</v>
      </c>
      <c r="F71" s="11">
        <v>124</v>
      </c>
      <c r="G71" s="11">
        <v>4</v>
      </c>
      <c r="H71" s="11">
        <v>24</v>
      </c>
      <c r="I71" s="11">
        <v>74</v>
      </c>
      <c r="J71">
        <v>31</v>
      </c>
      <c r="K71" s="11">
        <v>49</v>
      </c>
      <c r="L71" s="12">
        <v>10</v>
      </c>
    </row>
    <row r="72" spans="1:12" x14ac:dyDescent="0.25">
      <c r="A72" s="12">
        <v>40</v>
      </c>
      <c r="B72" s="11">
        <v>250</v>
      </c>
      <c r="C72" s="11">
        <v>36</v>
      </c>
      <c r="D72" s="11">
        <v>34</v>
      </c>
      <c r="E72" s="11">
        <v>170</v>
      </c>
      <c r="F72" s="11">
        <v>135</v>
      </c>
      <c r="G72" s="11">
        <v>4</v>
      </c>
      <c r="H72" s="11">
        <v>24</v>
      </c>
      <c r="I72" s="11">
        <v>74</v>
      </c>
      <c r="J72">
        <v>31</v>
      </c>
      <c r="K72" s="11">
        <v>49</v>
      </c>
      <c r="L72" s="12">
        <v>10</v>
      </c>
    </row>
    <row r="73" spans="1:12" ht="15" customHeight="1" x14ac:dyDescent="0.25">
      <c r="A73" s="11">
        <v>50</v>
      </c>
      <c r="B73" s="11">
        <v>1</v>
      </c>
      <c r="C73" s="11">
        <v>49</v>
      </c>
      <c r="D73" s="11">
        <v>12</v>
      </c>
      <c r="E73" s="11">
        <v>140</v>
      </c>
      <c r="F73" s="11">
        <v>110</v>
      </c>
      <c r="G73" s="11">
        <v>4</v>
      </c>
      <c r="H73" s="11">
        <v>12</v>
      </c>
      <c r="I73" s="11">
        <v>70</v>
      </c>
      <c r="J73">
        <v>16</v>
      </c>
      <c r="K73" s="11">
        <v>58</v>
      </c>
      <c r="L73" s="13">
        <v>8</v>
      </c>
    </row>
    <row r="74" spans="1:12" ht="15" customHeight="1" x14ac:dyDescent="0.25">
      <c r="A74" s="12">
        <v>50</v>
      </c>
      <c r="B74" s="11" t="s">
        <v>2399</v>
      </c>
      <c r="C74" s="12">
        <v>49</v>
      </c>
      <c r="D74" s="12">
        <v>12</v>
      </c>
      <c r="E74" s="13">
        <v>140</v>
      </c>
      <c r="F74" s="12">
        <v>110</v>
      </c>
      <c r="G74" s="13">
        <v>4</v>
      </c>
      <c r="H74" s="13">
        <v>12</v>
      </c>
      <c r="I74" s="12">
        <v>70</v>
      </c>
      <c r="J74">
        <v>16</v>
      </c>
      <c r="K74" s="12">
        <v>58</v>
      </c>
      <c r="L74" s="12">
        <v>8</v>
      </c>
    </row>
    <row r="75" spans="1:12" x14ac:dyDescent="0.25">
      <c r="A75" s="12">
        <v>50</v>
      </c>
      <c r="B75" s="11">
        <v>6</v>
      </c>
      <c r="C75" s="12">
        <v>49</v>
      </c>
      <c r="D75" s="11">
        <v>15</v>
      </c>
      <c r="E75" s="12">
        <v>140</v>
      </c>
      <c r="F75" s="12">
        <v>110</v>
      </c>
      <c r="G75" s="12">
        <v>4</v>
      </c>
      <c r="H75" s="12">
        <v>12</v>
      </c>
      <c r="I75" s="12">
        <v>70</v>
      </c>
      <c r="J75">
        <v>15</v>
      </c>
      <c r="K75" s="12">
        <v>58</v>
      </c>
      <c r="L75" s="12">
        <v>8</v>
      </c>
    </row>
    <row r="76" spans="1:12" ht="15" customHeight="1" x14ac:dyDescent="0.25">
      <c r="A76" s="12">
        <v>50</v>
      </c>
      <c r="B76" s="11">
        <v>10</v>
      </c>
      <c r="C76" s="12">
        <v>49</v>
      </c>
      <c r="D76" s="11">
        <v>16</v>
      </c>
      <c r="E76" s="11">
        <v>160</v>
      </c>
      <c r="F76" s="11">
        <v>125</v>
      </c>
      <c r="G76" s="12">
        <v>4</v>
      </c>
      <c r="H76" s="13">
        <v>16</v>
      </c>
      <c r="I76" s="11">
        <v>76</v>
      </c>
      <c r="J76">
        <v>21</v>
      </c>
      <c r="K76" s="12">
        <v>58</v>
      </c>
      <c r="L76" s="12">
        <v>8</v>
      </c>
    </row>
    <row r="77" spans="1:12" x14ac:dyDescent="0.25">
      <c r="A77" s="12">
        <v>50</v>
      </c>
      <c r="B77" s="11">
        <v>16</v>
      </c>
      <c r="C77" s="12">
        <v>49</v>
      </c>
      <c r="D77" s="12">
        <v>16</v>
      </c>
      <c r="E77" s="12">
        <v>160</v>
      </c>
      <c r="F77" s="12">
        <v>125</v>
      </c>
      <c r="G77" s="12">
        <v>4</v>
      </c>
      <c r="H77" s="12">
        <v>16</v>
      </c>
      <c r="I77" s="12">
        <v>76</v>
      </c>
      <c r="J77">
        <v>24</v>
      </c>
      <c r="K77" s="12">
        <v>58</v>
      </c>
      <c r="L77" s="12">
        <v>8</v>
      </c>
    </row>
    <row r="78" spans="1:12" ht="15" customHeight="1" x14ac:dyDescent="0.25">
      <c r="A78" s="12">
        <v>50</v>
      </c>
      <c r="B78" s="11">
        <v>25</v>
      </c>
      <c r="C78" s="12">
        <v>49</v>
      </c>
      <c r="D78" s="13">
        <v>20</v>
      </c>
      <c r="E78" s="12">
        <v>160</v>
      </c>
      <c r="F78" s="12">
        <v>125</v>
      </c>
      <c r="G78" s="12">
        <v>4</v>
      </c>
      <c r="H78" s="12">
        <v>16</v>
      </c>
      <c r="I78" s="12">
        <v>76</v>
      </c>
      <c r="J78">
        <v>20</v>
      </c>
      <c r="K78" s="12">
        <v>58</v>
      </c>
      <c r="L78" s="12">
        <v>8</v>
      </c>
    </row>
    <row r="79" spans="1:12" x14ac:dyDescent="0.25">
      <c r="A79" s="12">
        <v>50</v>
      </c>
      <c r="B79" s="11">
        <v>40</v>
      </c>
      <c r="C79" s="11">
        <v>48</v>
      </c>
      <c r="D79" s="12">
        <v>20</v>
      </c>
      <c r="E79" s="12">
        <v>160</v>
      </c>
      <c r="F79" s="12">
        <v>125</v>
      </c>
      <c r="G79" s="12">
        <v>4</v>
      </c>
      <c r="H79" s="12">
        <v>16</v>
      </c>
      <c r="I79" s="12">
        <v>76</v>
      </c>
      <c r="J79">
        <v>20</v>
      </c>
      <c r="K79" s="12">
        <v>58</v>
      </c>
      <c r="L79" s="12">
        <v>8</v>
      </c>
    </row>
    <row r="80" spans="1:12" ht="15" customHeight="1" x14ac:dyDescent="0.25">
      <c r="A80" s="12">
        <v>50</v>
      </c>
      <c r="B80" s="11">
        <v>63</v>
      </c>
      <c r="C80" s="11">
        <v>47</v>
      </c>
      <c r="D80" s="13">
        <v>26</v>
      </c>
      <c r="E80" s="11">
        <v>175</v>
      </c>
      <c r="F80" s="11">
        <v>135</v>
      </c>
      <c r="G80" s="12">
        <v>4</v>
      </c>
      <c r="H80" s="13">
        <v>20</v>
      </c>
      <c r="I80" s="11">
        <v>86</v>
      </c>
      <c r="J80">
        <v>34</v>
      </c>
      <c r="K80" s="12">
        <v>58</v>
      </c>
      <c r="L80" s="13">
        <v>10</v>
      </c>
    </row>
    <row r="81" spans="1:12" ht="15" customHeight="1" x14ac:dyDescent="0.25">
      <c r="A81" s="12">
        <v>50</v>
      </c>
      <c r="B81" s="11">
        <v>100</v>
      </c>
      <c r="C81" s="11">
        <v>45</v>
      </c>
      <c r="D81" s="13">
        <v>28</v>
      </c>
      <c r="E81" s="13">
        <v>195</v>
      </c>
      <c r="F81" s="11">
        <v>145</v>
      </c>
      <c r="G81" s="12">
        <v>4</v>
      </c>
      <c r="H81" s="13">
        <v>24</v>
      </c>
      <c r="I81" s="12">
        <v>86</v>
      </c>
      <c r="J81">
        <v>33</v>
      </c>
      <c r="K81" s="12">
        <v>58</v>
      </c>
      <c r="L81" s="12">
        <v>10</v>
      </c>
    </row>
    <row r="82" spans="1:12" ht="15" customHeight="1" x14ac:dyDescent="0.25">
      <c r="A82" s="12">
        <v>50</v>
      </c>
      <c r="B82" s="11">
        <v>160</v>
      </c>
      <c r="C82" s="12">
        <v>45</v>
      </c>
      <c r="D82" s="13">
        <v>30</v>
      </c>
      <c r="E82" s="12">
        <v>195</v>
      </c>
      <c r="F82" s="12">
        <v>145</v>
      </c>
      <c r="G82" s="12">
        <v>4</v>
      </c>
      <c r="H82" s="12">
        <v>24</v>
      </c>
      <c r="I82" s="12">
        <v>86</v>
      </c>
      <c r="J82">
        <v>38</v>
      </c>
      <c r="K82" s="12">
        <v>58</v>
      </c>
      <c r="L82" s="12">
        <v>10</v>
      </c>
    </row>
    <row r="83" spans="1:12" x14ac:dyDescent="0.25">
      <c r="A83" s="12">
        <v>50</v>
      </c>
      <c r="B83" s="11">
        <v>200</v>
      </c>
      <c r="C83" s="11">
        <v>46</v>
      </c>
      <c r="D83" s="11">
        <v>40</v>
      </c>
      <c r="E83" s="11">
        <v>210</v>
      </c>
      <c r="F83" s="11">
        <v>160</v>
      </c>
      <c r="G83" s="11">
        <v>8</v>
      </c>
      <c r="H83" s="11">
        <v>24</v>
      </c>
      <c r="I83" s="11">
        <v>105</v>
      </c>
      <c r="J83">
        <v>48</v>
      </c>
      <c r="K83" s="11">
        <v>61</v>
      </c>
      <c r="L83" s="12">
        <v>10</v>
      </c>
    </row>
    <row r="84" spans="1:12" x14ac:dyDescent="0.25">
      <c r="A84" s="12">
        <v>50</v>
      </c>
      <c r="B84" s="11">
        <v>250</v>
      </c>
      <c r="C84" s="11">
        <v>46</v>
      </c>
      <c r="D84" s="11">
        <v>40</v>
      </c>
      <c r="E84" s="11">
        <v>210</v>
      </c>
      <c r="F84" s="11">
        <v>150</v>
      </c>
      <c r="G84" s="11">
        <v>8</v>
      </c>
      <c r="H84" s="11">
        <v>24</v>
      </c>
      <c r="I84" s="11">
        <v>105</v>
      </c>
      <c r="J84">
        <v>48</v>
      </c>
      <c r="K84" s="11">
        <v>61</v>
      </c>
      <c r="L84" s="12">
        <v>10</v>
      </c>
    </row>
    <row r="85" spans="1:12" ht="15" customHeight="1" x14ac:dyDescent="0.25">
      <c r="A85" s="11">
        <v>65</v>
      </c>
      <c r="B85" s="11">
        <v>1</v>
      </c>
      <c r="C85" s="11">
        <v>66</v>
      </c>
      <c r="D85" s="11">
        <v>12</v>
      </c>
      <c r="E85" s="11">
        <v>160</v>
      </c>
      <c r="F85" s="11">
        <v>130</v>
      </c>
      <c r="G85" s="13">
        <v>4</v>
      </c>
      <c r="H85" s="11">
        <v>12</v>
      </c>
      <c r="I85" s="11">
        <v>88</v>
      </c>
      <c r="J85">
        <v>15</v>
      </c>
      <c r="K85" s="11">
        <v>77</v>
      </c>
      <c r="L85" s="13">
        <v>9</v>
      </c>
    </row>
    <row r="86" spans="1:12" ht="15" customHeight="1" x14ac:dyDescent="0.25">
      <c r="A86" s="12">
        <v>65</v>
      </c>
      <c r="B86" s="11" t="s">
        <v>2399</v>
      </c>
      <c r="C86" s="12">
        <v>66</v>
      </c>
      <c r="D86" s="12">
        <v>12</v>
      </c>
      <c r="E86" s="13">
        <v>160</v>
      </c>
      <c r="F86" s="12">
        <v>130</v>
      </c>
      <c r="G86" s="12">
        <v>4</v>
      </c>
      <c r="H86" s="13">
        <v>12</v>
      </c>
      <c r="I86" s="12">
        <v>88</v>
      </c>
      <c r="J86">
        <v>15</v>
      </c>
      <c r="K86" s="12">
        <v>77</v>
      </c>
      <c r="L86" s="12">
        <v>9</v>
      </c>
    </row>
    <row r="87" spans="1:12" x14ac:dyDescent="0.25">
      <c r="A87" s="12">
        <v>65</v>
      </c>
      <c r="B87" s="11">
        <v>6</v>
      </c>
      <c r="C87" s="12">
        <v>66</v>
      </c>
      <c r="D87" s="11">
        <v>15</v>
      </c>
      <c r="E87" s="12">
        <v>160</v>
      </c>
      <c r="F87" s="12">
        <v>130</v>
      </c>
      <c r="G87" s="12">
        <v>4</v>
      </c>
      <c r="H87" s="12">
        <v>12</v>
      </c>
      <c r="I87" s="12">
        <v>88</v>
      </c>
      <c r="J87">
        <v>14</v>
      </c>
      <c r="K87" s="12">
        <v>77</v>
      </c>
      <c r="L87" s="12">
        <v>9</v>
      </c>
    </row>
    <row r="88" spans="1:12" ht="15" customHeight="1" x14ac:dyDescent="0.25">
      <c r="A88" s="12">
        <v>65</v>
      </c>
      <c r="B88" s="11">
        <v>10</v>
      </c>
      <c r="C88" s="12">
        <v>66</v>
      </c>
      <c r="D88" s="13">
        <v>18</v>
      </c>
      <c r="E88" s="11">
        <v>180</v>
      </c>
      <c r="F88" s="11">
        <v>145</v>
      </c>
      <c r="G88" s="11">
        <v>4</v>
      </c>
      <c r="H88" s="13">
        <v>16</v>
      </c>
      <c r="I88" s="11">
        <v>94</v>
      </c>
      <c r="J88">
        <v>20</v>
      </c>
      <c r="K88" s="12">
        <v>77</v>
      </c>
      <c r="L88" s="13">
        <v>10</v>
      </c>
    </row>
    <row r="89" spans="1:12" x14ac:dyDescent="0.25">
      <c r="A89" s="12">
        <v>65</v>
      </c>
      <c r="B89" s="11">
        <v>16</v>
      </c>
      <c r="C89" s="12">
        <v>66</v>
      </c>
      <c r="D89" s="12">
        <v>18</v>
      </c>
      <c r="E89" s="12">
        <v>180</v>
      </c>
      <c r="F89" s="12">
        <v>145</v>
      </c>
      <c r="G89" s="12">
        <v>4</v>
      </c>
      <c r="H89" s="12">
        <v>16</v>
      </c>
      <c r="I89" s="12">
        <v>94</v>
      </c>
      <c r="J89">
        <v>22</v>
      </c>
      <c r="K89" s="12">
        <v>77</v>
      </c>
      <c r="L89" s="12">
        <v>10</v>
      </c>
    </row>
    <row r="90" spans="1:12" ht="15" customHeight="1" x14ac:dyDescent="0.25">
      <c r="A90" s="12">
        <v>65</v>
      </c>
      <c r="B90" s="11">
        <v>25</v>
      </c>
      <c r="C90" s="12">
        <v>66</v>
      </c>
      <c r="D90" s="13">
        <v>22</v>
      </c>
      <c r="E90" s="12">
        <v>180</v>
      </c>
      <c r="F90" s="11">
        <v>145</v>
      </c>
      <c r="G90" s="13">
        <v>8</v>
      </c>
      <c r="H90" s="12">
        <v>16</v>
      </c>
      <c r="I90" s="11">
        <v>96</v>
      </c>
      <c r="J90">
        <v>21</v>
      </c>
      <c r="K90" s="12">
        <v>77</v>
      </c>
      <c r="L90" s="12">
        <v>10</v>
      </c>
    </row>
    <row r="91" spans="1:12" x14ac:dyDescent="0.25">
      <c r="A91" s="12">
        <v>65</v>
      </c>
      <c r="B91" s="11">
        <v>40</v>
      </c>
      <c r="C91" s="12">
        <v>66</v>
      </c>
      <c r="D91" s="12">
        <v>22</v>
      </c>
      <c r="E91" s="12">
        <v>180</v>
      </c>
      <c r="F91" s="12">
        <v>145</v>
      </c>
      <c r="G91" s="12">
        <v>8</v>
      </c>
      <c r="H91" s="12">
        <v>16</v>
      </c>
      <c r="I91" s="12">
        <v>96</v>
      </c>
      <c r="J91">
        <v>21</v>
      </c>
      <c r="K91" s="12">
        <v>77</v>
      </c>
      <c r="L91" s="12">
        <v>10</v>
      </c>
    </row>
    <row r="92" spans="1:12" ht="15" customHeight="1" x14ac:dyDescent="0.25">
      <c r="A92" s="12">
        <v>65</v>
      </c>
      <c r="B92" s="11">
        <v>63</v>
      </c>
      <c r="C92" s="11">
        <v>64</v>
      </c>
      <c r="D92" s="11">
        <v>28</v>
      </c>
      <c r="E92" s="11">
        <v>200</v>
      </c>
      <c r="F92" s="11">
        <v>160</v>
      </c>
      <c r="G92" s="12">
        <v>8</v>
      </c>
      <c r="H92" s="13">
        <v>20</v>
      </c>
      <c r="I92" s="11">
        <v>106</v>
      </c>
      <c r="J92">
        <v>35</v>
      </c>
      <c r="K92" s="12">
        <v>77</v>
      </c>
      <c r="L92" s="13">
        <v>12</v>
      </c>
    </row>
    <row r="93" spans="1:12" ht="15" customHeight="1" x14ac:dyDescent="0.25">
      <c r="A93" s="12">
        <v>65</v>
      </c>
      <c r="B93" s="11">
        <v>100</v>
      </c>
      <c r="C93" s="11">
        <v>62</v>
      </c>
      <c r="D93" s="11">
        <v>32</v>
      </c>
      <c r="E93" s="13">
        <v>220</v>
      </c>
      <c r="F93" s="11">
        <v>170</v>
      </c>
      <c r="G93" s="12">
        <v>8</v>
      </c>
      <c r="H93" s="13">
        <v>24</v>
      </c>
      <c r="I93" s="11">
        <v>110</v>
      </c>
      <c r="J93">
        <v>39</v>
      </c>
      <c r="K93" s="12">
        <v>77</v>
      </c>
      <c r="L93" s="12">
        <v>12</v>
      </c>
    </row>
    <row r="94" spans="1:12" ht="15" customHeight="1" x14ac:dyDescent="0.25">
      <c r="A94" s="12">
        <v>65</v>
      </c>
      <c r="B94" s="11">
        <v>160</v>
      </c>
      <c r="C94" s="12">
        <v>62</v>
      </c>
      <c r="D94" s="13">
        <v>34</v>
      </c>
      <c r="E94" s="12">
        <v>220</v>
      </c>
      <c r="F94" s="12">
        <v>170</v>
      </c>
      <c r="G94" s="12">
        <v>8</v>
      </c>
      <c r="H94" s="12">
        <v>24</v>
      </c>
      <c r="I94" s="12">
        <v>110</v>
      </c>
      <c r="J94">
        <v>42</v>
      </c>
      <c r="K94" s="12">
        <v>77</v>
      </c>
      <c r="L94" s="12">
        <v>12</v>
      </c>
    </row>
    <row r="95" spans="1:12" x14ac:dyDescent="0.25">
      <c r="A95" s="12">
        <v>65</v>
      </c>
      <c r="B95" s="11">
        <v>200</v>
      </c>
      <c r="C95" s="11">
        <v>68</v>
      </c>
      <c r="D95" s="11">
        <v>48</v>
      </c>
      <c r="E95" s="11">
        <v>260</v>
      </c>
      <c r="F95" s="11">
        <v>203</v>
      </c>
      <c r="G95" s="11">
        <v>8</v>
      </c>
      <c r="H95" s="11">
        <v>27</v>
      </c>
      <c r="I95" s="11">
        <v>138</v>
      </c>
      <c r="J95">
        <v>61</v>
      </c>
      <c r="K95" s="11">
        <v>90</v>
      </c>
      <c r="L95" s="12">
        <v>12</v>
      </c>
    </row>
    <row r="96" spans="1:12" x14ac:dyDescent="0.25">
      <c r="A96" s="12">
        <v>65</v>
      </c>
      <c r="B96" s="11">
        <v>250</v>
      </c>
      <c r="C96" s="11">
        <v>68</v>
      </c>
      <c r="D96" s="11">
        <v>48</v>
      </c>
      <c r="E96" s="11">
        <v>260</v>
      </c>
      <c r="F96" s="11">
        <v>180</v>
      </c>
      <c r="G96" s="11">
        <v>8</v>
      </c>
      <c r="H96" s="11">
        <v>27</v>
      </c>
      <c r="I96" s="11">
        <v>138</v>
      </c>
      <c r="J96">
        <v>61</v>
      </c>
      <c r="K96" s="11">
        <v>90</v>
      </c>
      <c r="L96" s="12">
        <v>12</v>
      </c>
    </row>
    <row r="97" spans="1:12" ht="15" customHeight="1" x14ac:dyDescent="0.25">
      <c r="A97" s="11">
        <v>80</v>
      </c>
      <c r="B97" s="11">
        <v>1</v>
      </c>
      <c r="C97" s="11">
        <v>78</v>
      </c>
      <c r="D97" s="11">
        <v>14</v>
      </c>
      <c r="E97" s="11">
        <v>185</v>
      </c>
      <c r="F97" s="11">
        <v>150</v>
      </c>
      <c r="G97" s="11">
        <v>4</v>
      </c>
      <c r="H97" s="11">
        <v>16</v>
      </c>
      <c r="I97" s="11">
        <v>102</v>
      </c>
      <c r="J97">
        <v>14</v>
      </c>
      <c r="K97" s="11">
        <v>90</v>
      </c>
      <c r="L97" s="13">
        <v>10</v>
      </c>
    </row>
    <row r="98" spans="1:12" ht="15" customHeight="1" x14ac:dyDescent="0.25">
      <c r="A98" s="12">
        <v>80</v>
      </c>
      <c r="B98" s="11" t="s">
        <v>2399</v>
      </c>
      <c r="C98" s="12">
        <v>78</v>
      </c>
      <c r="D98" s="12">
        <v>14</v>
      </c>
      <c r="E98" s="12">
        <v>185</v>
      </c>
      <c r="F98" s="12">
        <v>150</v>
      </c>
      <c r="G98" s="13">
        <v>4</v>
      </c>
      <c r="H98" s="13">
        <v>16</v>
      </c>
      <c r="I98" s="12">
        <v>102</v>
      </c>
      <c r="J98">
        <v>14</v>
      </c>
      <c r="K98" s="12">
        <v>90</v>
      </c>
      <c r="L98" s="12">
        <v>10</v>
      </c>
    </row>
    <row r="99" spans="1:12" x14ac:dyDescent="0.25">
      <c r="A99" s="12">
        <v>80</v>
      </c>
      <c r="B99" s="11">
        <v>6</v>
      </c>
      <c r="C99" s="12">
        <v>78</v>
      </c>
      <c r="D99" s="11">
        <v>16</v>
      </c>
      <c r="E99" s="12">
        <v>185</v>
      </c>
      <c r="F99" s="12">
        <v>150</v>
      </c>
      <c r="G99" s="12">
        <v>4</v>
      </c>
      <c r="H99" s="12">
        <v>16</v>
      </c>
      <c r="I99" s="12">
        <v>102</v>
      </c>
      <c r="J99">
        <v>14</v>
      </c>
      <c r="K99" s="12">
        <v>90</v>
      </c>
      <c r="L99" s="12">
        <v>10</v>
      </c>
    </row>
    <row r="100" spans="1:12" x14ac:dyDescent="0.25">
      <c r="A100" s="12">
        <v>80</v>
      </c>
      <c r="B100" s="11">
        <v>10</v>
      </c>
      <c r="C100" s="12">
        <v>78</v>
      </c>
      <c r="D100" s="11">
        <v>18</v>
      </c>
      <c r="E100" s="11">
        <v>195</v>
      </c>
      <c r="F100" s="11">
        <v>160</v>
      </c>
      <c r="G100" s="11">
        <v>4</v>
      </c>
      <c r="H100" s="12">
        <v>16</v>
      </c>
      <c r="I100" s="11">
        <v>105</v>
      </c>
      <c r="J100">
        <v>22</v>
      </c>
      <c r="K100" s="12">
        <v>90</v>
      </c>
      <c r="L100" s="12">
        <v>10</v>
      </c>
    </row>
    <row r="101" spans="1:12" x14ac:dyDescent="0.25">
      <c r="A101" s="12">
        <v>80</v>
      </c>
      <c r="B101" s="11">
        <v>16</v>
      </c>
      <c r="C101" s="12">
        <v>78</v>
      </c>
      <c r="D101" s="11">
        <v>20</v>
      </c>
      <c r="E101" s="12">
        <v>195</v>
      </c>
      <c r="F101" s="12">
        <v>160</v>
      </c>
      <c r="G101" s="12">
        <v>4</v>
      </c>
      <c r="H101" s="12">
        <v>16</v>
      </c>
      <c r="I101" s="11">
        <v>110</v>
      </c>
      <c r="J101">
        <v>23</v>
      </c>
      <c r="K101" s="12">
        <v>90</v>
      </c>
      <c r="L101" s="12">
        <v>10</v>
      </c>
    </row>
    <row r="102" spans="1:12" ht="15" customHeight="1" x14ac:dyDescent="0.25">
      <c r="A102" s="12">
        <v>80</v>
      </c>
      <c r="B102" s="11">
        <v>25</v>
      </c>
      <c r="C102" s="12">
        <v>78</v>
      </c>
      <c r="D102" s="11">
        <v>22</v>
      </c>
      <c r="E102" s="12">
        <v>195</v>
      </c>
      <c r="F102" s="12">
        <v>160</v>
      </c>
      <c r="G102" s="13">
        <v>8</v>
      </c>
      <c r="H102" s="12">
        <v>16</v>
      </c>
      <c r="I102" s="12">
        <v>110</v>
      </c>
      <c r="J102">
        <v>21</v>
      </c>
      <c r="K102" s="12">
        <v>90</v>
      </c>
      <c r="L102" s="13">
        <v>12</v>
      </c>
    </row>
    <row r="103" spans="1:12" x14ac:dyDescent="0.25">
      <c r="A103" s="12">
        <v>80</v>
      </c>
      <c r="B103" s="11">
        <v>40</v>
      </c>
      <c r="C103" s="12">
        <v>78</v>
      </c>
      <c r="D103" s="11">
        <v>24</v>
      </c>
      <c r="E103" s="12">
        <v>195</v>
      </c>
      <c r="F103" s="12">
        <v>160</v>
      </c>
      <c r="G103" s="12">
        <v>8</v>
      </c>
      <c r="H103" s="12">
        <v>16</v>
      </c>
      <c r="I103" s="11">
        <v>112</v>
      </c>
      <c r="J103">
        <v>22</v>
      </c>
      <c r="K103" s="12">
        <v>90</v>
      </c>
      <c r="L103" s="12">
        <v>12</v>
      </c>
    </row>
    <row r="104" spans="1:12" ht="15" customHeight="1" x14ac:dyDescent="0.25">
      <c r="A104" s="12">
        <v>80</v>
      </c>
      <c r="B104" s="11">
        <v>63</v>
      </c>
      <c r="C104" s="11">
        <v>77</v>
      </c>
      <c r="D104" s="11">
        <v>30</v>
      </c>
      <c r="E104" s="11">
        <v>210</v>
      </c>
      <c r="F104" s="11">
        <v>170</v>
      </c>
      <c r="G104" s="12">
        <v>8</v>
      </c>
      <c r="H104" s="13">
        <v>20</v>
      </c>
      <c r="I104" s="11">
        <v>120</v>
      </c>
      <c r="J104">
        <v>33</v>
      </c>
      <c r="K104" s="12">
        <v>90</v>
      </c>
      <c r="L104" s="12">
        <v>12</v>
      </c>
    </row>
    <row r="105" spans="1:12" ht="15" customHeight="1" x14ac:dyDescent="0.25">
      <c r="A105" s="12">
        <v>80</v>
      </c>
      <c r="B105" s="11">
        <v>100</v>
      </c>
      <c r="C105" s="11">
        <v>75</v>
      </c>
      <c r="D105" s="11">
        <v>34</v>
      </c>
      <c r="E105" s="13">
        <v>230</v>
      </c>
      <c r="F105" s="11">
        <v>180</v>
      </c>
      <c r="G105" s="12">
        <v>8</v>
      </c>
      <c r="H105" s="13">
        <v>24</v>
      </c>
      <c r="I105" s="11">
        <v>124</v>
      </c>
      <c r="J105">
        <v>44</v>
      </c>
      <c r="K105" s="12">
        <v>90</v>
      </c>
      <c r="L105" s="12">
        <v>12</v>
      </c>
    </row>
    <row r="106" spans="1:12" ht="15" customHeight="1" x14ac:dyDescent="0.25">
      <c r="A106" s="12">
        <v>80</v>
      </c>
      <c r="B106" s="11">
        <v>160</v>
      </c>
      <c r="C106" s="12">
        <v>75</v>
      </c>
      <c r="D106" s="13">
        <v>36</v>
      </c>
      <c r="E106" s="12">
        <v>230</v>
      </c>
      <c r="F106" s="12">
        <v>180</v>
      </c>
      <c r="G106" s="12">
        <v>8</v>
      </c>
      <c r="H106" s="12">
        <v>24</v>
      </c>
      <c r="I106" s="12">
        <v>124</v>
      </c>
      <c r="J106">
        <v>45</v>
      </c>
      <c r="K106" s="12">
        <v>90</v>
      </c>
      <c r="L106" s="12">
        <v>12</v>
      </c>
    </row>
    <row r="107" spans="1:12" x14ac:dyDescent="0.25">
      <c r="A107" s="12">
        <v>80</v>
      </c>
      <c r="B107" s="11">
        <v>200</v>
      </c>
      <c r="C107" s="11">
        <v>80</v>
      </c>
      <c r="D107" s="11">
        <v>54</v>
      </c>
      <c r="E107" s="11">
        <v>290</v>
      </c>
      <c r="F107" s="11">
        <v>230</v>
      </c>
      <c r="G107" s="11">
        <v>8</v>
      </c>
      <c r="H107" s="11">
        <v>30</v>
      </c>
      <c r="I107" s="11">
        <v>162</v>
      </c>
      <c r="J107">
        <v>69</v>
      </c>
      <c r="K107" s="11">
        <v>110</v>
      </c>
      <c r="L107" s="12">
        <v>12</v>
      </c>
    </row>
    <row r="108" spans="1:12" x14ac:dyDescent="0.25">
      <c r="A108" s="12">
        <v>80</v>
      </c>
      <c r="B108" s="11">
        <v>250</v>
      </c>
      <c r="C108" s="11">
        <v>80</v>
      </c>
      <c r="D108" s="11">
        <v>54</v>
      </c>
      <c r="E108" s="11">
        <v>290</v>
      </c>
      <c r="F108" s="11">
        <v>200</v>
      </c>
      <c r="G108" s="11">
        <v>8</v>
      </c>
      <c r="H108" s="11">
        <v>30</v>
      </c>
      <c r="I108" s="11">
        <v>162</v>
      </c>
      <c r="J108">
        <v>69</v>
      </c>
      <c r="K108" s="11">
        <v>110</v>
      </c>
      <c r="L108" s="12">
        <v>12</v>
      </c>
    </row>
    <row r="109" spans="1:12" ht="15" customHeight="1" x14ac:dyDescent="0.25">
      <c r="A109" s="11">
        <v>100</v>
      </c>
      <c r="B109" s="11">
        <v>1</v>
      </c>
      <c r="C109" s="11">
        <v>96</v>
      </c>
      <c r="D109" s="11">
        <v>14</v>
      </c>
      <c r="E109" s="11">
        <v>205</v>
      </c>
      <c r="F109" s="11">
        <v>170</v>
      </c>
      <c r="G109" s="11">
        <v>4</v>
      </c>
      <c r="H109" s="11">
        <v>16</v>
      </c>
      <c r="I109" s="11">
        <v>122</v>
      </c>
      <c r="J109">
        <v>16</v>
      </c>
      <c r="K109" s="11">
        <v>110</v>
      </c>
      <c r="L109" s="13">
        <v>10</v>
      </c>
    </row>
    <row r="110" spans="1:12" ht="15" customHeight="1" x14ac:dyDescent="0.25">
      <c r="A110" s="12">
        <v>100</v>
      </c>
      <c r="B110" s="11" t="s">
        <v>2399</v>
      </c>
      <c r="C110" s="12">
        <v>96</v>
      </c>
      <c r="D110" s="12">
        <v>14</v>
      </c>
      <c r="E110" s="12">
        <v>205</v>
      </c>
      <c r="F110" s="12">
        <v>170</v>
      </c>
      <c r="G110" s="13">
        <v>4</v>
      </c>
      <c r="H110" s="13">
        <v>16</v>
      </c>
      <c r="I110" s="12">
        <v>122</v>
      </c>
      <c r="J110">
        <v>16</v>
      </c>
      <c r="K110" s="12">
        <v>110</v>
      </c>
      <c r="L110" s="12">
        <v>10</v>
      </c>
    </row>
    <row r="111" spans="1:12" x14ac:dyDescent="0.25">
      <c r="A111" s="12">
        <v>100</v>
      </c>
      <c r="B111" s="11">
        <v>6</v>
      </c>
      <c r="C111" s="12">
        <v>96</v>
      </c>
      <c r="D111" s="11">
        <v>16</v>
      </c>
      <c r="E111" s="12">
        <v>205</v>
      </c>
      <c r="F111" s="12">
        <v>170</v>
      </c>
      <c r="G111" s="12">
        <v>4</v>
      </c>
      <c r="H111" s="12">
        <v>16</v>
      </c>
      <c r="I111" s="12">
        <v>122</v>
      </c>
      <c r="J111">
        <v>15</v>
      </c>
      <c r="K111" s="12">
        <v>110</v>
      </c>
      <c r="L111" s="12">
        <v>10</v>
      </c>
    </row>
    <row r="112" spans="1:12" ht="15" customHeight="1" x14ac:dyDescent="0.25">
      <c r="A112" s="12">
        <v>100</v>
      </c>
      <c r="B112" s="11">
        <v>10</v>
      </c>
      <c r="C112" s="12">
        <v>96</v>
      </c>
      <c r="D112" s="11">
        <v>20</v>
      </c>
      <c r="E112" s="11">
        <v>215</v>
      </c>
      <c r="F112" s="11">
        <v>180</v>
      </c>
      <c r="G112" s="13">
        <v>8</v>
      </c>
      <c r="H112" s="12">
        <v>16</v>
      </c>
      <c r="I112" s="11">
        <v>128</v>
      </c>
      <c r="J112">
        <v>19</v>
      </c>
      <c r="K112" s="12">
        <v>110</v>
      </c>
      <c r="L112" s="13">
        <v>12</v>
      </c>
    </row>
    <row r="113" spans="1:12" x14ac:dyDescent="0.25">
      <c r="A113" s="12">
        <v>100</v>
      </c>
      <c r="B113" s="11">
        <v>16</v>
      </c>
      <c r="C113" s="12">
        <v>96</v>
      </c>
      <c r="D113" s="12">
        <v>20</v>
      </c>
      <c r="E113" s="12">
        <v>215</v>
      </c>
      <c r="F113" s="12">
        <v>180</v>
      </c>
      <c r="G113" s="12">
        <v>8</v>
      </c>
      <c r="H113" s="12">
        <v>16</v>
      </c>
      <c r="I113" s="11">
        <v>130</v>
      </c>
      <c r="J113">
        <v>21</v>
      </c>
      <c r="K113" s="12">
        <v>110</v>
      </c>
      <c r="L113" s="12">
        <v>12</v>
      </c>
    </row>
    <row r="114" spans="1:12" ht="15" customHeight="1" x14ac:dyDescent="0.25">
      <c r="A114" s="12">
        <v>100</v>
      </c>
      <c r="B114" s="11">
        <v>25</v>
      </c>
      <c r="C114" s="12">
        <v>96</v>
      </c>
      <c r="D114" s="11">
        <v>24</v>
      </c>
      <c r="E114" s="11">
        <v>230</v>
      </c>
      <c r="F114" s="11">
        <v>190</v>
      </c>
      <c r="G114" s="12">
        <v>8</v>
      </c>
      <c r="H114" s="13">
        <v>20</v>
      </c>
      <c r="I114" s="11">
        <v>132</v>
      </c>
      <c r="J114">
        <v>25</v>
      </c>
      <c r="K114" s="12">
        <v>110</v>
      </c>
      <c r="L114" s="12">
        <v>12</v>
      </c>
    </row>
    <row r="115" spans="1:12" x14ac:dyDescent="0.25">
      <c r="A115" s="12">
        <v>100</v>
      </c>
      <c r="B115" s="11">
        <v>40</v>
      </c>
      <c r="C115" s="12">
        <v>96</v>
      </c>
      <c r="D115" s="11">
        <v>26</v>
      </c>
      <c r="E115" s="12">
        <v>230</v>
      </c>
      <c r="F115" s="12">
        <v>190</v>
      </c>
      <c r="G115" s="12">
        <v>8</v>
      </c>
      <c r="H115" s="12">
        <v>20</v>
      </c>
      <c r="I115" s="11">
        <v>138</v>
      </c>
      <c r="J115">
        <v>30</v>
      </c>
      <c r="K115" s="12">
        <v>110</v>
      </c>
      <c r="L115" s="12">
        <v>12</v>
      </c>
    </row>
    <row r="116" spans="1:12" ht="15" customHeight="1" x14ac:dyDescent="0.25">
      <c r="A116" s="12">
        <v>100</v>
      </c>
      <c r="B116" s="11">
        <v>63</v>
      </c>
      <c r="C116" s="11">
        <v>94</v>
      </c>
      <c r="D116" s="11">
        <v>32</v>
      </c>
      <c r="E116" s="13">
        <v>250</v>
      </c>
      <c r="F116" s="11">
        <v>200</v>
      </c>
      <c r="G116" s="12">
        <v>8</v>
      </c>
      <c r="H116" s="13">
        <v>24</v>
      </c>
      <c r="I116" s="11">
        <v>140</v>
      </c>
      <c r="J116">
        <v>36</v>
      </c>
      <c r="K116" s="12">
        <v>110</v>
      </c>
      <c r="L116" s="12">
        <v>12</v>
      </c>
    </row>
    <row r="117" spans="1:12" ht="15" customHeight="1" x14ac:dyDescent="0.25">
      <c r="A117" s="12">
        <v>100</v>
      </c>
      <c r="B117" s="11">
        <v>100</v>
      </c>
      <c r="C117" s="11">
        <v>92</v>
      </c>
      <c r="D117" s="11">
        <v>38</v>
      </c>
      <c r="E117" s="13">
        <v>265</v>
      </c>
      <c r="F117" s="11">
        <v>210</v>
      </c>
      <c r="G117" s="12">
        <v>8</v>
      </c>
      <c r="H117" s="13">
        <v>27</v>
      </c>
      <c r="I117" s="11">
        <v>146</v>
      </c>
      <c r="J117">
        <v>50</v>
      </c>
      <c r="K117" s="12">
        <v>110</v>
      </c>
      <c r="L117" s="12">
        <v>12</v>
      </c>
    </row>
    <row r="118" spans="1:12" ht="15" customHeight="1" x14ac:dyDescent="0.25">
      <c r="A118" s="12">
        <v>100</v>
      </c>
      <c r="B118" s="11">
        <v>160</v>
      </c>
      <c r="C118" s="12">
        <v>92</v>
      </c>
      <c r="D118" s="13">
        <v>40</v>
      </c>
      <c r="E118" s="12">
        <v>265</v>
      </c>
      <c r="F118" s="12">
        <v>210</v>
      </c>
      <c r="G118" s="12">
        <v>8</v>
      </c>
      <c r="H118" s="12">
        <v>27</v>
      </c>
      <c r="I118" s="12">
        <v>146</v>
      </c>
      <c r="J118">
        <v>51</v>
      </c>
      <c r="K118" s="12">
        <v>110</v>
      </c>
      <c r="L118" s="12">
        <v>12</v>
      </c>
    </row>
    <row r="119" spans="1:12" x14ac:dyDescent="0.25">
      <c r="A119" s="12">
        <v>100</v>
      </c>
      <c r="B119" s="11">
        <v>200</v>
      </c>
      <c r="C119" s="11">
        <v>102</v>
      </c>
      <c r="D119" s="11">
        <v>66</v>
      </c>
      <c r="E119" s="11">
        <v>360</v>
      </c>
      <c r="F119" s="11">
        <v>292</v>
      </c>
      <c r="G119" s="11">
        <v>8</v>
      </c>
      <c r="H119" s="11">
        <v>36</v>
      </c>
      <c r="I119" s="11">
        <v>208</v>
      </c>
      <c r="J119">
        <v>100</v>
      </c>
      <c r="K119" s="11">
        <v>135</v>
      </c>
      <c r="L119" s="12">
        <v>12</v>
      </c>
    </row>
    <row r="120" spans="1:12" ht="15" customHeight="1" x14ac:dyDescent="0.25">
      <c r="A120" s="12">
        <v>100</v>
      </c>
      <c r="B120" s="11">
        <v>250</v>
      </c>
      <c r="C120" s="11">
        <v>102</v>
      </c>
      <c r="D120" s="11">
        <v>66</v>
      </c>
      <c r="E120" s="11">
        <v>360</v>
      </c>
      <c r="F120" s="11">
        <v>235</v>
      </c>
      <c r="G120" s="11">
        <v>8</v>
      </c>
      <c r="H120" s="11">
        <v>36</v>
      </c>
      <c r="I120" s="11">
        <v>208</v>
      </c>
      <c r="J120">
        <v>98</v>
      </c>
      <c r="K120" s="11">
        <v>135</v>
      </c>
      <c r="L120" s="13">
        <v>14</v>
      </c>
    </row>
    <row r="121" spans="1:12" ht="15" customHeight="1" x14ac:dyDescent="0.25">
      <c r="A121" s="11">
        <v>125</v>
      </c>
      <c r="B121" s="11">
        <v>1</v>
      </c>
      <c r="C121" s="11">
        <v>121</v>
      </c>
      <c r="D121" s="11">
        <v>14</v>
      </c>
      <c r="E121" s="11">
        <v>235</v>
      </c>
      <c r="F121" s="11">
        <v>200</v>
      </c>
      <c r="G121" s="11">
        <v>8</v>
      </c>
      <c r="H121" s="11">
        <v>16</v>
      </c>
      <c r="I121" s="11">
        <v>148</v>
      </c>
      <c r="J121">
        <v>16</v>
      </c>
      <c r="K121" s="11">
        <v>135</v>
      </c>
      <c r="L121" s="13">
        <v>10</v>
      </c>
    </row>
    <row r="122" spans="1:12" ht="15" customHeight="1" x14ac:dyDescent="0.25">
      <c r="A122" s="12">
        <v>125</v>
      </c>
      <c r="B122" s="11" t="s">
        <v>2399</v>
      </c>
      <c r="C122" s="12">
        <v>121</v>
      </c>
      <c r="D122" s="12">
        <v>14</v>
      </c>
      <c r="E122" s="12">
        <v>235</v>
      </c>
      <c r="F122" s="12">
        <v>200</v>
      </c>
      <c r="G122" s="13">
        <v>8</v>
      </c>
      <c r="H122" s="13">
        <v>16</v>
      </c>
      <c r="I122" s="12">
        <v>148</v>
      </c>
      <c r="J122">
        <v>16</v>
      </c>
      <c r="K122" s="12">
        <v>135</v>
      </c>
      <c r="L122" s="12">
        <v>10</v>
      </c>
    </row>
    <row r="123" spans="1:12" x14ac:dyDescent="0.25">
      <c r="A123" s="12">
        <v>125</v>
      </c>
      <c r="B123" s="11">
        <v>6</v>
      </c>
      <c r="C123" s="12">
        <v>121</v>
      </c>
      <c r="D123" s="11">
        <v>18</v>
      </c>
      <c r="E123" s="12">
        <v>235</v>
      </c>
      <c r="F123" s="12">
        <v>200</v>
      </c>
      <c r="G123" s="12">
        <v>8</v>
      </c>
      <c r="H123" s="12">
        <v>16</v>
      </c>
      <c r="I123" s="12">
        <v>148</v>
      </c>
      <c r="J123">
        <v>15</v>
      </c>
      <c r="K123" s="12">
        <v>135</v>
      </c>
      <c r="L123" s="12">
        <v>10</v>
      </c>
    </row>
    <row r="124" spans="1:12" ht="15" customHeight="1" x14ac:dyDescent="0.25">
      <c r="A124" s="12">
        <v>125</v>
      </c>
      <c r="B124" s="11">
        <v>10</v>
      </c>
      <c r="C124" s="12">
        <v>121</v>
      </c>
      <c r="D124" s="13">
        <v>22</v>
      </c>
      <c r="E124" s="11">
        <v>245</v>
      </c>
      <c r="F124" s="11">
        <v>210</v>
      </c>
      <c r="G124" s="12">
        <v>8</v>
      </c>
      <c r="H124" s="12">
        <v>16</v>
      </c>
      <c r="I124" s="11">
        <v>156</v>
      </c>
      <c r="J124">
        <v>26</v>
      </c>
      <c r="K124" s="12">
        <v>135</v>
      </c>
      <c r="L124" s="13">
        <v>12</v>
      </c>
    </row>
    <row r="125" spans="1:12" x14ac:dyDescent="0.25">
      <c r="A125" s="12">
        <v>125</v>
      </c>
      <c r="B125" s="11">
        <v>16</v>
      </c>
      <c r="C125" s="12">
        <v>121</v>
      </c>
      <c r="D125" s="12">
        <v>22</v>
      </c>
      <c r="E125" s="12">
        <v>245</v>
      </c>
      <c r="F125" s="12">
        <v>210</v>
      </c>
      <c r="G125" s="12">
        <v>8</v>
      </c>
      <c r="H125" s="12">
        <v>16</v>
      </c>
      <c r="I125" s="12">
        <v>156</v>
      </c>
      <c r="J125">
        <v>26</v>
      </c>
      <c r="K125" s="12">
        <v>135</v>
      </c>
      <c r="L125" s="12">
        <v>12</v>
      </c>
    </row>
    <row r="126" spans="1:12" ht="15" customHeight="1" x14ac:dyDescent="0.25">
      <c r="A126" s="12">
        <v>125</v>
      </c>
      <c r="B126" s="11">
        <v>25</v>
      </c>
      <c r="C126" s="12">
        <v>121</v>
      </c>
      <c r="D126" s="11">
        <v>26</v>
      </c>
      <c r="E126" s="13">
        <v>270</v>
      </c>
      <c r="F126" s="11">
        <v>220</v>
      </c>
      <c r="G126" s="12">
        <v>8</v>
      </c>
      <c r="H126" s="13">
        <v>24</v>
      </c>
      <c r="I126" s="11">
        <v>160</v>
      </c>
      <c r="J126">
        <v>30</v>
      </c>
      <c r="K126" s="12">
        <v>135</v>
      </c>
      <c r="L126" s="12">
        <v>12</v>
      </c>
    </row>
    <row r="127" spans="1:12" x14ac:dyDescent="0.25">
      <c r="A127" s="12">
        <v>125</v>
      </c>
      <c r="B127" s="11">
        <v>40</v>
      </c>
      <c r="C127" s="11">
        <v>120</v>
      </c>
      <c r="D127" s="11">
        <v>28</v>
      </c>
      <c r="E127" s="12">
        <v>270</v>
      </c>
      <c r="F127" s="12">
        <v>220</v>
      </c>
      <c r="G127" s="12">
        <v>8</v>
      </c>
      <c r="H127" s="12">
        <v>24</v>
      </c>
      <c r="I127" s="12">
        <v>160</v>
      </c>
      <c r="J127">
        <v>28</v>
      </c>
      <c r="K127" s="12">
        <v>135</v>
      </c>
      <c r="L127" s="12">
        <v>12</v>
      </c>
    </row>
    <row r="128" spans="1:12" ht="15" customHeight="1" x14ac:dyDescent="0.25">
      <c r="A128" s="12">
        <v>125</v>
      </c>
      <c r="B128" s="11">
        <v>63</v>
      </c>
      <c r="C128" s="11">
        <v>118</v>
      </c>
      <c r="D128" s="11">
        <v>36</v>
      </c>
      <c r="E128" s="13">
        <v>295</v>
      </c>
      <c r="F128" s="11">
        <v>240</v>
      </c>
      <c r="G128" s="12">
        <v>8</v>
      </c>
      <c r="H128" s="13">
        <v>27</v>
      </c>
      <c r="I128" s="11">
        <v>172</v>
      </c>
      <c r="J128">
        <v>50</v>
      </c>
      <c r="K128" s="12">
        <v>135</v>
      </c>
      <c r="L128" s="12">
        <v>12</v>
      </c>
    </row>
    <row r="129" spans="1:12" ht="15" customHeight="1" x14ac:dyDescent="0.25">
      <c r="A129" s="12">
        <v>125</v>
      </c>
      <c r="B129" s="11">
        <v>100</v>
      </c>
      <c r="C129" s="11">
        <v>112</v>
      </c>
      <c r="D129" s="11">
        <v>42</v>
      </c>
      <c r="E129" s="11">
        <v>310</v>
      </c>
      <c r="F129" s="11">
        <v>250</v>
      </c>
      <c r="G129" s="12">
        <v>8</v>
      </c>
      <c r="H129" s="13">
        <v>30</v>
      </c>
      <c r="I129" s="11">
        <v>180</v>
      </c>
      <c r="J129">
        <v>61</v>
      </c>
      <c r="K129" s="12">
        <v>135</v>
      </c>
      <c r="L129" s="12">
        <v>12</v>
      </c>
    </row>
    <row r="130" spans="1:12" ht="15" customHeight="1" x14ac:dyDescent="0.25">
      <c r="A130" s="12">
        <v>125</v>
      </c>
      <c r="B130" s="11">
        <v>160</v>
      </c>
      <c r="C130" s="12">
        <v>112</v>
      </c>
      <c r="D130" s="13">
        <v>44</v>
      </c>
      <c r="E130" s="12">
        <v>310</v>
      </c>
      <c r="F130" s="12">
        <v>250</v>
      </c>
      <c r="G130" s="12">
        <v>8</v>
      </c>
      <c r="H130" s="12">
        <v>30</v>
      </c>
      <c r="I130" s="12">
        <v>180</v>
      </c>
      <c r="J130">
        <v>60</v>
      </c>
      <c r="K130" s="12">
        <v>135</v>
      </c>
      <c r="L130" s="13">
        <v>14</v>
      </c>
    </row>
    <row r="131" spans="1:12" x14ac:dyDescent="0.25">
      <c r="A131" s="12">
        <v>125</v>
      </c>
      <c r="B131" s="11">
        <v>200</v>
      </c>
      <c r="C131" s="11">
        <v>130</v>
      </c>
      <c r="D131" s="11">
        <v>76</v>
      </c>
      <c r="E131" s="11">
        <v>385</v>
      </c>
      <c r="F131" s="11">
        <v>318</v>
      </c>
      <c r="G131" s="11">
        <v>12</v>
      </c>
      <c r="H131" s="11">
        <v>36</v>
      </c>
      <c r="I131" s="11">
        <v>234</v>
      </c>
      <c r="J131">
        <v>88</v>
      </c>
      <c r="K131" s="11">
        <v>170</v>
      </c>
      <c r="L131" s="12">
        <v>14</v>
      </c>
    </row>
    <row r="132" spans="1:12" ht="15" customHeight="1" x14ac:dyDescent="0.25">
      <c r="A132" s="12">
        <v>125</v>
      </c>
      <c r="B132" s="11">
        <v>250</v>
      </c>
      <c r="C132" s="11">
        <v>130</v>
      </c>
      <c r="D132" s="11">
        <v>76</v>
      </c>
      <c r="E132" s="11">
        <v>385</v>
      </c>
      <c r="F132" s="11">
        <v>275</v>
      </c>
      <c r="G132" s="11">
        <v>12</v>
      </c>
      <c r="H132" s="11">
        <v>36</v>
      </c>
      <c r="I132" s="11">
        <v>234</v>
      </c>
      <c r="J132">
        <v>86</v>
      </c>
      <c r="K132" s="11">
        <v>170</v>
      </c>
      <c r="L132" s="13">
        <v>16</v>
      </c>
    </row>
    <row r="133" spans="1:12" ht="15" customHeight="1" x14ac:dyDescent="0.25">
      <c r="A133" s="11">
        <v>150</v>
      </c>
      <c r="B133" s="11">
        <v>1</v>
      </c>
      <c r="C133" s="11">
        <v>146</v>
      </c>
      <c r="D133" s="11">
        <v>14</v>
      </c>
      <c r="E133" s="11">
        <v>260</v>
      </c>
      <c r="F133" s="11">
        <v>225</v>
      </c>
      <c r="G133" s="11">
        <v>8</v>
      </c>
      <c r="H133" s="11">
        <v>16</v>
      </c>
      <c r="I133" s="11">
        <v>172</v>
      </c>
      <c r="J133">
        <v>15</v>
      </c>
      <c r="K133" s="11">
        <v>161</v>
      </c>
      <c r="L133" s="13">
        <v>12</v>
      </c>
    </row>
    <row r="134" spans="1:12" ht="15" customHeight="1" x14ac:dyDescent="0.25">
      <c r="A134" s="12">
        <v>150</v>
      </c>
      <c r="B134" s="11" t="s">
        <v>2399</v>
      </c>
      <c r="C134" s="12">
        <v>146</v>
      </c>
      <c r="D134" s="12">
        <v>14</v>
      </c>
      <c r="E134" s="12">
        <v>260</v>
      </c>
      <c r="F134" s="12">
        <v>225</v>
      </c>
      <c r="G134" s="13">
        <v>8</v>
      </c>
      <c r="H134" s="13">
        <v>16</v>
      </c>
      <c r="I134" s="12">
        <v>172</v>
      </c>
      <c r="J134">
        <v>15</v>
      </c>
      <c r="K134" s="12">
        <v>161</v>
      </c>
      <c r="L134" s="12">
        <v>12</v>
      </c>
    </row>
    <row r="135" spans="1:12" x14ac:dyDescent="0.25">
      <c r="A135" s="12">
        <v>150</v>
      </c>
      <c r="B135" s="11">
        <v>6</v>
      </c>
      <c r="C135" s="12">
        <v>146</v>
      </c>
      <c r="D135" s="11">
        <v>18</v>
      </c>
      <c r="E135" s="12">
        <v>260</v>
      </c>
      <c r="F135" s="12">
        <v>225</v>
      </c>
      <c r="G135" s="12">
        <v>8</v>
      </c>
      <c r="H135" s="12">
        <v>16</v>
      </c>
      <c r="I135" s="12">
        <v>172</v>
      </c>
      <c r="J135">
        <v>16</v>
      </c>
      <c r="K135" s="12">
        <v>161</v>
      </c>
      <c r="L135" s="12">
        <v>12</v>
      </c>
    </row>
    <row r="136" spans="1:12" ht="15" customHeight="1" x14ac:dyDescent="0.25">
      <c r="A136" s="12">
        <v>150</v>
      </c>
      <c r="B136" s="11">
        <v>10</v>
      </c>
      <c r="C136" s="12">
        <v>146</v>
      </c>
      <c r="D136" s="13">
        <v>22</v>
      </c>
      <c r="E136" s="11">
        <v>280</v>
      </c>
      <c r="F136" s="11">
        <v>240</v>
      </c>
      <c r="G136" s="12">
        <v>8</v>
      </c>
      <c r="H136" s="13">
        <v>20</v>
      </c>
      <c r="I136" s="11">
        <v>180</v>
      </c>
      <c r="J136">
        <v>26</v>
      </c>
      <c r="K136" s="12">
        <v>161</v>
      </c>
      <c r="L136" s="12">
        <v>12</v>
      </c>
    </row>
    <row r="137" spans="1:12" x14ac:dyDescent="0.25">
      <c r="A137" s="12">
        <v>150</v>
      </c>
      <c r="B137" s="11">
        <v>16</v>
      </c>
      <c r="C137" s="12">
        <v>146</v>
      </c>
      <c r="D137" s="12">
        <v>22</v>
      </c>
      <c r="E137" s="12">
        <v>280</v>
      </c>
      <c r="F137" s="12">
        <v>240</v>
      </c>
      <c r="G137" s="12">
        <v>8</v>
      </c>
      <c r="H137" s="12">
        <v>20</v>
      </c>
      <c r="I137" s="12">
        <v>180</v>
      </c>
      <c r="J137">
        <v>26</v>
      </c>
      <c r="K137" s="12">
        <v>161</v>
      </c>
      <c r="L137" s="12">
        <v>12</v>
      </c>
    </row>
    <row r="138" spans="1:12" ht="15" customHeight="1" x14ac:dyDescent="0.25">
      <c r="A138" s="12">
        <v>150</v>
      </c>
      <c r="B138" s="11">
        <v>25</v>
      </c>
      <c r="C138" s="12">
        <v>146</v>
      </c>
      <c r="D138" s="11">
        <v>28</v>
      </c>
      <c r="E138" s="13">
        <v>300</v>
      </c>
      <c r="F138" s="11">
        <v>250</v>
      </c>
      <c r="G138" s="12">
        <v>8</v>
      </c>
      <c r="H138" s="13">
        <v>24</v>
      </c>
      <c r="I138" s="11">
        <v>186</v>
      </c>
      <c r="J138">
        <v>31</v>
      </c>
      <c r="K138" s="12">
        <v>161</v>
      </c>
      <c r="L138" s="12">
        <v>12</v>
      </c>
    </row>
    <row r="139" spans="1:12" x14ac:dyDescent="0.25">
      <c r="A139" s="12">
        <v>150</v>
      </c>
      <c r="B139" s="11">
        <v>40</v>
      </c>
      <c r="C139" s="11">
        <v>145</v>
      </c>
      <c r="D139" s="11">
        <v>30</v>
      </c>
      <c r="E139" s="12">
        <v>300</v>
      </c>
      <c r="F139" s="12">
        <v>250</v>
      </c>
      <c r="G139" s="12">
        <v>8</v>
      </c>
      <c r="H139" s="12">
        <v>24</v>
      </c>
      <c r="I139" s="12">
        <v>186</v>
      </c>
      <c r="J139">
        <v>29</v>
      </c>
      <c r="K139" s="12">
        <v>161</v>
      </c>
      <c r="L139" s="12">
        <v>12</v>
      </c>
    </row>
    <row r="140" spans="1:12" ht="15" customHeight="1" x14ac:dyDescent="0.25">
      <c r="A140" s="12">
        <v>150</v>
      </c>
      <c r="B140" s="11">
        <v>63</v>
      </c>
      <c r="C140" s="11">
        <v>142</v>
      </c>
      <c r="D140" s="11">
        <v>38</v>
      </c>
      <c r="E140" s="11">
        <v>340</v>
      </c>
      <c r="F140" s="11">
        <v>280</v>
      </c>
      <c r="G140" s="12">
        <v>8</v>
      </c>
      <c r="H140" s="13">
        <v>30</v>
      </c>
      <c r="I140" s="11">
        <v>206</v>
      </c>
      <c r="J140">
        <v>58</v>
      </c>
      <c r="K140" s="12">
        <v>161</v>
      </c>
      <c r="L140" s="12">
        <v>12</v>
      </c>
    </row>
    <row r="141" spans="1:12" ht="15" customHeight="1" x14ac:dyDescent="0.25">
      <c r="A141" s="12">
        <v>150</v>
      </c>
      <c r="B141" s="11">
        <v>100</v>
      </c>
      <c r="C141" s="11">
        <v>136</v>
      </c>
      <c r="D141" s="11">
        <v>46</v>
      </c>
      <c r="E141" s="11">
        <v>350</v>
      </c>
      <c r="F141" s="11">
        <v>290</v>
      </c>
      <c r="G141" s="13">
        <v>12</v>
      </c>
      <c r="H141" s="12">
        <v>30</v>
      </c>
      <c r="I141" s="11">
        <v>214</v>
      </c>
      <c r="J141">
        <v>70</v>
      </c>
      <c r="K141" s="12">
        <v>161</v>
      </c>
      <c r="L141" s="12">
        <v>12</v>
      </c>
    </row>
    <row r="142" spans="1:12" ht="15" customHeight="1" x14ac:dyDescent="0.25">
      <c r="A142" s="12">
        <v>150</v>
      </c>
      <c r="B142" s="11">
        <v>160</v>
      </c>
      <c r="C142" s="12">
        <v>136</v>
      </c>
      <c r="D142" s="13">
        <v>50</v>
      </c>
      <c r="E142" s="12">
        <v>350</v>
      </c>
      <c r="F142" s="12">
        <v>290</v>
      </c>
      <c r="G142" s="12">
        <v>12</v>
      </c>
      <c r="H142" s="12">
        <v>30</v>
      </c>
      <c r="I142" s="12">
        <v>214</v>
      </c>
      <c r="J142">
        <v>69</v>
      </c>
      <c r="K142" s="12">
        <v>161</v>
      </c>
      <c r="L142" s="13">
        <v>14</v>
      </c>
    </row>
    <row r="143" spans="1:12" x14ac:dyDescent="0.25">
      <c r="A143" s="12">
        <v>150</v>
      </c>
      <c r="B143" s="11">
        <v>200</v>
      </c>
      <c r="C143" s="11">
        <v>150</v>
      </c>
      <c r="D143" s="11">
        <v>82</v>
      </c>
      <c r="E143" s="11">
        <v>440</v>
      </c>
      <c r="F143" s="11">
        <v>360</v>
      </c>
      <c r="G143" s="11">
        <v>12</v>
      </c>
      <c r="H143" s="11">
        <v>42</v>
      </c>
      <c r="I143" s="11">
        <v>266</v>
      </c>
      <c r="J143">
        <v>97</v>
      </c>
      <c r="K143" s="11">
        <v>196</v>
      </c>
      <c r="L143" s="12">
        <v>14</v>
      </c>
    </row>
    <row r="144" spans="1:12" ht="15" customHeight="1" x14ac:dyDescent="0.25">
      <c r="A144" s="12">
        <v>150</v>
      </c>
      <c r="B144" s="11">
        <v>250</v>
      </c>
      <c r="C144" s="11">
        <v>150</v>
      </c>
      <c r="D144" s="11">
        <v>82</v>
      </c>
      <c r="E144" s="11">
        <v>440</v>
      </c>
      <c r="F144" s="11">
        <v>320</v>
      </c>
      <c r="G144" s="11">
        <v>12</v>
      </c>
      <c r="H144" s="11">
        <v>42</v>
      </c>
      <c r="I144" s="11">
        <v>266</v>
      </c>
      <c r="J144">
        <v>93</v>
      </c>
      <c r="K144" s="11">
        <v>196</v>
      </c>
      <c r="L144" s="13">
        <v>18</v>
      </c>
    </row>
    <row r="145" spans="1:12" ht="15" customHeight="1" x14ac:dyDescent="0.25">
      <c r="A145" s="11">
        <v>200</v>
      </c>
      <c r="B145" s="11">
        <v>1</v>
      </c>
      <c r="C145" s="11">
        <v>202</v>
      </c>
      <c r="D145" s="11">
        <v>16</v>
      </c>
      <c r="E145" s="11">
        <v>315</v>
      </c>
      <c r="F145" s="11">
        <v>280</v>
      </c>
      <c r="G145" s="11">
        <v>8</v>
      </c>
      <c r="H145" s="11">
        <v>16</v>
      </c>
      <c r="I145" s="11">
        <v>235</v>
      </c>
      <c r="J145">
        <v>17</v>
      </c>
      <c r="K145" s="11">
        <v>222</v>
      </c>
      <c r="L145" s="13">
        <v>15</v>
      </c>
    </row>
    <row r="146" spans="1:12" ht="15" customHeight="1" x14ac:dyDescent="0.25">
      <c r="A146" s="12">
        <v>200</v>
      </c>
      <c r="B146" s="11" t="s">
        <v>2399</v>
      </c>
      <c r="C146" s="12">
        <v>202</v>
      </c>
      <c r="D146" s="12">
        <v>16</v>
      </c>
      <c r="E146" s="12">
        <v>315</v>
      </c>
      <c r="F146" s="12">
        <v>280</v>
      </c>
      <c r="G146" s="13">
        <v>8</v>
      </c>
      <c r="H146" s="13">
        <v>16</v>
      </c>
      <c r="I146" s="12">
        <v>235</v>
      </c>
      <c r="J146">
        <v>17</v>
      </c>
      <c r="K146" s="12">
        <v>222</v>
      </c>
      <c r="L146" s="12">
        <v>15</v>
      </c>
    </row>
    <row r="147" spans="1:12" x14ac:dyDescent="0.25">
      <c r="A147" s="12">
        <v>200</v>
      </c>
      <c r="B147" s="11">
        <v>6</v>
      </c>
      <c r="C147" s="12">
        <v>202</v>
      </c>
      <c r="D147" s="11">
        <v>20</v>
      </c>
      <c r="E147" s="12">
        <v>315</v>
      </c>
      <c r="F147" s="12">
        <v>280</v>
      </c>
      <c r="G147" s="12">
        <v>8</v>
      </c>
      <c r="H147" s="12">
        <v>16</v>
      </c>
      <c r="I147" s="12">
        <v>235</v>
      </c>
      <c r="J147">
        <v>18</v>
      </c>
      <c r="K147" s="12">
        <v>222</v>
      </c>
      <c r="L147" s="12">
        <v>15</v>
      </c>
    </row>
    <row r="148" spans="1:12" ht="15" customHeight="1" x14ac:dyDescent="0.25">
      <c r="A148" s="12">
        <v>200</v>
      </c>
      <c r="B148" s="11">
        <v>10</v>
      </c>
      <c r="C148" s="12">
        <v>202</v>
      </c>
      <c r="D148" s="11">
        <v>22</v>
      </c>
      <c r="E148" s="11">
        <v>335</v>
      </c>
      <c r="F148" s="11">
        <v>295</v>
      </c>
      <c r="G148" s="12">
        <v>8</v>
      </c>
      <c r="H148" s="13">
        <v>20</v>
      </c>
      <c r="I148" s="11">
        <v>240</v>
      </c>
      <c r="J148">
        <v>23</v>
      </c>
      <c r="K148" s="12">
        <v>222</v>
      </c>
      <c r="L148" s="13">
        <v>16</v>
      </c>
    </row>
    <row r="149" spans="1:12" ht="15" customHeight="1" x14ac:dyDescent="0.25">
      <c r="A149" s="12">
        <v>200</v>
      </c>
      <c r="B149" s="11">
        <v>16</v>
      </c>
      <c r="C149" s="12">
        <v>202</v>
      </c>
      <c r="D149" s="11">
        <v>24</v>
      </c>
      <c r="E149" s="12">
        <v>335</v>
      </c>
      <c r="F149" s="12">
        <v>295</v>
      </c>
      <c r="G149" s="13">
        <v>12</v>
      </c>
      <c r="H149" s="12">
        <v>20</v>
      </c>
      <c r="I149" s="12">
        <v>240</v>
      </c>
      <c r="J149">
        <v>21</v>
      </c>
      <c r="K149" s="12">
        <v>222</v>
      </c>
      <c r="L149" s="12">
        <v>16</v>
      </c>
    </row>
    <row r="150" spans="1:12" ht="15" customHeight="1" x14ac:dyDescent="0.25">
      <c r="A150" s="12">
        <v>200</v>
      </c>
      <c r="B150" s="11">
        <v>25</v>
      </c>
      <c r="C150" s="12">
        <v>202</v>
      </c>
      <c r="D150" s="13">
        <v>30</v>
      </c>
      <c r="E150" s="13">
        <v>360</v>
      </c>
      <c r="F150" s="11">
        <v>310</v>
      </c>
      <c r="G150" s="12">
        <v>12</v>
      </c>
      <c r="H150" s="13">
        <v>24</v>
      </c>
      <c r="I150" s="11">
        <v>245</v>
      </c>
      <c r="J150">
        <v>32</v>
      </c>
      <c r="K150" s="12">
        <v>222</v>
      </c>
      <c r="L150" s="12">
        <v>16</v>
      </c>
    </row>
    <row r="151" spans="1:12" ht="15" customHeight="1" x14ac:dyDescent="0.25">
      <c r="A151" s="12">
        <v>200</v>
      </c>
      <c r="B151" s="11">
        <v>40</v>
      </c>
      <c r="C151" s="11">
        <v>200</v>
      </c>
      <c r="D151" s="11">
        <v>38</v>
      </c>
      <c r="E151" s="13">
        <v>375</v>
      </c>
      <c r="F151" s="11">
        <v>320</v>
      </c>
      <c r="G151" s="12">
        <v>12</v>
      </c>
      <c r="H151" s="13">
        <v>27</v>
      </c>
      <c r="I151" s="11">
        <v>250</v>
      </c>
      <c r="J151">
        <v>34</v>
      </c>
      <c r="K151" s="12">
        <v>222</v>
      </c>
      <c r="L151" s="12">
        <v>16</v>
      </c>
    </row>
    <row r="152" spans="1:12" x14ac:dyDescent="0.25">
      <c r="A152" s="12">
        <v>200</v>
      </c>
      <c r="B152" s="11">
        <v>63</v>
      </c>
      <c r="C152" s="11">
        <v>198</v>
      </c>
      <c r="D152" s="11">
        <v>44</v>
      </c>
      <c r="E152" s="11">
        <v>405</v>
      </c>
      <c r="F152" s="11">
        <v>345</v>
      </c>
      <c r="G152" s="12">
        <v>12</v>
      </c>
      <c r="H152" s="11">
        <v>30</v>
      </c>
      <c r="I152" s="11">
        <v>264</v>
      </c>
      <c r="J152">
        <v>53</v>
      </c>
      <c r="K152" s="12">
        <v>222</v>
      </c>
      <c r="L152" s="12">
        <v>16</v>
      </c>
    </row>
    <row r="153" spans="1:12" ht="15" customHeight="1" x14ac:dyDescent="0.25">
      <c r="A153" s="12">
        <v>200</v>
      </c>
      <c r="B153" s="11">
        <v>100</v>
      </c>
      <c r="C153" s="11">
        <v>190</v>
      </c>
      <c r="D153" s="11">
        <v>54</v>
      </c>
      <c r="E153" s="13">
        <v>430</v>
      </c>
      <c r="F153" s="11">
        <v>360</v>
      </c>
      <c r="G153" s="12">
        <v>12</v>
      </c>
      <c r="H153" s="11">
        <v>36</v>
      </c>
      <c r="I153" s="11">
        <v>276</v>
      </c>
      <c r="J153">
        <v>73</v>
      </c>
      <c r="K153" s="12">
        <v>222</v>
      </c>
      <c r="L153" s="12">
        <v>16</v>
      </c>
    </row>
    <row r="154" spans="1:12" ht="15" customHeight="1" x14ac:dyDescent="0.25">
      <c r="A154" s="12">
        <v>200</v>
      </c>
      <c r="B154" s="11">
        <v>160</v>
      </c>
      <c r="C154" s="12">
        <v>190</v>
      </c>
      <c r="D154" s="13">
        <v>60</v>
      </c>
      <c r="E154" s="12">
        <v>430</v>
      </c>
      <c r="F154" s="12">
        <v>360</v>
      </c>
      <c r="G154" s="12">
        <v>12</v>
      </c>
      <c r="H154" s="12">
        <v>36</v>
      </c>
      <c r="I154" s="12">
        <v>276</v>
      </c>
      <c r="J154">
        <v>72</v>
      </c>
      <c r="K154" s="12">
        <v>222</v>
      </c>
      <c r="L154" s="12">
        <v>16</v>
      </c>
    </row>
    <row r="155" spans="1:12" x14ac:dyDescent="0.25">
      <c r="A155" s="12">
        <v>200</v>
      </c>
      <c r="B155" s="11">
        <v>200</v>
      </c>
      <c r="C155" s="11">
        <v>192</v>
      </c>
      <c r="D155" s="11">
        <v>92</v>
      </c>
      <c r="E155" s="11">
        <v>535</v>
      </c>
      <c r="F155" s="11">
        <v>440</v>
      </c>
      <c r="G155" s="11">
        <v>12</v>
      </c>
      <c r="H155" s="11">
        <v>48</v>
      </c>
      <c r="I155" s="11">
        <v>340</v>
      </c>
      <c r="J155">
        <v>125</v>
      </c>
      <c r="K155" s="11">
        <v>248</v>
      </c>
      <c r="L155" s="12">
        <v>16</v>
      </c>
    </row>
    <row r="156" spans="1:12" ht="15" customHeight="1" x14ac:dyDescent="0.25">
      <c r="A156" s="12">
        <v>200</v>
      </c>
      <c r="B156" s="11">
        <v>250</v>
      </c>
      <c r="C156" s="11">
        <v>192</v>
      </c>
      <c r="D156" s="11">
        <v>92</v>
      </c>
      <c r="E156" s="11">
        <v>535</v>
      </c>
      <c r="F156" s="11">
        <v>400</v>
      </c>
      <c r="G156" s="11">
        <v>12</v>
      </c>
      <c r="H156" s="11">
        <v>48</v>
      </c>
      <c r="I156" s="11">
        <v>340</v>
      </c>
      <c r="J156">
        <v>116</v>
      </c>
      <c r="K156" s="11">
        <v>248</v>
      </c>
      <c r="L156" s="13">
        <v>25</v>
      </c>
    </row>
    <row r="157" spans="1:12" ht="15" customHeight="1" x14ac:dyDescent="0.25">
      <c r="A157" s="11">
        <v>250</v>
      </c>
      <c r="B157" s="11">
        <v>1</v>
      </c>
      <c r="C157" s="11">
        <v>254</v>
      </c>
      <c r="D157" s="11">
        <v>19</v>
      </c>
      <c r="E157" s="11">
        <v>370</v>
      </c>
      <c r="F157" s="11">
        <v>335</v>
      </c>
      <c r="G157" s="11">
        <v>12</v>
      </c>
      <c r="H157" s="11">
        <v>16</v>
      </c>
      <c r="I157" s="11">
        <v>288</v>
      </c>
      <c r="J157">
        <v>14</v>
      </c>
      <c r="K157" s="11">
        <v>278</v>
      </c>
      <c r="L157" s="13">
        <v>15</v>
      </c>
    </row>
    <row r="158" spans="1:12" ht="15" customHeight="1" x14ac:dyDescent="0.25">
      <c r="A158" s="12">
        <v>250</v>
      </c>
      <c r="B158" s="11" t="s">
        <v>2399</v>
      </c>
      <c r="C158" s="12">
        <v>254</v>
      </c>
      <c r="D158" s="12">
        <v>19</v>
      </c>
      <c r="E158" s="12">
        <v>370</v>
      </c>
      <c r="F158" s="12">
        <v>335</v>
      </c>
      <c r="G158" s="13">
        <v>12</v>
      </c>
      <c r="H158" s="13">
        <v>16</v>
      </c>
      <c r="I158" s="12">
        <v>288</v>
      </c>
      <c r="J158">
        <v>14</v>
      </c>
      <c r="K158" s="12">
        <v>278</v>
      </c>
      <c r="L158" s="12">
        <v>15</v>
      </c>
    </row>
    <row r="159" spans="1:12" x14ac:dyDescent="0.25">
      <c r="A159" s="12">
        <v>250</v>
      </c>
      <c r="B159" s="11">
        <v>6</v>
      </c>
      <c r="C159" s="12">
        <v>254</v>
      </c>
      <c r="D159" s="11">
        <v>21</v>
      </c>
      <c r="E159" s="12">
        <v>370</v>
      </c>
      <c r="F159" s="12">
        <v>335</v>
      </c>
      <c r="G159" s="12">
        <v>12</v>
      </c>
      <c r="H159" s="12">
        <v>16</v>
      </c>
      <c r="I159" s="11">
        <v>288</v>
      </c>
      <c r="J159">
        <v>17</v>
      </c>
      <c r="K159" s="12">
        <v>278</v>
      </c>
      <c r="L159" s="12">
        <v>15</v>
      </c>
    </row>
    <row r="160" spans="1:12" ht="15" customHeight="1" x14ac:dyDescent="0.25">
      <c r="A160" s="12">
        <v>250</v>
      </c>
      <c r="B160" s="11">
        <v>10</v>
      </c>
      <c r="C160" s="12">
        <v>254</v>
      </c>
      <c r="D160" s="11">
        <v>24</v>
      </c>
      <c r="E160" s="11">
        <v>390</v>
      </c>
      <c r="F160" s="11">
        <v>350</v>
      </c>
      <c r="G160" s="12">
        <v>12</v>
      </c>
      <c r="H160" s="13">
        <v>20</v>
      </c>
      <c r="I160" s="11">
        <v>290</v>
      </c>
      <c r="J160">
        <v>23</v>
      </c>
      <c r="K160" s="12">
        <v>278</v>
      </c>
      <c r="L160" s="13">
        <v>16</v>
      </c>
    </row>
    <row r="161" spans="1:12" ht="15" customHeight="1" x14ac:dyDescent="0.25">
      <c r="A161" s="12">
        <v>250</v>
      </c>
      <c r="B161" s="11">
        <v>16</v>
      </c>
      <c r="C161" s="12">
        <v>254</v>
      </c>
      <c r="D161" s="13">
        <v>26</v>
      </c>
      <c r="E161" s="13">
        <v>405</v>
      </c>
      <c r="F161" s="11">
        <v>355</v>
      </c>
      <c r="G161" s="12">
        <v>12</v>
      </c>
      <c r="H161" s="13">
        <v>24</v>
      </c>
      <c r="I161" s="11">
        <v>292</v>
      </c>
      <c r="J161">
        <v>26</v>
      </c>
      <c r="K161" s="12">
        <v>278</v>
      </c>
      <c r="L161" s="12">
        <v>16</v>
      </c>
    </row>
    <row r="162" spans="1:12" ht="15" customHeight="1" x14ac:dyDescent="0.25">
      <c r="A162" s="12">
        <v>250</v>
      </c>
      <c r="B162" s="11">
        <v>25</v>
      </c>
      <c r="C162" s="12">
        <v>254</v>
      </c>
      <c r="D162" s="13">
        <v>32</v>
      </c>
      <c r="E162" s="13">
        <v>425</v>
      </c>
      <c r="F162" s="11">
        <v>370</v>
      </c>
      <c r="G162" s="12">
        <v>12</v>
      </c>
      <c r="H162" s="13">
        <v>27</v>
      </c>
      <c r="I162" s="11">
        <v>300</v>
      </c>
      <c r="J162">
        <v>28</v>
      </c>
      <c r="K162" s="12">
        <v>278</v>
      </c>
      <c r="L162" s="13">
        <v>18</v>
      </c>
    </row>
    <row r="163" spans="1:12" ht="15" customHeight="1" x14ac:dyDescent="0.25">
      <c r="A163" s="12">
        <v>250</v>
      </c>
      <c r="B163" s="11">
        <v>40</v>
      </c>
      <c r="C163" s="11">
        <v>252</v>
      </c>
      <c r="D163" s="11">
        <v>42</v>
      </c>
      <c r="E163" s="11">
        <v>445</v>
      </c>
      <c r="F163" s="11">
        <v>385</v>
      </c>
      <c r="G163" s="12">
        <v>12</v>
      </c>
      <c r="H163" s="13">
        <v>30</v>
      </c>
      <c r="I163" s="11">
        <v>310</v>
      </c>
      <c r="J163">
        <v>41</v>
      </c>
      <c r="K163" s="12">
        <v>278</v>
      </c>
      <c r="L163" s="12">
        <v>18</v>
      </c>
    </row>
    <row r="164" spans="1:12" ht="15" customHeight="1" x14ac:dyDescent="0.25">
      <c r="A164" s="12">
        <v>250</v>
      </c>
      <c r="B164" s="11">
        <v>63</v>
      </c>
      <c r="C164" s="11">
        <v>246</v>
      </c>
      <c r="D164" s="11">
        <v>48</v>
      </c>
      <c r="E164" s="13">
        <v>470</v>
      </c>
      <c r="F164" s="11">
        <v>400</v>
      </c>
      <c r="G164" s="12">
        <v>12</v>
      </c>
      <c r="H164" s="11">
        <v>36</v>
      </c>
      <c r="I164" s="11">
        <v>316</v>
      </c>
      <c r="J164">
        <v>52</v>
      </c>
      <c r="K164" s="12">
        <v>278</v>
      </c>
      <c r="L164" s="12">
        <v>18</v>
      </c>
    </row>
    <row r="165" spans="1:12" ht="15" customHeight="1" x14ac:dyDescent="0.25">
      <c r="A165" s="12">
        <v>250</v>
      </c>
      <c r="B165" s="11">
        <v>100</v>
      </c>
      <c r="C165" s="11">
        <v>236</v>
      </c>
      <c r="D165" s="13">
        <v>60</v>
      </c>
      <c r="E165" s="11">
        <v>500</v>
      </c>
      <c r="F165" s="11">
        <v>430</v>
      </c>
      <c r="G165" s="12">
        <v>12</v>
      </c>
      <c r="H165" s="12">
        <v>36</v>
      </c>
      <c r="I165" s="11">
        <v>340</v>
      </c>
      <c r="J165">
        <v>85</v>
      </c>
      <c r="K165" s="12">
        <v>278</v>
      </c>
      <c r="L165" s="12">
        <v>18</v>
      </c>
    </row>
    <row r="166" spans="1:12" ht="15" customHeight="1" x14ac:dyDescent="0.25">
      <c r="A166" s="12">
        <v>250</v>
      </c>
      <c r="B166" s="11">
        <v>160</v>
      </c>
      <c r="C166" s="12">
        <v>236</v>
      </c>
      <c r="D166" s="13">
        <v>68</v>
      </c>
      <c r="E166" s="12">
        <v>500</v>
      </c>
      <c r="F166" s="12">
        <v>430</v>
      </c>
      <c r="G166" s="12">
        <v>12</v>
      </c>
      <c r="H166" s="12">
        <v>36</v>
      </c>
      <c r="I166" s="12">
        <v>340</v>
      </c>
      <c r="J166">
        <v>82</v>
      </c>
      <c r="K166" s="12">
        <v>278</v>
      </c>
      <c r="L166" s="12">
        <v>18</v>
      </c>
    </row>
    <row r="167" spans="1:12" x14ac:dyDescent="0.25">
      <c r="A167" s="12">
        <v>250</v>
      </c>
      <c r="B167" s="11">
        <v>200</v>
      </c>
      <c r="C167" s="11">
        <v>254</v>
      </c>
      <c r="D167" s="11">
        <v>110</v>
      </c>
      <c r="E167" s="11">
        <v>670</v>
      </c>
      <c r="F167" s="11">
        <v>572</v>
      </c>
      <c r="G167" s="11">
        <v>16</v>
      </c>
      <c r="H167" s="11">
        <v>52</v>
      </c>
      <c r="I167" s="11">
        <v>460</v>
      </c>
      <c r="J167">
        <v>175</v>
      </c>
      <c r="K167" s="11">
        <v>330</v>
      </c>
      <c r="L167" s="12">
        <v>18</v>
      </c>
    </row>
    <row r="168" spans="1:12" ht="15" customHeight="1" x14ac:dyDescent="0.25">
      <c r="A168" s="12">
        <v>250</v>
      </c>
      <c r="B168" s="11">
        <v>250</v>
      </c>
      <c r="C168" s="11">
        <v>254</v>
      </c>
      <c r="D168" s="11">
        <v>110</v>
      </c>
      <c r="E168" s="11">
        <v>670</v>
      </c>
      <c r="F168" s="11">
        <v>490</v>
      </c>
      <c r="G168" s="11">
        <v>16</v>
      </c>
      <c r="H168" s="11">
        <v>52</v>
      </c>
      <c r="I168" s="11">
        <v>460</v>
      </c>
      <c r="J168">
        <v>163</v>
      </c>
      <c r="K168" s="11">
        <v>330</v>
      </c>
      <c r="L168" s="13">
        <v>30</v>
      </c>
    </row>
    <row r="169" spans="1:12" ht="15" customHeight="1" x14ac:dyDescent="0.25">
      <c r="A169" s="11">
        <v>300</v>
      </c>
      <c r="B169" s="11">
        <v>1</v>
      </c>
      <c r="C169" s="11">
        <v>303</v>
      </c>
      <c r="D169" s="11">
        <v>20</v>
      </c>
      <c r="E169" s="11">
        <v>435</v>
      </c>
      <c r="F169" s="11">
        <v>395</v>
      </c>
      <c r="G169" s="11">
        <v>12</v>
      </c>
      <c r="H169" s="11">
        <v>20</v>
      </c>
      <c r="I169" s="11">
        <v>340</v>
      </c>
      <c r="J169">
        <v>14</v>
      </c>
      <c r="K169" s="11">
        <v>330</v>
      </c>
      <c r="L169" s="13">
        <v>15</v>
      </c>
    </row>
    <row r="170" spans="1:12" ht="15" customHeight="1" x14ac:dyDescent="0.25">
      <c r="A170" s="12">
        <v>300</v>
      </c>
      <c r="B170" s="11" t="s">
        <v>2399</v>
      </c>
      <c r="C170" s="12">
        <v>303</v>
      </c>
      <c r="D170" s="12">
        <v>20</v>
      </c>
      <c r="E170" s="12">
        <v>435</v>
      </c>
      <c r="F170" s="12">
        <v>395</v>
      </c>
      <c r="G170" s="13">
        <v>12</v>
      </c>
      <c r="H170" s="13">
        <v>20</v>
      </c>
      <c r="I170" s="12">
        <v>340</v>
      </c>
      <c r="J170">
        <v>14</v>
      </c>
      <c r="K170" s="12">
        <v>330</v>
      </c>
      <c r="L170" s="12">
        <v>15</v>
      </c>
    </row>
    <row r="171" spans="1:12" x14ac:dyDescent="0.25">
      <c r="A171" s="12">
        <v>300</v>
      </c>
      <c r="B171" s="11">
        <v>6</v>
      </c>
      <c r="C171" s="12">
        <v>303</v>
      </c>
      <c r="D171" s="11">
        <v>22</v>
      </c>
      <c r="E171" s="12">
        <v>435</v>
      </c>
      <c r="F171" s="12">
        <v>395</v>
      </c>
      <c r="G171" s="12">
        <v>12</v>
      </c>
      <c r="H171" s="12">
        <v>20</v>
      </c>
      <c r="I171" s="12">
        <v>340</v>
      </c>
      <c r="J171">
        <v>17</v>
      </c>
      <c r="K171" s="12">
        <v>330</v>
      </c>
      <c r="L171" s="12">
        <v>15</v>
      </c>
    </row>
    <row r="172" spans="1:12" ht="15" customHeight="1" x14ac:dyDescent="0.25">
      <c r="A172" s="12">
        <v>300</v>
      </c>
      <c r="B172" s="11">
        <v>10</v>
      </c>
      <c r="C172" s="12">
        <v>303</v>
      </c>
      <c r="D172" s="13">
        <v>26</v>
      </c>
      <c r="E172" s="11">
        <v>440</v>
      </c>
      <c r="F172" s="11">
        <v>400</v>
      </c>
      <c r="G172" s="12">
        <v>12</v>
      </c>
      <c r="H172" s="12">
        <v>20</v>
      </c>
      <c r="I172" s="11">
        <v>345</v>
      </c>
      <c r="J172">
        <v>22</v>
      </c>
      <c r="K172" s="12">
        <v>330</v>
      </c>
      <c r="L172" s="13">
        <v>16</v>
      </c>
    </row>
    <row r="173" spans="1:12" ht="15" customHeight="1" x14ac:dyDescent="0.25">
      <c r="A173" s="12">
        <v>300</v>
      </c>
      <c r="B173" s="11">
        <v>16</v>
      </c>
      <c r="C173" s="12">
        <v>303</v>
      </c>
      <c r="D173" s="13">
        <v>28</v>
      </c>
      <c r="E173" s="13">
        <v>460</v>
      </c>
      <c r="F173" s="11">
        <v>410</v>
      </c>
      <c r="G173" s="12">
        <v>12</v>
      </c>
      <c r="H173" s="13">
        <v>24</v>
      </c>
      <c r="I173" s="11">
        <v>346</v>
      </c>
      <c r="J173">
        <v>26</v>
      </c>
      <c r="K173" s="12">
        <v>330</v>
      </c>
      <c r="L173" s="12">
        <v>16</v>
      </c>
    </row>
    <row r="174" spans="1:12" ht="15" customHeight="1" x14ac:dyDescent="0.25">
      <c r="A174" s="12">
        <v>300</v>
      </c>
      <c r="B174" s="11">
        <v>25</v>
      </c>
      <c r="C174" s="12">
        <v>303</v>
      </c>
      <c r="D174" s="11">
        <v>36</v>
      </c>
      <c r="E174" s="13">
        <v>485</v>
      </c>
      <c r="F174" s="11">
        <v>430</v>
      </c>
      <c r="G174" s="13">
        <v>16</v>
      </c>
      <c r="H174" s="13">
        <v>27</v>
      </c>
      <c r="I174" s="11">
        <v>352</v>
      </c>
      <c r="J174">
        <v>30</v>
      </c>
      <c r="K174" s="12">
        <v>330</v>
      </c>
      <c r="L174" s="13">
        <v>18</v>
      </c>
    </row>
    <row r="175" spans="1:12" ht="15" customHeight="1" x14ac:dyDescent="0.25">
      <c r="A175" s="12">
        <v>300</v>
      </c>
      <c r="B175" s="11">
        <v>40</v>
      </c>
      <c r="C175" s="11">
        <v>301</v>
      </c>
      <c r="D175" s="11">
        <v>46</v>
      </c>
      <c r="E175" s="11">
        <v>510</v>
      </c>
      <c r="F175" s="11">
        <v>450</v>
      </c>
      <c r="G175" s="12">
        <v>16</v>
      </c>
      <c r="H175" s="13">
        <v>30</v>
      </c>
      <c r="I175" s="11">
        <v>368</v>
      </c>
      <c r="J175">
        <v>52</v>
      </c>
      <c r="K175" s="12">
        <v>330</v>
      </c>
      <c r="L175" s="12">
        <v>18</v>
      </c>
    </row>
    <row r="176" spans="1:12" ht="15" customHeight="1" x14ac:dyDescent="0.25">
      <c r="A176" s="12">
        <v>300</v>
      </c>
      <c r="B176" s="11">
        <v>63</v>
      </c>
      <c r="C176" s="11">
        <v>294</v>
      </c>
      <c r="D176" s="11">
        <v>54</v>
      </c>
      <c r="E176" s="13">
        <v>530</v>
      </c>
      <c r="F176" s="11">
        <v>460</v>
      </c>
      <c r="G176" s="12">
        <v>16</v>
      </c>
      <c r="H176" s="11">
        <v>36</v>
      </c>
      <c r="I176" s="11">
        <v>370</v>
      </c>
      <c r="J176">
        <v>52</v>
      </c>
      <c r="K176" s="12">
        <v>330</v>
      </c>
      <c r="L176" s="12">
        <v>18</v>
      </c>
    </row>
    <row r="177" spans="1:12" ht="15" customHeight="1" x14ac:dyDescent="0.25">
      <c r="A177" s="12">
        <v>300</v>
      </c>
      <c r="B177" s="11">
        <v>100</v>
      </c>
      <c r="C177" s="11">
        <v>284</v>
      </c>
      <c r="D177" s="11">
        <v>70</v>
      </c>
      <c r="E177" s="13">
        <v>585</v>
      </c>
      <c r="F177" s="11">
        <v>500</v>
      </c>
      <c r="G177" s="12">
        <v>16</v>
      </c>
      <c r="H177" s="11">
        <v>42</v>
      </c>
      <c r="I177" s="11">
        <v>400</v>
      </c>
      <c r="J177">
        <v>96</v>
      </c>
      <c r="K177" s="12">
        <v>330</v>
      </c>
      <c r="L177" s="12">
        <v>18</v>
      </c>
    </row>
    <row r="178" spans="1:12" ht="15" customHeight="1" x14ac:dyDescent="0.25">
      <c r="A178" s="12">
        <v>300</v>
      </c>
      <c r="B178" s="11">
        <v>160</v>
      </c>
      <c r="C178" s="12">
        <v>284</v>
      </c>
      <c r="D178" s="13">
        <v>78</v>
      </c>
      <c r="E178" s="12">
        <v>585</v>
      </c>
      <c r="F178" s="12">
        <v>500</v>
      </c>
      <c r="G178" s="12">
        <v>16</v>
      </c>
      <c r="H178" s="12">
        <v>42</v>
      </c>
      <c r="I178" s="12">
        <v>400</v>
      </c>
      <c r="J178">
        <v>93</v>
      </c>
      <c r="K178" s="12">
        <v>330</v>
      </c>
      <c r="L178" s="12">
        <v>18</v>
      </c>
    </row>
    <row r="179" spans="1:12" ht="15" customHeight="1" x14ac:dyDescent="0.25">
      <c r="A179" s="11">
        <v>350</v>
      </c>
      <c r="B179" s="11">
        <v>1</v>
      </c>
      <c r="C179" s="11">
        <v>351</v>
      </c>
      <c r="D179" s="11">
        <v>20</v>
      </c>
      <c r="E179" s="11">
        <v>485</v>
      </c>
      <c r="F179" s="11">
        <v>445</v>
      </c>
      <c r="G179" s="11">
        <v>12</v>
      </c>
      <c r="H179" s="11">
        <v>20</v>
      </c>
      <c r="I179" s="11">
        <v>390</v>
      </c>
      <c r="J179">
        <v>14</v>
      </c>
      <c r="K179" s="11">
        <v>382</v>
      </c>
      <c r="L179" s="13">
        <v>15</v>
      </c>
    </row>
    <row r="180" spans="1:12" ht="15" customHeight="1" x14ac:dyDescent="0.25">
      <c r="A180" s="12">
        <v>350</v>
      </c>
      <c r="B180" s="11" t="s">
        <v>2399</v>
      </c>
      <c r="C180" s="12">
        <v>351</v>
      </c>
      <c r="D180" s="12">
        <v>20</v>
      </c>
      <c r="E180" s="12">
        <v>485</v>
      </c>
      <c r="F180" s="12">
        <v>445</v>
      </c>
      <c r="G180" s="13">
        <v>12</v>
      </c>
      <c r="H180" s="13">
        <v>20</v>
      </c>
      <c r="I180" s="12">
        <v>390</v>
      </c>
      <c r="J180">
        <v>14</v>
      </c>
      <c r="K180" s="12">
        <v>382</v>
      </c>
      <c r="L180" s="12">
        <v>15</v>
      </c>
    </row>
    <row r="181" spans="1:12" x14ac:dyDescent="0.25">
      <c r="A181" s="12">
        <v>350</v>
      </c>
      <c r="B181" s="11">
        <v>6</v>
      </c>
      <c r="C181" s="12">
        <v>351</v>
      </c>
      <c r="D181" s="11">
        <v>22</v>
      </c>
      <c r="E181" s="12">
        <v>485</v>
      </c>
      <c r="F181" s="12">
        <v>445</v>
      </c>
      <c r="G181" s="12">
        <v>12</v>
      </c>
      <c r="H181" s="12">
        <v>20</v>
      </c>
      <c r="I181" s="12">
        <v>390</v>
      </c>
      <c r="J181">
        <v>17</v>
      </c>
      <c r="K181" s="12">
        <v>382</v>
      </c>
      <c r="L181" s="12">
        <v>15</v>
      </c>
    </row>
    <row r="182" spans="1:12" ht="15" customHeight="1" x14ac:dyDescent="0.25">
      <c r="A182" s="12">
        <v>350</v>
      </c>
      <c r="B182" s="11">
        <v>10</v>
      </c>
      <c r="C182" s="12">
        <v>351</v>
      </c>
      <c r="D182" s="13">
        <v>26</v>
      </c>
      <c r="E182" s="11">
        <v>500</v>
      </c>
      <c r="F182" s="11">
        <v>460</v>
      </c>
      <c r="G182" s="13">
        <v>16</v>
      </c>
      <c r="H182" s="12">
        <v>20</v>
      </c>
      <c r="I182" s="11">
        <v>400</v>
      </c>
      <c r="J182">
        <v>22</v>
      </c>
      <c r="K182" s="12">
        <v>382</v>
      </c>
      <c r="L182" s="13">
        <v>16</v>
      </c>
    </row>
    <row r="183" spans="1:12" ht="15" customHeight="1" x14ac:dyDescent="0.25">
      <c r="A183" s="12">
        <v>350</v>
      </c>
      <c r="B183" s="11">
        <v>16</v>
      </c>
      <c r="C183" s="12">
        <v>351</v>
      </c>
      <c r="D183" s="11">
        <v>32</v>
      </c>
      <c r="E183" s="13">
        <v>520</v>
      </c>
      <c r="F183" s="11">
        <v>470</v>
      </c>
      <c r="G183" s="12">
        <v>16</v>
      </c>
      <c r="H183" s="13">
        <v>24</v>
      </c>
      <c r="I183" s="12">
        <v>400</v>
      </c>
      <c r="J183">
        <v>26</v>
      </c>
      <c r="K183" s="12">
        <v>382</v>
      </c>
      <c r="L183" s="12">
        <v>16</v>
      </c>
    </row>
    <row r="184" spans="1:12" ht="15" customHeight="1" x14ac:dyDescent="0.25">
      <c r="A184" s="12">
        <v>350</v>
      </c>
      <c r="B184" s="11">
        <v>25</v>
      </c>
      <c r="C184" s="12">
        <v>351</v>
      </c>
      <c r="D184" s="11">
        <v>40</v>
      </c>
      <c r="E184" s="11">
        <v>550</v>
      </c>
      <c r="F184" s="11">
        <v>490</v>
      </c>
      <c r="G184" s="12">
        <v>16</v>
      </c>
      <c r="H184" s="13">
        <v>30</v>
      </c>
      <c r="I184" s="11">
        <v>406</v>
      </c>
      <c r="J184">
        <v>29</v>
      </c>
      <c r="K184" s="12">
        <v>382</v>
      </c>
      <c r="L184" s="13">
        <v>20</v>
      </c>
    </row>
    <row r="185" spans="1:12" x14ac:dyDescent="0.25">
      <c r="A185" s="12">
        <v>350</v>
      </c>
      <c r="B185" s="11">
        <v>40</v>
      </c>
      <c r="C185" s="12">
        <v>351</v>
      </c>
      <c r="D185" s="11">
        <v>52</v>
      </c>
      <c r="E185" s="11">
        <v>570</v>
      </c>
      <c r="F185" s="11">
        <v>510</v>
      </c>
      <c r="G185" s="12">
        <v>16</v>
      </c>
      <c r="H185" s="11">
        <v>30</v>
      </c>
      <c r="I185" s="11">
        <v>418</v>
      </c>
      <c r="J185">
        <v>48</v>
      </c>
      <c r="K185" s="12">
        <v>382</v>
      </c>
      <c r="L185" s="12">
        <v>20</v>
      </c>
    </row>
    <row r="186" spans="1:12" ht="15" customHeight="1" x14ac:dyDescent="0.25">
      <c r="A186" s="12">
        <v>350</v>
      </c>
      <c r="B186" s="11">
        <v>63</v>
      </c>
      <c r="C186" s="11">
        <v>342</v>
      </c>
      <c r="D186" s="11">
        <v>60</v>
      </c>
      <c r="E186" s="11">
        <v>595</v>
      </c>
      <c r="F186" s="11">
        <v>525</v>
      </c>
      <c r="G186" s="12">
        <v>16</v>
      </c>
      <c r="H186" s="13">
        <v>36</v>
      </c>
      <c r="I186" s="11">
        <v>430</v>
      </c>
      <c r="J186">
        <v>64</v>
      </c>
      <c r="K186" s="12">
        <v>382</v>
      </c>
      <c r="L186" s="12">
        <v>20</v>
      </c>
    </row>
    <row r="187" spans="1:12" ht="15" customHeight="1" x14ac:dyDescent="0.25">
      <c r="A187" s="12">
        <v>350</v>
      </c>
      <c r="B187" s="11">
        <v>100</v>
      </c>
      <c r="C187" s="11">
        <v>332</v>
      </c>
      <c r="D187" s="11">
        <v>76</v>
      </c>
      <c r="E187" s="13">
        <v>655</v>
      </c>
      <c r="F187" s="11">
        <v>560</v>
      </c>
      <c r="G187" s="12">
        <v>16</v>
      </c>
      <c r="H187" s="11">
        <v>48</v>
      </c>
      <c r="I187" s="11">
        <v>460</v>
      </c>
      <c r="J187">
        <v>103</v>
      </c>
      <c r="K187" s="12">
        <v>382</v>
      </c>
      <c r="L187" s="12">
        <v>20</v>
      </c>
    </row>
    <row r="188" spans="1:12" ht="15" customHeight="1" x14ac:dyDescent="0.25">
      <c r="A188" s="12">
        <v>350</v>
      </c>
      <c r="B188" s="11">
        <v>160</v>
      </c>
      <c r="C188" s="12">
        <v>332</v>
      </c>
      <c r="D188" s="11">
        <v>84</v>
      </c>
      <c r="E188" s="11">
        <v>655</v>
      </c>
      <c r="F188" s="12">
        <v>560</v>
      </c>
      <c r="G188" s="11">
        <v>16</v>
      </c>
      <c r="H188" s="12">
        <v>48</v>
      </c>
      <c r="I188" s="12">
        <v>460</v>
      </c>
      <c r="J188">
        <v>97.5</v>
      </c>
      <c r="K188" s="12">
        <v>382</v>
      </c>
      <c r="L188" s="13" t="s">
        <v>2799</v>
      </c>
    </row>
    <row r="189" spans="1:12" ht="15" customHeight="1" x14ac:dyDescent="0.25">
      <c r="A189" s="11">
        <v>400</v>
      </c>
      <c r="B189" s="11">
        <v>1</v>
      </c>
      <c r="C189" s="11">
        <v>398</v>
      </c>
      <c r="D189" s="11">
        <v>20</v>
      </c>
      <c r="E189" s="11">
        <v>535</v>
      </c>
      <c r="F189" s="11">
        <v>495</v>
      </c>
      <c r="G189" s="11">
        <v>16</v>
      </c>
      <c r="H189" s="11">
        <v>20</v>
      </c>
      <c r="I189" s="11">
        <v>440</v>
      </c>
      <c r="J189">
        <v>14</v>
      </c>
      <c r="K189" s="11">
        <v>432</v>
      </c>
      <c r="L189" s="13">
        <v>15</v>
      </c>
    </row>
    <row r="190" spans="1:12" ht="15" customHeight="1" x14ac:dyDescent="0.25">
      <c r="A190" s="12">
        <v>400</v>
      </c>
      <c r="B190" s="11" t="s">
        <v>2399</v>
      </c>
      <c r="C190" s="12">
        <v>398</v>
      </c>
      <c r="D190" s="12">
        <v>20</v>
      </c>
      <c r="E190" s="12">
        <v>535</v>
      </c>
      <c r="F190" s="12">
        <v>495</v>
      </c>
      <c r="G190" s="13">
        <v>16</v>
      </c>
      <c r="H190" s="13">
        <v>20</v>
      </c>
      <c r="I190" s="12">
        <v>440</v>
      </c>
      <c r="J190">
        <v>14</v>
      </c>
      <c r="K190" s="12">
        <v>432</v>
      </c>
      <c r="L190" s="12">
        <v>15</v>
      </c>
    </row>
    <row r="191" spans="1:12" x14ac:dyDescent="0.25">
      <c r="A191" s="12">
        <v>400</v>
      </c>
      <c r="B191" s="11">
        <v>6</v>
      </c>
      <c r="C191" s="12">
        <v>398</v>
      </c>
      <c r="D191" s="11">
        <v>22</v>
      </c>
      <c r="E191" s="12">
        <v>535</v>
      </c>
      <c r="F191" s="12">
        <v>495</v>
      </c>
      <c r="G191" s="12">
        <v>16</v>
      </c>
      <c r="H191" s="12">
        <v>20</v>
      </c>
      <c r="I191" s="12">
        <v>440</v>
      </c>
      <c r="J191">
        <v>17</v>
      </c>
      <c r="K191" s="12">
        <v>432</v>
      </c>
      <c r="L191" s="12">
        <v>15</v>
      </c>
    </row>
    <row r="192" spans="1:12" ht="15" customHeight="1" x14ac:dyDescent="0.25">
      <c r="A192" s="12">
        <v>400</v>
      </c>
      <c r="B192" s="11">
        <v>10</v>
      </c>
      <c r="C192" s="12">
        <v>398</v>
      </c>
      <c r="D192" s="13">
        <v>26</v>
      </c>
      <c r="E192" s="13">
        <v>565</v>
      </c>
      <c r="F192" s="11">
        <v>515</v>
      </c>
      <c r="G192" s="12">
        <v>16</v>
      </c>
      <c r="H192" s="13">
        <v>24</v>
      </c>
      <c r="I192" s="11">
        <v>445</v>
      </c>
      <c r="J192">
        <v>22</v>
      </c>
      <c r="K192" s="12">
        <v>432</v>
      </c>
      <c r="L192" s="13">
        <v>16</v>
      </c>
    </row>
    <row r="193" spans="1:12" ht="15" customHeight="1" x14ac:dyDescent="0.25">
      <c r="A193" s="12">
        <v>400</v>
      </c>
      <c r="B193" s="11">
        <v>16</v>
      </c>
      <c r="C193" s="12">
        <v>398</v>
      </c>
      <c r="D193" s="11">
        <v>36</v>
      </c>
      <c r="E193" s="13">
        <v>580</v>
      </c>
      <c r="F193" s="11">
        <v>525</v>
      </c>
      <c r="G193" s="12">
        <v>16</v>
      </c>
      <c r="H193" s="13">
        <v>27</v>
      </c>
      <c r="I193" s="11">
        <v>450</v>
      </c>
      <c r="J193">
        <v>27</v>
      </c>
      <c r="K193" s="12">
        <v>432</v>
      </c>
      <c r="L193" s="12">
        <v>16</v>
      </c>
    </row>
    <row r="194" spans="1:12" ht="15" customHeight="1" x14ac:dyDescent="0.25">
      <c r="A194" s="12">
        <v>400</v>
      </c>
      <c r="B194" s="11">
        <v>25</v>
      </c>
      <c r="C194" s="12">
        <v>398</v>
      </c>
      <c r="D194" s="11">
        <v>44</v>
      </c>
      <c r="E194" s="11">
        <v>610</v>
      </c>
      <c r="F194" s="11">
        <v>550</v>
      </c>
      <c r="G194" s="12">
        <v>16</v>
      </c>
      <c r="H194" s="11">
        <v>30</v>
      </c>
      <c r="I194" s="11">
        <v>464</v>
      </c>
      <c r="J194">
        <v>40</v>
      </c>
      <c r="K194" s="12">
        <v>432</v>
      </c>
      <c r="L194" s="13">
        <v>20</v>
      </c>
    </row>
    <row r="195" spans="1:12" ht="15" customHeight="1" x14ac:dyDescent="0.25">
      <c r="A195" s="12">
        <v>400</v>
      </c>
      <c r="B195" s="11">
        <v>40</v>
      </c>
      <c r="C195" s="12">
        <v>398</v>
      </c>
      <c r="D195" s="11">
        <v>58</v>
      </c>
      <c r="E195" s="11">
        <v>655</v>
      </c>
      <c r="F195" s="11">
        <v>585</v>
      </c>
      <c r="G195" s="12">
        <v>16</v>
      </c>
      <c r="H195" s="13">
        <v>36</v>
      </c>
      <c r="I195" s="11">
        <v>480</v>
      </c>
      <c r="J195">
        <v>61</v>
      </c>
      <c r="K195" s="12">
        <v>432</v>
      </c>
      <c r="L195" s="12">
        <v>20</v>
      </c>
    </row>
    <row r="196" spans="1:12" ht="15" customHeight="1" x14ac:dyDescent="0.25">
      <c r="A196" s="12">
        <v>400</v>
      </c>
      <c r="B196" s="11">
        <v>63</v>
      </c>
      <c r="C196" s="11">
        <v>386</v>
      </c>
      <c r="D196" s="11">
        <v>66</v>
      </c>
      <c r="E196" s="13">
        <v>670</v>
      </c>
      <c r="F196" s="12">
        <v>585</v>
      </c>
      <c r="G196" s="12">
        <v>16</v>
      </c>
      <c r="H196" s="11">
        <v>42</v>
      </c>
      <c r="I196" s="12">
        <v>480</v>
      </c>
      <c r="J196">
        <v>73</v>
      </c>
      <c r="K196" s="12">
        <v>432</v>
      </c>
      <c r="L196" s="12">
        <v>20</v>
      </c>
    </row>
    <row r="197" spans="1:12" ht="15" customHeight="1" x14ac:dyDescent="0.25">
      <c r="A197" s="12">
        <v>400</v>
      </c>
      <c r="B197" s="11">
        <v>100</v>
      </c>
      <c r="C197" s="11">
        <v>376</v>
      </c>
      <c r="D197" s="11">
        <v>80</v>
      </c>
      <c r="E197" s="13">
        <v>715</v>
      </c>
      <c r="F197" s="11">
        <v>620</v>
      </c>
      <c r="G197" s="12">
        <v>16</v>
      </c>
      <c r="H197" s="11">
        <v>48</v>
      </c>
      <c r="I197" s="11">
        <v>510</v>
      </c>
      <c r="J197">
        <v>104</v>
      </c>
      <c r="K197" s="12">
        <v>432</v>
      </c>
      <c r="L197" s="12">
        <v>20</v>
      </c>
    </row>
    <row r="198" spans="1:12" ht="15" customHeight="1" x14ac:dyDescent="0.25">
      <c r="A198" s="12">
        <v>400</v>
      </c>
      <c r="B198" s="11">
        <v>160</v>
      </c>
      <c r="C198" s="12">
        <v>376</v>
      </c>
      <c r="D198" s="11">
        <v>88</v>
      </c>
      <c r="E198" s="11">
        <v>715</v>
      </c>
      <c r="F198" s="12">
        <v>620</v>
      </c>
      <c r="G198" s="11">
        <v>16</v>
      </c>
      <c r="H198" s="12">
        <v>48</v>
      </c>
      <c r="I198" s="12">
        <v>510</v>
      </c>
      <c r="J198">
        <v>97.5</v>
      </c>
      <c r="K198" s="12">
        <v>432</v>
      </c>
      <c r="L198" s="13" t="s">
        <v>2800</v>
      </c>
    </row>
    <row r="199" spans="1:12" ht="15" customHeight="1" x14ac:dyDescent="0.25">
      <c r="A199" s="11">
        <v>450</v>
      </c>
      <c r="B199" s="11">
        <v>1</v>
      </c>
      <c r="C199" s="11">
        <v>450</v>
      </c>
      <c r="D199" s="11">
        <v>20</v>
      </c>
      <c r="E199" s="11">
        <v>590</v>
      </c>
      <c r="F199" s="11">
        <v>550</v>
      </c>
      <c r="G199" s="11">
        <v>16</v>
      </c>
      <c r="H199" s="11">
        <v>20</v>
      </c>
      <c r="I199" s="11">
        <v>494</v>
      </c>
      <c r="J199">
        <v>19</v>
      </c>
      <c r="K199" s="11">
        <v>484</v>
      </c>
      <c r="L199" s="13">
        <v>15</v>
      </c>
    </row>
    <row r="200" spans="1:12" ht="15" customHeight="1" x14ac:dyDescent="0.25">
      <c r="A200" s="12">
        <v>450</v>
      </c>
      <c r="B200" s="11" t="s">
        <v>2399</v>
      </c>
      <c r="C200" s="12">
        <v>450</v>
      </c>
      <c r="D200" s="12">
        <v>20</v>
      </c>
      <c r="E200" s="12">
        <v>590</v>
      </c>
      <c r="F200" s="12">
        <v>550</v>
      </c>
      <c r="G200" s="13">
        <v>16</v>
      </c>
      <c r="H200" s="13">
        <v>20</v>
      </c>
      <c r="I200" s="12">
        <v>494</v>
      </c>
      <c r="J200">
        <v>19</v>
      </c>
      <c r="K200" s="12">
        <v>484</v>
      </c>
      <c r="L200" s="12">
        <v>15</v>
      </c>
    </row>
    <row r="201" spans="1:12" x14ac:dyDescent="0.25">
      <c r="A201" s="12">
        <v>450</v>
      </c>
      <c r="B201" s="11">
        <v>6</v>
      </c>
      <c r="C201" s="12">
        <v>450</v>
      </c>
      <c r="D201" s="11">
        <v>22</v>
      </c>
      <c r="E201" s="12">
        <v>590</v>
      </c>
      <c r="F201" s="12">
        <v>550</v>
      </c>
      <c r="G201" s="12">
        <v>16</v>
      </c>
      <c r="H201" s="12">
        <v>20</v>
      </c>
      <c r="I201" s="12">
        <v>494</v>
      </c>
      <c r="J201">
        <v>17</v>
      </c>
      <c r="K201" s="12">
        <v>484</v>
      </c>
      <c r="L201" s="12">
        <v>15</v>
      </c>
    </row>
    <row r="202" spans="1:12" ht="15" customHeight="1" x14ac:dyDescent="0.25">
      <c r="A202" s="12">
        <v>450</v>
      </c>
      <c r="B202" s="11">
        <v>10</v>
      </c>
      <c r="C202" s="12">
        <v>450</v>
      </c>
      <c r="D202" s="11">
        <v>26</v>
      </c>
      <c r="E202" s="13">
        <v>615</v>
      </c>
      <c r="F202" s="11">
        <v>565</v>
      </c>
      <c r="G202" s="13">
        <v>20</v>
      </c>
      <c r="H202" s="13">
        <v>24</v>
      </c>
      <c r="I202" s="11">
        <v>500</v>
      </c>
      <c r="J202">
        <v>27</v>
      </c>
      <c r="K202" s="12">
        <v>484</v>
      </c>
      <c r="L202" s="13">
        <v>16</v>
      </c>
    </row>
    <row r="203" spans="1:12" ht="15" customHeight="1" x14ac:dyDescent="0.25">
      <c r="A203" s="12">
        <v>450</v>
      </c>
      <c r="B203" s="11">
        <v>16</v>
      </c>
      <c r="C203" s="12">
        <v>450</v>
      </c>
      <c r="D203" s="11">
        <v>38</v>
      </c>
      <c r="E203" s="13">
        <v>640</v>
      </c>
      <c r="F203" s="11">
        <v>585</v>
      </c>
      <c r="G203" s="12">
        <v>20</v>
      </c>
      <c r="H203" s="13">
        <v>27</v>
      </c>
      <c r="I203" s="11">
        <v>506</v>
      </c>
      <c r="J203">
        <v>35</v>
      </c>
      <c r="K203" s="12">
        <v>484</v>
      </c>
      <c r="L203" s="12">
        <v>16</v>
      </c>
    </row>
    <row r="204" spans="1:12" ht="15" customHeight="1" x14ac:dyDescent="0.25">
      <c r="A204" s="12">
        <v>450</v>
      </c>
      <c r="B204" s="11">
        <v>25</v>
      </c>
      <c r="C204" s="12">
        <v>450</v>
      </c>
      <c r="D204" s="13">
        <v>46</v>
      </c>
      <c r="E204" s="11">
        <v>660</v>
      </c>
      <c r="F204" s="11">
        <v>600</v>
      </c>
      <c r="G204" s="12">
        <v>20</v>
      </c>
      <c r="H204" s="11">
        <v>30</v>
      </c>
      <c r="I204" s="11">
        <v>515</v>
      </c>
      <c r="J204">
        <v>38</v>
      </c>
      <c r="K204" s="12">
        <v>484</v>
      </c>
      <c r="L204" s="13">
        <v>20</v>
      </c>
    </row>
    <row r="205" spans="1:12" ht="15" customHeight="1" x14ac:dyDescent="0.25">
      <c r="A205" s="12">
        <v>450</v>
      </c>
      <c r="B205" s="11">
        <v>40</v>
      </c>
      <c r="C205" s="11">
        <v>448</v>
      </c>
      <c r="D205" s="11">
        <v>60</v>
      </c>
      <c r="E205" s="11">
        <v>680</v>
      </c>
      <c r="F205" s="11">
        <v>610</v>
      </c>
      <c r="G205" s="12">
        <v>20</v>
      </c>
      <c r="H205" s="13">
        <v>36</v>
      </c>
      <c r="I205" s="11">
        <v>530</v>
      </c>
      <c r="J205">
        <v>59</v>
      </c>
      <c r="K205" s="12">
        <v>484</v>
      </c>
      <c r="L205" s="12">
        <v>20</v>
      </c>
    </row>
    <row r="206" spans="1:12" ht="15" customHeight="1" x14ac:dyDescent="0.25">
      <c r="A206" s="12">
        <v>450</v>
      </c>
      <c r="B206" s="11">
        <v>63</v>
      </c>
      <c r="C206" s="11">
        <v>436</v>
      </c>
      <c r="D206" s="11">
        <v>68</v>
      </c>
      <c r="E206" s="11">
        <v>695</v>
      </c>
      <c r="F206" s="12">
        <v>610</v>
      </c>
      <c r="G206" s="11">
        <v>16</v>
      </c>
      <c r="H206" s="11">
        <v>42</v>
      </c>
      <c r="I206" s="11">
        <v>534</v>
      </c>
      <c r="J206">
        <v>62.5</v>
      </c>
      <c r="K206" s="12">
        <v>484</v>
      </c>
      <c r="L206" s="13" t="s">
        <v>2798</v>
      </c>
    </row>
    <row r="207" spans="1:12" ht="15" customHeight="1" x14ac:dyDescent="0.25">
      <c r="A207" s="12">
        <v>450</v>
      </c>
      <c r="B207" s="11">
        <v>100</v>
      </c>
      <c r="C207" s="11">
        <v>426</v>
      </c>
      <c r="D207" s="11">
        <v>82</v>
      </c>
      <c r="E207" s="11">
        <v>740</v>
      </c>
      <c r="F207" s="11">
        <v>645</v>
      </c>
      <c r="G207" s="12">
        <v>16</v>
      </c>
      <c r="H207" s="11">
        <v>48</v>
      </c>
      <c r="I207" s="11">
        <v>560</v>
      </c>
      <c r="J207">
        <v>95</v>
      </c>
      <c r="K207" s="12">
        <v>484</v>
      </c>
      <c r="L207" s="13">
        <v>27</v>
      </c>
    </row>
    <row r="208" spans="1:12" ht="15" customHeight="1" x14ac:dyDescent="0.25">
      <c r="A208" s="11">
        <v>500</v>
      </c>
      <c r="B208" s="11">
        <v>1</v>
      </c>
      <c r="C208" s="11">
        <v>501</v>
      </c>
      <c r="D208" s="11">
        <v>23</v>
      </c>
      <c r="E208" s="11">
        <v>640</v>
      </c>
      <c r="F208" s="11">
        <v>600</v>
      </c>
      <c r="G208" s="11">
        <v>16</v>
      </c>
      <c r="H208" s="11">
        <v>20</v>
      </c>
      <c r="I208" s="11">
        <v>545</v>
      </c>
      <c r="J208">
        <v>16</v>
      </c>
      <c r="K208" s="11">
        <v>535</v>
      </c>
      <c r="L208" s="13">
        <v>15</v>
      </c>
    </row>
    <row r="209" spans="1:12" ht="15" customHeight="1" x14ac:dyDescent="0.25">
      <c r="A209" s="12">
        <v>500</v>
      </c>
      <c r="B209" s="11" t="s">
        <v>2399</v>
      </c>
      <c r="C209" s="12">
        <v>501</v>
      </c>
      <c r="D209" s="12">
        <v>23</v>
      </c>
      <c r="E209" s="12">
        <v>640</v>
      </c>
      <c r="F209" s="12">
        <v>600</v>
      </c>
      <c r="G209" s="12">
        <v>16</v>
      </c>
      <c r="H209" s="13">
        <v>20</v>
      </c>
      <c r="I209" s="12">
        <v>545</v>
      </c>
      <c r="J209">
        <v>16</v>
      </c>
      <c r="K209" s="12">
        <v>535</v>
      </c>
      <c r="L209" s="12">
        <v>15</v>
      </c>
    </row>
    <row r="210" spans="1:12" x14ac:dyDescent="0.25">
      <c r="A210" s="12">
        <v>500</v>
      </c>
      <c r="B210" s="11">
        <v>6</v>
      </c>
      <c r="C210" s="12">
        <v>501</v>
      </c>
      <c r="D210" s="12">
        <v>23</v>
      </c>
      <c r="E210" s="12">
        <v>640</v>
      </c>
      <c r="F210" s="12">
        <v>600</v>
      </c>
      <c r="G210" s="12">
        <v>16</v>
      </c>
      <c r="H210" s="12">
        <v>20</v>
      </c>
      <c r="I210" s="12">
        <v>545</v>
      </c>
      <c r="J210">
        <v>16</v>
      </c>
      <c r="K210" s="12">
        <v>535</v>
      </c>
      <c r="L210" s="12">
        <v>15</v>
      </c>
    </row>
    <row r="211" spans="1:12" ht="15" customHeight="1" x14ac:dyDescent="0.25">
      <c r="A211" s="12">
        <v>500</v>
      </c>
      <c r="B211" s="11">
        <v>10</v>
      </c>
      <c r="C211" s="12">
        <v>501</v>
      </c>
      <c r="D211" s="13">
        <v>28</v>
      </c>
      <c r="E211" s="13">
        <v>670</v>
      </c>
      <c r="F211" s="11">
        <v>620</v>
      </c>
      <c r="G211" s="13">
        <v>20</v>
      </c>
      <c r="H211" s="13">
        <v>24</v>
      </c>
      <c r="I211" s="11">
        <v>550</v>
      </c>
      <c r="J211">
        <v>25</v>
      </c>
      <c r="K211" s="12">
        <v>535</v>
      </c>
      <c r="L211" s="13">
        <v>16</v>
      </c>
    </row>
    <row r="212" spans="1:12" ht="15" customHeight="1" x14ac:dyDescent="0.25">
      <c r="A212" s="12">
        <v>500</v>
      </c>
      <c r="B212" s="11">
        <v>16</v>
      </c>
      <c r="C212" s="12">
        <v>501</v>
      </c>
      <c r="D212" s="11">
        <v>42</v>
      </c>
      <c r="E212" s="11">
        <v>710</v>
      </c>
      <c r="F212" s="11">
        <v>650</v>
      </c>
      <c r="G212" s="12">
        <v>20</v>
      </c>
      <c r="H212" s="13">
        <v>30</v>
      </c>
      <c r="I212" s="11">
        <v>559</v>
      </c>
      <c r="J212">
        <v>36</v>
      </c>
      <c r="K212" s="12">
        <v>535</v>
      </c>
      <c r="L212" s="12">
        <v>16</v>
      </c>
    </row>
    <row r="213" spans="1:12" ht="15" customHeight="1" x14ac:dyDescent="0.25">
      <c r="A213" s="12">
        <v>500</v>
      </c>
      <c r="B213" s="11">
        <v>25</v>
      </c>
      <c r="C213" s="11">
        <v>500</v>
      </c>
      <c r="D213" s="13">
        <v>48</v>
      </c>
      <c r="E213" s="13">
        <v>730</v>
      </c>
      <c r="F213" s="11">
        <v>660</v>
      </c>
      <c r="G213" s="12">
        <v>20</v>
      </c>
      <c r="H213" s="11">
        <v>36</v>
      </c>
      <c r="I213" s="11">
        <v>570</v>
      </c>
      <c r="J213">
        <v>36</v>
      </c>
      <c r="K213" s="12">
        <v>535</v>
      </c>
      <c r="L213" s="13">
        <v>20</v>
      </c>
    </row>
    <row r="214" spans="1:12" ht="15" customHeight="1" x14ac:dyDescent="0.25">
      <c r="A214" s="12">
        <v>500</v>
      </c>
      <c r="B214" s="11">
        <v>40</v>
      </c>
      <c r="C214" s="11">
        <v>495</v>
      </c>
      <c r="D214" s="11">
        <v>62</v>
      </c>
      <c r="E214" s="13">
        <v>755</v>
      </c>
      <c r="F214" s="11">
        <v>670</v>
      </c>
      <c r="G214" s="12">
        <v>20</v>
      </c>
      <c r="H214" s="11">
        <v>42</v>
      </c>
      <c r="I214" s="11">
        <v>580</v>
      </c>
      <c r="J214">
        <v>62</v>
      </c>
      <c r="K214" s="12">
        <v>535</v>
      </c>
      <c r="L214" s="12">
        <v>20</v>
      </c>
    </row>
    <row r="215" spans="1:12" ht="15" customHeight="1" x14ac:dyDescent="0.25">
      <c r="A215" s="12">
        <v>500</v>
      </c>
      <c r="B215" s="11">
        <v>63</v>
      </c>
      <c r="C215" s="11">
        <v>485</v>
      </c>
      <c r="D215" s="11">
        <v>70</v>
      </c>
      <c r="E215" s="13">
        <v>800</v>
      </c>
      <c r="F215" s="11">
        <v>705</v>
      </c>
      <c r="G215" s="12">
        <v>20</v>
      </c>
      <c r="H215" s="11">
        <v>48</v>
      </c>
      <c r="I215" s="11">
        <v>594</v>
      </c>
      <c r="J215">
        <v>79</v>
      </c>
      <c r="K215" s="12">
        <v>535</v>
      </c>
      <c r="L215" s="11">
        <v>20</v>
      </c>
    </row>
    <row r="216" spans="1:12" ht="15" customHeight="1" x14ac:dyDescent="0.25">
      <c r="A216" s="12">
        <v>500</v>
      </c>
      <c r="B216" s="11">
        <v>100</v>
      </c>
      <c r="C216" s="11">
        <v>485</v>
      </c>
      <c r="D216" s="11">
        <v>70</v>
      </c>
      <c r="E216" s="11">
        <v>800</v>
      </c>
      <c r="F216" s="11">
        <v>760</v>
      </c>
      <c r="G216" s="11">
        <v>20</v>
      </c>
      <c r="H216" s="11">
        <v>48</v>
      </c>
      <c r="I216" s="11">
        <v>594</v>
      </c>
      <c r="J216">
        <v>79</v>
      </c>
      <c r="K216" s="11">
        <v>535</v>
      </c>
      <c r="L216" s="13">
        <v>20</v>
      </c>
    </row>
    <row r="217" spans="1:12" ht="15" customHeight="1" x14ac:dyDescent="0.25">
      <c r="A217" s="11">
        <v>600</v>
      </c>
      <c r="B217" s="11">
        <v>1</v>
      </c>
      <c r="C217" s="11">
        <v>602</v>
      </c>
      <c r="D217" s="11">
        <v>24</v>
      </c>
      <c r="E217" s="11">
        <v>755</v>
      </c>
      <c r="F217" s="11">
        <v>705</v>
      </c>
      <c r="G217" s="11">
        <v>20</v>
      </c>
      <c r="H217" s="11">
        <v>24</v>
      </c>
      <c r="I217" s="11">
        <v>650</v>
      </c>
      <c r="J217">
        <v>20</v>
      </c>
      <c r="K217" s="11">
        <v>636</v>
      </c>
      <c r="L217" s="13">
        <v>16</v>
      </c>
    </row>
    <row r="218" spans="1:12" ht="15" customHeight="1" x14ac:dyDescent="0.25">
      <c r="A218" s="12">
        <v>600</v>
      </c>
      <c r="B218" s="11" t="s">
        <v>2399</v>
      </c>
      <c r="C218" s="12">
        <v>602</v>
      </c>
      <c r="D218" s="12">
        <v>24</v>
      </c>
      <c r="E218" s="13">
        <v>755</v>
      </c>
      <c r="F218" s="12">
        <v>705</v>
      </c>
      <c r="G218" s="13">
        <v>20</v>
      </c>
      <c r="H218" s="13">
        <v>24</v>
      </c>
      <c r="I218" s="12">
        <v>650</v>
      </c>
      <c r="J218">
        <v>20</v>
      </c>
      <c r="K218" s="12">
        <v>636</v>
      </c>
      <c r="L218" s="12">
        <v>16</v>
      </c>
    </row>
    <row r="219" spans="1:12" x14ac:dyDescent="0.25">
      <c r="A219" s="12">
        <v>600</v>
      </c>
      <c r="B219" s="11">
        <v>6</v>
      </c>
      <c r="C219" s="12">
        <v>602</v>
      </c>
      <c r="D219" s="12">
        <v>24</v>
      </c>
      <c r="E219" s="12">
        <v>755</v>
      </c>
      <c r="F219" s="12">
        <v>705</v>
      </c>
      <c r="G219" s="12">
        <v>20</v>
      </c>
      <c r="H219" s="12">
        <v>24</v>
      </c>
      <c r="I219" s="12">
        <v>650</v>
      </c>
      <c r="J219">
        <v>20</v>
      </c>
      <c r="K219" s="12">
        <v>636</v>
      </c>
      <c r="L219" s="12">
        <v>16</v>
      </c>
    </row>
    <row r="220" spans="1:12" ht="15" customHeight="1" x14ac:dyDescent="0.25">
      <c r="A220" s="12">
        <v>600</v>
      </c>
      <c r="B220" s="11">
        <v>10</v>
      </c>
      <c r="C220" s="12">
        <v>602</v>
      </c>
      <c r="D220" s="11">
        <v>29</v>
      </c>
      <c r="E220" s="13">
        <v>780</v>
      </c>
      <c r="F220" s="11">
        <v>725</v>
      </c>
      <c r="G220" s="12">
        <v>20</v>
      </c>
      <c r="H220" s="13">
        <v>27</v>
      </c>
      <c r="I220" s="12">
        <v>650</v>
      </c>
      <c r="J220">
        <v>23</v>
      </c>
      <c r="K220" s="12">
        <v>636</v>
      </c>
      <c r="L220" s="13">
        <v>18</v>
      </c>
    </row>
    <row r="221" spans="1:12" ht="15" customHeight="1" x14ac:dyDescent="0.25">
      <c r="A221" s="12">
        <v>600</v>
      </c>
      <c r="B221" s="11">
        <v>16</v>
      </c>
      <c r="C221" s="12">
        <v>602</v>
      </c>
      <c r="D221" s="11">
        <v>46</v>
      </c>
      <c r="E221" s="13">
        <v>840</v>
      </c>
      <c r="F221" s="11">
        <v>770</v>
      </c>
      <c r="G221" s="12">
        <v>20</v>
      </c>
      <c r="H221" s="11">
        <v>36</v>
      </c>
      <c r="I221" s="11">
        <v>660</v>
      </c>
      <c r="J221">
        <v>31</v>
      </c>
      <c r="K221" s="12">
        <v>636</v>
      </c>
      <c r="L221" s="12">
        <v>18</v>
      </c>
    </row>
    <row r="222" spans="1:12" ht="15" customHeight="1" x14ac:dyDescent="0.25">
      <c r="A222" s="12">
        <v>600</v>
      </c>
      <c r="B222" s="11">
        <v>25</v>
      </c>
      <c r="C222" s="11">
        <v>600</v>
      </c>
      <c r="D222" s="11">
        <v>54</v>
      </c>
      <c r="E222" s="11">
        <v>840</v>
      </c>
      <c r="F222" s="12">
        <v>770</v>
      </c>
      <c r="G222" s="12">
        <v>20</v>
      </c>
      <c r="H222" s="13">
        <v>36</v>
      </c>
      <c r="I222" s="11">
        <v>670</v>
      </c>
      <c r="J222">
        <v>46</v>
      </c>
      <c r="K222" s="12">
        <v>636</v>
      </c>
      <c r="L222" s="13">
        <v>20</v>
      </c>
    </row>
    <row r="223" spans="1:12" ht="15" customHeight="1" x14ac:dyDescent="0.25">
      <c r="A223" s="12">
        <v>600</v>
      </c>
      <c r="B223" s="11">
        <v>40</v>
      </c>
      <c r="C223" s="11">
        <v>595</v>
      </c>
      <c r="D223" s="11">
        <v>63</v>
      </c>
      <c r="E223" s="13">
        <v>890</v>
      </c>
      <c r="F223" s="11">
        <v>795</v>
      </c>
      <c r="G223" s="12">
        <v>20</v>
      </c>
      <c r="H223" s="11">
        <v>48</v>
      </c>
      <c r="I223" s="11">
        <v>686</v>
      </c>
      <c r="J223">
        <v>62</v>
      </c>
      <c r="K223" s="12">
        <v>636</v>
      </c>
      <c r="L223" s="12">
        <v>20</v>
      </c>
    </row>
    <row r="224" spans="1:12" ht="15" customHeight="1" x14ac:dyDescent="0.25">
      <c r="A224" s="12">
        <v>600</v>
      </c>
      <c r="B224" s="11">
        <v>63</v>
      </c>
      <c r="C224" s="11">
        <v>585</v>
      </c>
      <c r="D224" s="11">
        <v>76</v>
      </c>
      <c r="E224" s="11">
        <v>925</v>
      </c>
      <c r="F224" s="11">
        <v>820</v>
      </c>
      <c r="G224" s="12">
        <v>20</v>
      </c>
      <c r="H224" s="13">
        <v>52</v>
      </c>
      <c r="I224" s="11">
        <v>704</v>
      </c>
      <c r="J224">
        <v>89</v>
      </c>
      <c r="K224" s="12">
        <v>636</v>
      </c>
      <c r="L224" s="13">
        <v>20</v>
      </c>
    </row>
    <row r="225" spans="1:12" x14ac:dyDescent="0.25">
      <c r="A225" s="11">
        <v>700</v>
      </c>
      <c r="B225" s="11">
        <v>1</v>
      </c>
      <c r="C225" s="11">
        <v>692</v>
      </c>
      <c r="D225" s="11">
        <v>24</v>
      </c>
      <c r="E225" s="11">
        <v>860</v>
      </c>
      <c r="F225" s="11">
        <v>810</v>
      </c>
      <c r="G225" s="11">
        <v>24</v>
      </c>
      <c r="H225" s="11">
        <v>24</v>
      </c>
      <c r="I225" s="11">
        <v>740</v>
      </c>
      <c r="J225">
        <v>16</v>
      </c>
      <c r="K225" s="11">
        <v>726</v>
      </c>
      <c r="L225" s="12">
        <v>20</v>
      </c>
    </row>
    <row r="226" spans="1:12" ht="15" customHeight="1" x14ac:dyDescent="0.25">
      <c r="A226" s="12">
        <v>700</v>
      </c>
      <c r="B226" s="11" t="s">
        <v>2399</v>
      </c>
      <c r="C226" s="12">
        <v>692</v>
      </c>
      <c r="D226" s="12">
        <v>24</v>
      </c>
      <c r="E226" s="13">
        <v>860</v>
      </c>
      <c r="F226" s="12">
        <v>810</v>
      </c>
      <c r="G226" s="13">
        <v>24</v>
      </c>
      <c r="H226" s="13">
        <v>24</v>
      </c>
      <c r="I226" s="12">
        <v>740</v>
      </c>
      <c r="J226">
        <v>20</v>
      </c>
      <c r="K226" s="12">
        <v>726</v>
      </c>
      <c r="L226" s="13">
        <v>16</v>
      </c>
    </row>
    <row r="227" spans="1:12" x14ac:dyDescent="0.25">
      <c r="A227" s="12">
        <v>700</v>
      </c>
      <c r="B227" s="11">
        <v>6</v>
      </c>
      <c r="C227" s="12">
        <v>692</v>
      </c>
      <c r="D227" s="12">
        <v>24</v>
      </c>
      <c r="E227" s="12">
        <v>860</v>
      </c>
      <c r="F227" s="12">
        <v>810</v>
      </c>
      <c r="G227" s="12">
        <v>24</v>
      </c>
      <c r="H227" s="12">
        <v>24</v>
      </c>
      <c r="I227" s="12">
        <v>740</v>
      </c>
      <c r="J227">
        <v>20</v>
      </c>
      <c r="K227" s="12">
        <v>726</v>
      </c>
      <c r="L227" s="12">
        <v>16</v>
      </c>
    </row>
    <row r="228" spans="1:12" ht="15" customHeight="1" x14ac:dyDescent="0.25">
      <c r="A228" s="12">
        <v>700</v>
      </c>
      <c r="B228" s="11">
        <v>10</v>
      </c>
      <c r="C228" s="12">
        <v>692</v>
      </c>
      <c r="D228" s="11">
        <v>30</v>
      </c>
      <c r="E228" s="13">
        <v>895</v>
      </c>
      <c r="F228" s="11">
        <v>840</v>
      </c>
      <c r="G228" s="12">
        <v>24</v>
      </c>
      <c r="H228" s="13">
        <v>27</v>
      </c>
      <c r="I228" s="11">
        <v>744</v>
      </c>
      <c r="J228">
        <v>22</v>
      </c>
      <c r="K228" s="12">
        <v>726</v>
      </c>
      <c r="L228" s="13">
        <v>18</v>
      </c>
    </row>
    <row r="229" spans="1:12" ht="15" customHeight="1" x14ac:dyDescent="0.25">
      <c r="A229" s="12">
        <v>700</v>
      </c>
      <c r="B229" s="11">
        <v>16</v>
      </c>
      <c r="C229" s="12">
        <v>692</v>
      </c>
      <c r="D229" s="11">
        <v>48</v>
      </c>
      <c r="E229" s="13">
        <v>910</v>
      </c>
      <c r="F229" s="12">
        <v>840</v>
      </c>
      <c r="G229" s="12">
        <v>24</v>
      </c>
      <c r="H229" s="11">
        <v>36</v>
      </c>
      <c r="I229" s="11">
        <v>750</v>
      </c>
      <c r="J229">
        <v>34</v>
      </c>
      <c r="K229" s="12">
        <v>726</v>
      </c>
      <c r="L229" s="12">
        <v>18</v>
      </c>
    </row>
    <row r="230" spans="1:12" ht="15" customHeight="1" x14ac:dyDescent="0.25">
      <c r="A230" s="12">
        <v>700</v>
      </c>
      <c r="B230" s="11">
        <v>25</v>
      </c>
      <c r="C230" s="11">
        <v>690</v>
      </c>
      <c r="D230" s="11">
        <v>58</v>
      </c>
      <c r="E230" s="13">
        <v>960</v>
      </c>
      <c r="F230" s="11">
        <v>875</v>
      </c>
      <c r="G230" s="12">
        <v>24</v>
      </c>
      <c r="H230" s="11">
        <v>42</v>
      </c>
      <c r="I230" s="11">
        <v>766</v>
      </c>
      <c r="J230">
        <v>52</v>
      </c>
      <c r="K230" s="12">
        <v>726</v>
      </c>
      <c r="L230" s="13">
        <v>20</v>
      </c>
    </row>
    <row r="231" spans="1:12" ht="15" customHeight="1" x14ac:dyDescent="0.25">
      <c r="A231" s="12">
        <v>700</v>
      </c>
      <c r="B231" s="11">
        <v>40</v>
      </c>
      <c r="C231" s="11">
        <v>695</v>
      </c>
      <c r="D231" s="11">
        <v>68</v>
      </c>
      <c r="E231" s="13">
        <v>995</v>
      </c>
      <c r="F231" s="11">
        <v>900</v>
      </c>
      <c r="G231" s="12">
        <v>24</v>
      </c>
      <c r="H231" s="11">
        <v>48</v>
      </c>
      <c r="I231" s="11">
        <v>790</v>
      </c>
      <c r="J231">
        <v>77</v>
      </c>
      <c r="K231" s="12">
        <v>726</v>
      </c>
      <c r="L231" s="11">
        <v>20</v>
      </c>
    </row>
    <row r="232" spans="1:12" ht="15" customHeight="1" x14ac:dyDescent="0.25">
      <c r="A232" s="12">
        <v>700</v>
      </c>
      <c r="B232" s="11">
        <v>63</v>
      </c>
      <c r="C232" s="11">
        <v>685</v>
      </c>
      <c r="D232" s="11">
        <v>81</v>
      </c>
      <c r="E232" s="13">
        <v>1045</v>
      </c>
      <c r="F232" s="11">
        <v>935</v>
      </c>
      <c r="G232" s="12">
        <v>24</v>
      </c>
      <c r="H232" s="13">
        <v>52</v>
      </c>
      <c r="I232" s="11">
        <v>820</v>
      </c>
      <c r="J232">
        <v>129</v>
      </c>
      <c r="K232" s="12">
        <v>726</v>
      </c>
      <c r="L232" s="12">
        <v>20</v>
      </c>
    </row>
    <row r="233" spans="1:12" ht="15" customHeight="1" x14ac:dyDescent="0.25">
      <c r="A233" s="11">
        <v>800</v>
      </c>
      <c r="B233" s="11">
        <v>1</v>
      </c>
      <c r="C233" s="11">
        <v>792</v>
      </c>
      <c r="D233" s="11">
        <v>24</v>
      </c>
      <c r="E233" s="11">
        <v>975</v>
      </c>
      <c r="F233" s="11">
        <v>920</v>
      </c>
      <c r="G233" s="11">
        <v>24</v>
      </c>
      <c r="H233" s="11">
        <v>27</v>
      </c>
      <c r="I233" s="11">
        <v>844</v>
      </c>
      <c r="J233">
        <v>25</v>
      </c>
      <c r="K233" s="11">
        <v>826</v>
      </c>
      <c r="L233" s="13">
        <v>16</v>
      </c>
    </row>
    <row r="234" spans="1:12" ht="15" customHeight="1" x14ac:dyDescent="0.25">
      <c r="A234" s="12">
        <v>800</v>
      </c>
      <c r="B234" s="11" t="s">
        <v>2399</v>
      </c>
      <c r="C234" s="12">
        <v>792</v>
      </c>
      <c r="D234" s="12">
        <v>24</v>
      </c>
      <c r="E234" s="13">
        <v>975</v>
      </c>
      <c r="F234" s="12">
        <v>920</v>
      </c>
      <c r="G234" s="13">
        <v>24</v>
      </c>
      <c r="H234" s="13">
        <v>27</v>
      </c>
      <c r="I234" s="12">
        <v>844</v>
      </c>
      <c r="J234">
        <v>25</v>
      </c>
      <c r="K234" s="12">
        <v>826</v>
      </c>
      <c r="L234" s="12">
        <v>16</v>
      </c>
    </row>
    <row r="235" spans="1:12" x14ac:dyDescent="0.25">
      <c r="A235" s="12">
        <v>800</v>
      </c>
      <c r="B235" s="11">
        <v>6</v>
      </c>
      <c r="C235" s="12">
        <v>792</v>
      </c>
      <c r="D235" s="12">
        <v>24</v>
      </c>
      <c r="E235" s="12">
        <v>975</v>
      </c>
      <c r="F235" s="12">
        <v>920</v>
      </c>
      <c r="G235" s="12">
        <v>24</v>
      </c>
      <c r="H235" s="12">
        <v>27</v>
      </c>
      <c r="I235" s="12">
        <v>844</v>
      </c>
      <c r="J235">
        <v>25</v>
      </c>
      <c r="K235" s="12">
        <v>826</v>
      </c>
      <c r="L235" s="12">
        <v>16</v>
      </c>
    </row>
    <row r="236" spans="1:12" ht="15" customHeight="1" x14ac:dyDescent="0.25">
      <c r="A236" s="12">
        <v>800</v>
      </c>
      <c r="B236" s="11">
        <v>10</v>
      </c>
      <c r="C236" s="12">
        <v>792</v>
      </c>
      <c r="D236" s="11">
        <v>32</v>
      </c>
      <c r="E236" s="11">
        <v>1010</v>
      </c>
      <c r="F236" s="11">
        <v>950</v>
      </c>
      <c r="G236" s="12">
        <v>24</v>
      </c>
      <c r="H236" s="13">
        <v>30</v>
      </c>
      <c r="I236" s="11">
        <v>850</v>
      </c>
      <c r="J236">
        <v>30</v>
      </c>
      <c r="K236" s="12">
        <v>826</v>
      </c>
      <c r="L236" s="13">
        <v>18</v>
      </c>
    </row>
    <row r="237" spans="1:12" ht="15" customHeight="1" x14ac:dyDescent="0.25">
      <c r="A237" s="12">
        <v>800</v>
      </c>
      <c r="B237" s="11">
        <v>16</v>
      </c>
      <c r="C237" s="12">
        <v>792</v>
      </c>
      <c r="D237" s="11">
        <v>50</v>
      </c>
      <c r="E237" s="11">
        <v>1020</v>
      </c>
      <c r="F237" s="12">
        <v>950</v>
      </c>
      <c r="G237" s="12">
        <v>24</v>
      </c>
      <c r="H237" s="13">
        <v>36</v>
      </c>
      <c r="I237" s="12">
        <v>850</v>
      </c>
      <c r="J237">
        <v>30</v>
      </c>
      <c r="K237" s="12">
        <v>826</v>
      </c>
      <c r="L237" s="13">
        <v>20</v>
      </c>
    </row>
    <row r="238" spans="1:12" ht="15" customHeight="1" x14ac:dyDescent="0.25">
      <c r="A238" s="12">
        <v>800</v>
      </c>
      <c r="B238" s="11">
        <v>25</v>
      </c>
      <c r="C238" s="11">
        <v>790</v>
      </c>
      <c r="D238" s="11">
        <v>60</v>
      </c>
      <c r="E238" s="11">
        <v>1075</v>
      </c>
      <c r="F238" s="11">
        <v>990</v>
      </c>
      <c r="G238" s="12">
        <v>24</v>
      </c>
      <c r="H238" s="11">
        <v>42</v>
      </c>
      <c r="I238" s="11">
        <v>874</v>
      </c>
      <c r="J238">
        <v>58</v>
      </c>
      <c r="K238" s="12">
        <v>826</v>
      </c>
      <c r="L238" s="13">
        <v>22</v>
      </c>
    </row>
    <row r="239" spans="1:12" ht="15" customHeight="1" x14ac:dyDescent="0.25">
      <c r="A239" s="12">
        <v>800</v>
      </c>
      <c r="B239" s="11">
        <v>40</v>
      </c>
      <c r="C239" s="11">
        <v>795</v>
      </c>
      <c r="D239" s="11">
        <v>76</v>
      </c>
      <c r="E239" s="11">
        <v>1135</v>
      </c>
      <c r="F239" s="11">
        <v>1030</v>
      </c>
      <c r="G239" s="12">
        <v>24</v>
      </c>
      <c r="H239" s="13">
        <v>52</v>
      </c>
      <c r="I239" s="11">
        <v>908</v>
      </c>
      <c r="J239">
        <v>97</v>
      </c>
      <c r="K239" s="12">
        <v>826</v>
      </c>
      <c r="L239" s="12">
        <v>22</v>
      </c>
    </row>
    <row r="240" spans="1:12" ht="15" customHeight="1" x14ac:dyDescent="0.25">
      <c r="A240" s="12">
        <v>800</v>
      </c>
      <c r="B240" s="11">
        <v>63</v>
      </c>
      <c r="C240" s="11">
        <v>785</v>
      </c>
      <c r="D240" s="11">
        <v>90</v>
      </c>
      <c r="E240" s="13">
        <v>1165</v>
      </c>
      <c r="F240" s="11">
        <v>1050</v>
      </c>
      <c r="G240" s="12">
        <v>24</v>
      </c>
      <c r="H240" s="13">
        <v>56</v>
      </c>
      <c r="I240" s="11">
        <v>920</v>
      </c>
      <c r="J240">
        <v>118</v>
      </c>
      <c r="K240" s="12">
        <v>826</v>
      </c>
      <c r="L240" s="12">
        <v>22</v>
      </c>
    </row>
    <row r="241" spans="1:12" ht="15" customHeight="1" x14ac:dyDescent="0.25">
      <c r="A241" s="11">
        <v>900</v>
      </c>
      <c r="B241" s="11">
        <v>1</v>
      </c>
      <c r="C241" s="11">
        <v>892</v>
      </c>
      <c r="D241" s="11">
        <v>26</v>
      </c>
      <c r="E241" s="11">
        <v>1075</v>
      </c>
      <c r="F241" s="11">
        <v>1020</v>
      </c>
      <c r="G241" s="11">
        <v>24</v>
      </c>
      <c r="H241" s="11">
        <v>27</v>
      </c>
      <c r="I241" s="11">
        <v>944</v>
      </c>
      <c r="J241">
        <v>23</v>
      </c>
      <c r="K241" s="11">
        <v>926</v>
      </c>
      <c r="L241" s="13">
        <v>16</v>
      </c>
    </row>
    <row r="242" spans="1:12" ht="15" customHeight="1" x14ac:dyDescent="0.25">
      <c r="A242" s="12">
        <v>900</v>
      </c>
      <c r="B242" s="11" t="s">
        <v>2399</v>
      </c>
      <c r="C242" s="12">
        <v>892</v>
      </c>
      <c r="D242" s="12">
        <v>26</v>
      </c>
      <c r="E242" s="13">
        <v>1075</v>
      </c>
      <c r="F242" s="12">
        <v>1020</v>
      </c>
      <c r="G242" s="13">
        <v>24</v>
      </c>
      <c r="H242" s="13">
        <v>27</v>
      </c>
      <c r="I242" s="12">
        <v>944</v>
      </c>
      <c r="J242">
        <v>23</v>
      </c>
      <c r="K242" s="12">
        <v>926</v>
      </c>
      <c r="L242" s="12">
        <v>16</v>
      </c>
    </row>
    <row r="243" spans="1:12" x14ac:dyDescent="0.25">
      <c r="A243" s="12">
        <v>900</v>
      </c>
      <c r="B243" s="11">
        <v>6</v>
      </c>
      <c r="C243" s="12">
        <v>892</v>
      </c>
      <c r="D243" s="12">
        <v>26</v>
      </c>
      <c r="E243" s="12">
        <v>1075</v>
      </c>
      <c r="F243" s="12">
        <v>1020</v>
      </c>
      <c r="G243" s="12">
        <v>24</v>
      </c>
      <c r="H243" s="12">
        <v>27</v>
      </c>
      <c r="I243" s="12">
        <v>944</v>
      </c>
      <c r="J243">
        <v>23</v>
      </c>
      <c r="K243" s="12">
        <v>926</v>
      </c>
      <c r="L243" s="12">
        <v>16</v>
      </c>
    </row>
    <row r="244" spans="1:12" ht="15" customHeight="1" x14ac:dyDescent="0.25">
      <c r="A244" s="12">
        <v>900</v>
      </c>
      <c r="B244" s="11">
        <v>10</v>
      </c>
      <c r="C244" s="12">
        <v>892</v>
      </c>
      <c r="D244" s="11">
        <v>34</v>
      </c>
      <c r="E244" s="11">
        <v>1110</v>
      </c>
      <c r="F244" s="11">
        <v>1050</v>
      </c>
      <c r="G244" s="13">
        <v>28</v>
      </c>
      <c r="H244" s="13">
        <v>30</v>
      </c>
      <c r="I244" s="11">
        <v>950</v>
      </c>
      <c r="J244">
        <v>31</v>
      </c>
      <c r="K244" s="12">
        <v>926</v>
      </c>
      <c r="L244" s="13">
        <v>20</v>
      </c>
    </row>
    <row r="245" spans="1:12" ht="15" customHeight="1" x14ac:dyDescent="0.25">
      <c r="A245" s="12">
        <v>900</v>
      </c>
      <c r="B245" s="11">
        <v>16</v>
      </c>
      <c r="C245" s="12">
        <v>892</v>
      </c>
      <c r="D245" s="11">
        <v>52</v>
      </c>
      <c r="E245" s="11">
        <v>1120</v>
      </c>
      <c r="F245" s="12">
        <v>1050</v>
      </c>
      <c r="G245" s="12">
        <v>28</v>
      </c>
      <c r="H245" s="13">
        <v>36</v>
      </c>
      <c r="I245" s="11">
        <v>958</v>
      </c>
      <c r="J245">
        <v>43</v>
      </c>
      <c r="K245" s="12">
        <v>926</v>
      </c>
      <c r="L245" s="12">
        <v>20</v>
      </c>
    </row>
    <row r="246" spans="1:12" ht="15" customHeight="1" x14ac:dyDescent="0.25">
      <c r="A246" s="12">
        <v>900</v>
      </c>
      <c r="B246" s="11">
        <v>25</v>
      </c>
      <c r="C246" s="12">
        <v>892</v>
      </c>
      <c r="D246" s="11">
        <v>62</v>
      </c>
      <c r="E246" s="13">
        <v>1185</v>
      </c>
      <c r="F246" s="11">
        <v>1090</v>
      </c>
      <c r="G246" s="12">
        <v>28</v>
      </c>
      <c r="H246" s="11">
        <v>48</v>
      </c>
      <c r="I246" s="11">
        <v>980</v>
      </c>
      <c r="J246">
        <v>64</v>
      </c>
      <c r="K246" s="12">
        <v>926</v>
      </c>
      <c r="L246" s="13">
        <v>24</v>
      </c>
    </row>
    <row r="247" spans="1:12" ht="15" customHeight="1" x14ac:dyDescent="0.25">
      <c r="A247" s="12">
        <v>900</v>
      </c>
      <c r="B247" s="11">
        <v>40</v>
      </c>
      <c r="C247" s="11">
        <v>895</v>
      </c>
      <c r="D247" s="11">
        <v>79</v>
      </c>
      <c r="E247" s="13">
        <v>1250</v>
      </c>
      <c r="F247" s="11">
        <v>1140</v>
      </c>
      <c r="G247" s="12">
        <v>28</v>
      </c>
      <c r="H247" s="13">
        <v>52</v>
      </c>
      <c r="I247" s="11">
        <v>1024</v>
      </c>
      <c r="J247">
        <v>117</v>
      </c>
      <c r="K247" s="12">
        <v>926</v>
      </c>
      <c r="L247" s="12">
        <v>24</v>
      </c>
    </row>
    <row r="248" spans="1:12" ht="15" customHeight="1" x14ac:dyDescent="0.25">
      <c r="A248" s="12">
        <v>900</v>
      </c>
      <c r="B248" s="11">
        <v>63</v>
      </c>
      <c r="C248" s="11">
        <v>885</v>
      </c>
      <c r="D248" s="11">
        <v>93</v>
      </c>
      <c r="E248" s="13">
        <v>1285</v>
      </c>
      <c r="F248" s="11">
        <v>1170</v>
      </c>
      <c r="G248" s="12">
        <v>28</v>
      </c>
      <c r="H248" s="13">
        <v>56</v>
      </c>
      <c r="I248" s="11">
        <v>1050</v>
      </c>
      <c r="J248">
        <v>153</v>
      </c>
      <c r="K248" s="12">
        <v>926</v>
      </c>
      <c r="L248" s="12">
        <v>24</v>
      </c>
    </row>
    <row r="249" spans="1:12" ht="15" customHeight="1" x14ac:dyDescent="0.25">
      <c r="A249" s="11">
        <v>1000</v>
      </c>
      <c r="B249" s="11">
        <v>1</v>
      </c>
      <c r="C249" s="11">
        <v>992</v>
      </c>
      <c r="D249" s="11">
        <v>26</v>
      </c>
      <c r="E249" s="11">
        <v>1175</v>
      </c>
      <c r="F249" s="11">
        <v>1120</v>
      </c>
      <c r="G249" s="11">
        <v>28</v>
      </c>
      <c r="H249" s="11">
        <v>27</v>
      </c>
      <c r="I249" s="11">
        <v>1044</v>
      </c>
      <c r="J249">
        <v>23</v>
      </c>
      <c r="K249" s="11">
        <v>1028</v>
      </c>
      <c r="L249" s="13">
        <v>16</v>
      </c>
    </row>
    <row r="250" spans="1:12" ht="15" customHeight="1" x14ac:dyDescent="0.25">
      <c r="A250" s="12">
        <v>1000</v>
      </c>
      <c r="B250" s="11" t="s">
        <v>2399</v>
      </c>
      <c r="C250" s="12">
        <v>992</v>
      </c>
      <c r="D250" s="12">
        <v>26</v>
      </c>
      <c r="E250" s="13">
        <v>1175</v>
      </c>
      <c r="F250" s="12">
        <v>1120</v>
      </c>
      <c r="G250" s="13">
        <v>28</v>
      </c>
      <c r="H250" s="13">
        <v>27</v>
      </c>
      <c r="I250" s="12">
        <v>1044</v>
      </c>
      <c r="J250">
        <v>23</v>
      </c>
      <c r="K250" s="12">
        <v>1028</v>
      </c>
      <c r="L250" s="12">
        <v>16</v>
      </c>
    </row>
    <row r="251" spans="1:12" x14ac:dyDescent="0.25">
      <c r="A251" s="12">
        <v>1000</v>
      </c>
      <c r="B251" s="11">
        <v>6</v>
      </c>
      <c r="C251" s="12">
        <v>992</v>
      </c>
      <c r="D251" s="12">
        <v>26</v>
      </c>
      <c r="E251" s="12">
        <v>1175</v>
      </c>
      <c r="F251" s="12">
        <v>1120</v>
      </c>
      <c r="G251" s="12">
        <v>28</v>
      </c>
      <c r="H251" s="12">
        <v>27</v>
      </c>
      <c r="I251" s="12">
        <v>1044</v>
      </c>
      <c r="J251">
        <v>23</v>
      </c>
      <c r="K251" s="12">
        <v>1028</v>
      </c>
      <c r="L251" s="12">
        <v>16</v>
      </c>
    </row>
    <row r="252" spans="1:12" ht="15" customHeight="1" x14ac:dyDescent="0.25">
      <c r="A252" s="12">
        <v>1000</v>
      </c>
      <c r="B252" s="11">
        <v>10</v>
      </c>
      <c r="C252" s="12">
        <v>992</v>
      </c>
      <c r="D252" s="11">
        <v>34</v>
      </c>
      <c r="E252" s="11">
        <v>1220</v>
      </c>
      <c r="F252" s="11">
        <v>1160</v>
      </c>
      <c r="G252" s="12">
        <v>28</v>
      </c>
      <c r="H252" s="11">
        <v>30</v>
      </c>
      <c r="I252" s="11">
        <v>1050</v>
      </c>
      <c r="J252">
        <v>31</v>
      </c>
      <c r="K252" s="12">
        <v>1028</v>
      </c>
      <c r="L252" s="13">
        <v>20</v>
      </c>
    </row>
    <row r="253" spans="1:12" ht="15" customHeight="1" x14ac:dyDescent="0.25">
      <c r="A253" s="12">
        <v>1000</v>
      </c>
      <c r="B253" s="11">
        <v>16</v>
      </c>
      <c r="C253" s="12">
        <v>992</v>
      </c>
      <c r="D253" s="11">
        <v>54</v>
      </c>
      <c r="E253" s="13">
        <v>1255</v>
      </c>
      <c r="F253" s="11">
        <v>1170</v>
      </c>
      <c r="G253" s="12">
        <v>28</v>
      </c>
      <c r="H253" s="11">
        <v>42</v>
      </c>
      <c r="I253" s="11">
        <v>1060</v>
      </c>
      <c r="J253">
        <v>39</v>
      </c>
      <c r="K253" s="12">
        <v>1028</v>
      </c>
      <c r="L253" s="13">
        <v>22</v>
      </c>
    </row>
    <row r="254" spans="1:12" ht="15" customHeight="1" x14ac:dyDescent="0.25">
      <c r="A254" s="12">
        <v>1000</v>
      </c>
      <c r="B254" s="11">
        <v>25</v>
      </c>
      <c r="C254" s="12">
        <v>992</v>
      </c>
      <c r="D254" s="11">
        <v>64</v>
      </c>
      <c r="E254" s="11">
        <v>1315</v>
      </c>
      <c r="F254" s="11">
        <v>1210</v>
      </c>
      <c r="G254" s="12">
        <v>28</v>
      </c>
      <c r="H254" s="13">
        <v>52</v>
      </c>
      <c r="I254" s="11">
        <v>1084</v>
      </c>
      <c r="J254">
        <v>67</v>
      </c>
      <c r="K254" s="12">
        <v>1028</v>
      </c>
      <c r="L254" s="13">
        <v>24</v>
      </c>
    </row>
    <row r="255" spans="1:12" ht="15" customHeight="1" x14ac:dyDescent="0.25">
      <c r="A255" s="12">
        <v>1000</v>
      </c>
      <c r="B255" s="11">
        <v>40</v>
      </c>
      <c r="C255" s="11">
        <v>995</v>
      </c>
      <c r="D255" s="11">
        <v>82</v>
      </c>
      <c r="E255" s="13">
        <v>1360</v>
      </c>
      <c r="F255" s="11">
        <v>1250</v>
      </c>
      <c r="G255" s="12">
        <v>28</v>
      </c>
      <c r="H255" s="12">
        <v>52</v>
      </c>
      <c r="I255" s="11">
        <v>1140</v>
      </c>
      <c r="J255">
        <v>134</v>
      </c>
      <c r="K255" s="12">
        <v>1028</v>
      </c>
      <c r="L255" s="12">
        <v>24</v>
      </c>
    </row>
    <row r="256" spans="1:12" ht="15" customHeight="1" x14ac:dyDescent="0.25">
      <c r="A256" s="12">
        <v>1000</v>
      </c>
      <c r="B256" s="11">
        <v>63</v>
      </c>
      <c r="C256" s="11">
        <v>985</v>
      </c>
      <c r="D256" s="11">
        <v>97</v>
      </c>
      <c r="E256" s="13">
        <v>1415</v>
      </c>
      <c r="F256" s="11">
        <v>1290</v>
      </c>
      <c r="G256" s="12">
        <v>28</v>
      </c>
      <c r="H256" s="13">
        <v>64</v>
      </c>
      <c r="I256" s="11">
        <v>1160</v>
      </c>
      <c r="J256">
        <v>164</v>
      </c>
      <c r="K256" s="12">
        <v>1028</v>
      </c>
      <c r="L256" s="12">
        <v>24</v>
      </c>
    </row>
    <row r="257" spans="1:12" ht="15" customHeight="1" x14ac:dyDescent="0.25">
      <c r="A257" s="11">
        <v>1200</v>
      </c>
      <c r="B257" s="11">
        <v>1</v>
      </c>
      <c r="C257" s="11">
        <v>1192</v>
      </c>
      <c r="D257" s="11">
        <v>28</v>
      </c>
      <c r="E257" s="11">
        <v>1375</v>
      </c>
      <c r="F257" s="11">
        <v>1320</v>
      </c>
      <c r="G257" s="11">
        <v>32</v>
      </c>
      <c r="H257" s="11">
        <v>27</v>
      </c>
      <c r="I257" s="11">
        <v>1244</v>
      </c>
      <c r="J257">
        <v>26</v>
      </c>
      <c r="K257" s="11">
        <v>1228</v>
      </c>
      <c r="L257" s="13">
        <v>16</v>
      </c>
    </row>
    <row r="258" spans="1:12" ht="15" customHeight="1" x14ac:dyDescent="0.25">
      <c r="A258" s="12">
        <v>1200</v>
      </c>
      <c r="B258" s="11" t="s">
        <v>2399</v>
      </c>
      <c r="C258" s="12">
        <v>1192</v>
      </c>
      <c r="D258" s="12">
        <v>28</v>
      </c>
      <c r="E258" s="13">
        <v>1375</v>
      </c>
      <c r="F258" s="12">
        <v>1320</v>
      </c>
      <c r="G258" s="13">
        <v>32</v>
      </c>
      <c r="H258" s="13">
        <v>27</v>
      </c>
      <c r="I258" s="12">
        <v>1244</v>
      </c>
      <c r="J258">
        <v>26</v>
      </c>
      <c r="K258" s="12">
        <v>1228</v>
      </c>
      <c r="L258" s="12">
        <v>16</v>
      </c>
    </row>
    <row r="259" spans="1:12" ht="15" customHeight="1" x14ac:dyDescent="0.25">
      <c r="A259" s="12">
        <v>1200</v>
      </c>
      <c r="B259" s="11">
        <v>6</v>
      </c>
      <c r="C259" s="12">
        <v>1192</v>
      </c>
      <c r="D259" s="12">
        <v>28</v>
      </c>
      <c r="E259" s="11">
        <v>1400</v>
      </c>
      <c r="F259" s="11">
        <v>1340</v>
      </c>
      <c r="G259" s="12">
        <v>32</v>
      </c>
      <c r="H259" s="13">
        <v>30</v>
      </c>
      <c r="I259" s="11">
        <v>1248</v>
      </c>
      <c r="J259">
        <v>27</v>
      </c>
      <c r="K259" s="12">
        <v>1228</v>
      </c>
      <c r="L259" s="13">
        <v>20</v>
      </c>
    </row>
    <row r="260" spans="1:12" ht="15" customHeight="1" x14ac:dyDescent="0.25">
      <c r="A260" s="12">
        <v>1200</v>
      </c>
      <c r="B260" s="11">
        <v>10</v>
      </c>
      <c r="C260" s="12">
        <v>1192</v>
      </c>
      <c r="D260" s="11">
        <v>38</v>
      </c>
      <c r="E260" s="13">
        <v>1455</v>
      </c>
      <c r="F260" s="11">
        <v>1380</v>
      </c>
      <c r="G260" s="12">
        <v>32</v>
      </c>
      <c r="H260" s="13">
        <v>36</v>
      </c>
      <c r="I260" s="11">
        <v>1256</v>
      </c>
      <c r="J260">
        <v>32</v>
      </c>
      <c r="K260" s="12">
        <v>1228</v>
      </c>
      <c r="L260" s="13">
        <v>25</v>
      </c>
    </row>
    <row r="261" spans="1:12" ht="15" customHeight="1" x14ac:dyDescent="0.25">
      <c r="A261" s="12">
        <v>1200</v>
      </c>
      <c r="B261" s="11">
        <v>16</v>
      </c>
      <c r="C261" s="12">
        <v>1192</v>
      </c>
      <c r="D261" s="11">
        <v>56</v>
      </c>
      <c r="E261" s="13">
        <v>1485</v>
      </c>
      <c r="F261" s="11">
        <v>1390</v>
      </c>
      <c r="G261" s="12">
        <v>32</v>
      </c>
      <c r="H261" s="11">
        <v>48</v>
      </c>
      <c r="I261" s="11">
        <v>1268</v>
      </c>
      <c r="J261">
        <v>44</v>
      </c>
      <c r="K261" s="12">
        <v>1228</v>
      </c>
      <c r="L261" s="13">
        <v>30</v>
      </c>
    </row>
    <row r="262" spans="1:12" ht="15" customHeight="1" x14ac:dyDescent="0.25">
      <c r="A262" s="12">
        <v>1200</v>
      </c>
      <c r="B262" s="11">
        <v>25</v>
      </c>
      <c r="C262" s="11">
        <v>1192</v>
      </c>
      <c r="D262" s="11">
        <v>67</v>
      </c>
      <c r="E262" s="11">
        <v>1525</v>
      </c>
      <c r="F262" s="11">
        <v>1420</v>
      </c>
      <c r="G262" s="12">
        <v>32</v>
      </c>
      <c r="H262" s="13">
        <v>52</v>
      </c>
      <c r="I262" s="11">
        <v>1288</v>
      </c>
      <c r="J262">
        <v>68</v>
      </c>
      <c r="K262" s="12">
        <v>1228</v>
      </c>
      <c r="L262" s="12">
        <v>30</v>
      </c>
    </row>
    <row r="263" spans="1:12" ht="15" customHeight="1" x14ac:dyDescent="0.25">
      <c r="A263" s="12">
        <v>1200</v>
      </c>
      <c r="B263" s="11">
        <v>40</v>
      </c>
      <c r="C263" s="11">
        <v>1195</v>
      </c>
      <c r="D263" s="11">
        <v>85</v>
      </c>
      <c r="E263" s="13">
        <v>1575</v>
      </c>
      <c r="F263" s="11">
        <v>1460</v>
      </c>
      <c r="G263" s="12">
        <v>32</v>
      </c>
      <c r="H263" s="13">
        <v>56</v>
      </c>
      <c r="I263" s="11">
        <v>1350</v>
      </c>
      <c r="J263">
        <v>140</v>
      </c>
      <c r="K263" s="12">
        <v>1228</v>
      </c>
      <c r="L263" s="12">
        <v>30</v>
      </c>
    </row>
    <row r="264" spans="1:12" ht="15" customHeight="1" x14ac:dyDescent="0.25">
      <c r="A264" s="12">
        <v>1200</v>
      </c>
      <c r="B264" s="11">
        <v>63</v>
      </c>
      <c r="C264" s="11">
        <v>1185</v>
      </c>
      <c r="D264" s="11">
        <v>100</v>
      </c>
      <c r="E264" s="13">
        <v>1665</v>
      </c>
      <c r="F264" s="11">
        <v>1530</v>
      </c>
      <c r="G264" s="12">
        <v>32</v>
      </c>
      <c r="H264" s="13">
        <v>72</v>
      </c>
      <c r="I264" s="11">
        <v>1386</v>
      </c>
      <c r="J264">
        <v>190</v>
      </c>
      <c r="K264" s="12">
        <v>1228</v>
      </c>
      <c r="L264" s="12">
        <v>30</v>
      </c>
    </row>
    <row r="265" spans="1:12" ht="15" customHeight="1" x14ac:dyDescent="0.25">
      <c r="A265" s="11">
        <v>1400</v>
      </c>
      <c r="B265" s="11">
        <v>1</v>
      </c>
      <c r="C265" s="11">
        <v>1392</v>
      </c>
      <c r="D265" s="11">
        <v>28</v>
      </c>
      <c r="E265" s="11">
        <v>1575</v>
      </c>
      <c r="F265" s="11">
        <v>1520</v>
      </c>
      <c r="G265" s="11">
        <v>36</v>
      </c>
      <c r="H265" s="11">
        <v>27</v>
      </c>
      <c r="I265" s="11">
        <v>1445</v>
      </c>
      <c r="J265">
        <v>26</v>
      </c>
      <c r="K265" s="11">
        <v>1428</v>
      </c>
      <c r="L265" s="13">
        <v>16</v>
      </c>
    </row>
    <row r="266" spans="1:12" ht="15" customHeight="1" x14ac:dyDescent="0.25">
      <c r="A266" s="12">
        <v>1400</v>
      </c>
      <c r="B266" s="11" t="s">
        <v>2399</v>
      </c>
      <c r="C266" s="12">
        <v>1392</v>
      </c>
      <c r="D266" s="12">
        <v>28</v>
      </c>
      <c r="E266" s="13">
        <v>1575</v>
      </c>
      <c r="F266" s="12">
        <v>1520</v>
      </c>
      <c r="G266" s="13">
        <v>36</v>
      </c>
      <c r="H266" s="13">
        <v>27</v>
      </c>
      <c r="I266" s="12">
        <v>1445</v>
      </c>
      <c r="J266">
        <v>26</v>
      </c>
      <c r="K266" s="12">
        <v>1428</v>
      </c>
      <c r="L266" s="12">
        <v>16</v>
      </c>
    </row>
    <row r="267" spans="1:12" ht="15" customHeight="1" x14ac:dyDescent="0.25">
      <c r="A267" s="12">
        <v>1400</v>
      </c>
      <c r="B267" s="11">
        <v>6</v>
      </c>
      <c r="C267" s="12">
        <v>1392</v>
      </c>
      <c r="D267" s="11">
        <v>32</v>
      </c>
      <c r="E267" s="11">
        <v>1620</v>
      </c>
      <c r="F267" s="11">
        <v>1560</v>
      </c>
      <c r="G267" s="12">
        <v>36</v>
      </c>
      <c r="H267" s="11">
        <v>30</v>
      </c>
      <c r="I267" s="11">
        <v>1456</v>
      </c>
      <c r="J267">
        <v>38</v>
      </c>
      <c r="K267" s="12">
        <v>1428</v>
      </c>
      <c r="L267" s="13">
        <v>20</v>
      </c>
    </row>
    <row r="268" spans="1:12" ht="15" customHeight="1" x14ac:dyDescent="0.25">
      <c r="A268" s="12">
        <v>1400</v>
      </c>
      <c r="B268" s="11">
        <v>10</v>
      </c>
      <c r="C268" s="11">
        <v>1392</v>
      </c>
      <c r="D268" s="11">
        <v>32</v>
      </c>
      <c r="E268" s="11">
        <v>1620</v>
      </c>
      <c r="F268" s="11">
        <v>1590</v>
      </c>
      <c r="G268" s="11">
        <v>36</v>
      </c>
      <c r="H268" s="11">
        <v>30</v>
      </c>
      <c r="I268" s="11">
        <v>1456</v>
      </c>
      <c r="J268">
        <v>33</v>
      </c>
      <c r="K268" s="11">
        <v>1428</v>
      </c>
      <c r="L268" s="13">
        <v>25</v>
      </c>
    </row>
    <row r="269" spans="1:12" ht="15" customHeight="1" x14ac:dyDescent="0.25">
      <c r="A269" s="12">
        <v>1400</v>
      </c>
      <c r="B269" s="11">
        <v>16</v>
      </c>
      <c r="C269" s="12">
        <v>1392</v>
      </c>
      <c r="D269" s="12">
        <v>32</v>
      </c>
      <c r="E269" s="12">
        <v>1620</v>
      </c>
      <c r="F269" s="12">
        <v>1590</v>
      </c>
      <c r="G269" s="12">
        <v>36</v>
      </c>
      <c r="H269" s="12">
        <v>30</v>
      </c>
      <c r="I269" s="12">
        <v>1456</v>
      </c>
      <c r="J269">
        <v>28</v>
      </c>
      <c r="K269" s="12">
        <v>1428</v>
      </c>
      <c r="L269" s="13">
        <v>30</v>
      </c>
    </row>
    <row r="270" spans="1:12" ht="15" customHeight="1" x14ac:dyDescent="0.25">
      <c r="A270" s="12">
        <v>1400</v>
      </c>
      <c r="B270" s="11">
        <v>25</v>
      </c>
      <c r="C270" s="12">
        <v>1392</v>
      </c>
      <c r="D270" s="12">
        <v>32</v>
      </c>
      <c r="E270" s="12">
        <v>1620</v>
      </c>
      <c r="F270" s="11">
        <v>1640</v>
      </c>
      <c r="G270" s="12">
        <v>36</v>
      </c>
      <c r="H270" s="12">
        <v>30</v>
      </c>
      <c r="I270" s="12">
        <v>1456</v>
      </c>
      <c r="J270">
        <v>28</v>
      </c>
      <c r="K270" s="12">
        <v>1428</v>
      </c>
      <c r="L270" s="13">
        <v>30</v>
      </c>
    </row>
    <row r="271" spans="1:12" x14ac:dyDescent="0.25">
      <c r="A271" s="12">
        <v>1400</v>
      </c>
      <c r="B271" s="11">
        <v>40</v>
      </c>
      <c r="C271" s="12">
        <v>1392</v>
      </c>
      <c r="D271" s="12">
        <v>32</v>
      </c>
      <c r="E271" s="12">
        <v>1620</v>
      </c>
      <c r="F271" s="11">
        <v>1680</v>
      </c>
      <c r="G271" s="12">
        <v>36</v>
      </c>
      <c r="H271" s="12">
        <v>30</v>
      </c>
      <c r="I271" s="12">
        <v>1456</v>
      </c>
      <c r="J271">
        <v>28</v>
      </c>
      <c r="K271" s="12">
        <v>1428</v>
      </c>
      <c r="L271" s="12">
        <v>30</v>
      </c>
    </row>
    <row r="272" spans="1:12" ht="15" customHeight="1" x14ac:dyDescent="0.25">
      <c r="A272" s="11">
        <v>1600</v>
      </c>
      <c r="B272" s="11">
        <v>1</v>
      </c>
      <c r="C272" s="11">
        <v>1592</v>
      </c>
      <c r="D272" s="11">
        <v>28</v>
      </c>
      <c r="E272" s="11">
        <v>1785</v>
      </c>
      <c r="F272" s="11">
        <v>1730</v>
      </c>
      <c r="G272" s="13">
        <v>40</v>
      </c>
      <c r="H272" s="13">
        <v>27</v>
      </c>
      <c r="I272" s="11">
        <v>1646</v>
      </c>
      <c r="J272">
        <v>22</v>
      </c>
      <c r="K272" s="11">
        <v>1628</v>
      </c>
      <c r="L272" s="13">
        <v>20</v>
      </c>
    </row>
    <row r="273" spans="1:12" x14ac:dyDescent="0.25">
      <c r="A273" s="12">
        <v>1600</v>
      </c>
      <c r="B273" s="11" t="s">
        <v>2399</v>
      </c>
      <c r="C273" s="12">
        <v>1592</v>
      </c>
      <c r="D273" s="12">
        <v>28</v>
      </c>
      <c r="E273" s="12">
        <v>1785</v>
      </c>
      <c r="F273" s="12">
        <v>1730</v>
      </c>
      <c r="G273" s="12">
        <v>40</v>
      </c>
      <c r="H273" s="12">
        <v>27</v>
      </c>
      <c r="I273" s="12">
        <v>1646</v>
      </c>
      <c r="J273">
        <v>22</v>
      </c>
      <c r="K273" s="12">
        <v>1628</v>
      </c>
      <c r="L273" s="12">
        <v>20</v>
      </c>
    </row>
    <row r="274" spans="1:12" x14ac:dyDescent="0.25">
      <c r="A274" s="12">
        <v>1600</v>
      </c>
      <c r="B274" s="11">
        <v>6</v>
      </c>
      <c r="C274" s="12">
        <v>1592</v>
      </c>
      <c r="D274" s="11">
        <v>37</v>
      </c>
      <c r="E274" s="11">
        <v>1820</v>
      </c>
      <c r="F274" s="11">
        <v>1760</v>
      </c>
      <c r="G274" s="12">
        <v>40</v>
      </c>
      <c r="H274" s="11">
        <v>30</v>
      </c>
      <c r="I274" s="11">
        <v>1660</v>
      </c>
      <c r="J274">
        <v>43</v>
      </c>
      <c r="K274" s="12">
        <v>1628</v>
      </c>
      <c r="L274" s="12">
        <v>20</v>
      </c>
    </row>
    <row r="275" spans="1:12" ht="15" customHeight="1" x14ac:dyDescent="0.25">
      <c r="A275" s="12">
        <v>1600</v>
      </c>
      <c r="B275" s="11">
        <v>10</v>
      </c>
      <c r="C275" s="11">
        <v>1592</v>
      </c>
      <c r="D275" s="11">
        <v>37</v>
      </c>
      <c r="E275" s="11">
        <v>1820</v>
      </c>
      <c r="F275" s="11">
        <v>1820</v>
      </c>
      <c r="G275" s="11">
        <v>40</v>
      </c>
      <c r="H275" s="11">
        <v>30</v>
      </c>
      <c r="I275" s="11">
        <v>1660</v>
      </c>
      <c r="J275">
        <v>38</v>
      </c>
      <c r="K275" s="11">
        <v>1628</v>
      </c>
      <c r="L275" s="13">
        <v>25</v>
      </c>
    </row>
    <row r="276" spans="1:12" ht="15" customHeight="1" x14ac:dyDescent="0.25">
      <c r="A276" s="12">
        <v>1600</v>
      </c>
      <c r="B276" s="11">
        <v>16</v>
      </c>
      <c r="C276" s="12">
        <v>1592</v>
      </c>
      <c r="D276" s="12">
        <v>37</v>
      </c>
      <c r="E276" s="12">
        <v>1820</v>
      </c>
      <c r="F276" s="12">
        <v>1820</v>
      </c>
      <c r="G276" s="12">
        <v>40</v>
      </c>
      <c r="H276" s="12">
        <v>30</v>
      </c>
      <c r="I276" s="12">
        <v>1660</v>
      </c>
      <c r="J276">
        <v>28</v>
      </c>
      <c r="K276" s="12">
        <v>1628</v>
      </c>
      <c r="L276" s="13">
        <v>35</v>
      </c>
    </row>
    <row r="277" spans="1:12" ht="15" customHeight="1" x14ac:dyDescent="0.25">
      <c r="A277" s="12">
        <v>1600</v>
      </c>
      <c r="B277" s="11">
        <v>25</v>
      </c>
      <c r="C277" s="12">
        <v>1592</v>
      </c>
      <c r="D277" s="12">
        <v>37</v>
      </c>
      <c r="E277" s="12">
        <v>1820</v>
      </c>
      <c r="F277" s="11">
        <v>1860</v>
      </c>
      <c r="G277" s="12">
        <v>40</v>
      </c>
      <c r="H277" s="12">
        <v>30</v>
      </c>
      <c r="I277" s="12">
        <v>1660</v>
      </c>
      <c r="J277">
        <v>28</v>
      </c>
      <c r="K277" s="12">
        <v>1628</v>
      </c>
      <c r="L277" s="13">
        <v>35</v>
      </c>
    </row>
    <row r="278" spans="1:12" x14ac:dyDescent="0.25">
      <c r="A278" s="12">
        <v>1600</v>
      </c>
      <c r="B278" s="11">
        <v>40</v>
      </c>
      <c r="C278" s="12">
        <v>1592</v>
      </c>
      <c r="D278" s="12">
        <v>37</v>
      </c>
      <c r="E278" s="12">
        <v>1820</v>
      </c>
      <c r="F278" s="11">
        <v>1900</v>
      </c>
      <c r="G278" s="12">
        <v>40</v>
      </c>
      <c r="H278" s="12">
        <v>30</v>
      </c>
      <c r="I278" s="12">
        <v>1660</v>
      </c>
      <c r="J278">
        <v>28</v>
      </c>
      <c r="K278" s="12">
        <v>1628</v>
      </c>
      <c r="L278" s="12">
        <v>35</v>
      </c>
    </row>
    <row r="279" spans="1:12" ht="15" customHeight="1" x14ac:dyDescent="0.25">
      <c r="A279" s="11">
        <v>1800</v>
      </c>
      <c r="B279" s="11" t="s">
        <v>2399</v>
      </c>
      <c r="C279" s="11">
        <v>1592</v>
      </c>
      <c r="D279" s="11">
        <v>37</v>
      </c>
      <c r="E279" s="11">
        <v>1820</v>
      </c>
      <c r="F279" s="11">
        <v>1930</v>
      </c>
      <c r="G279" s="11">
        <v>40</v>
      </c>
      <c r="H279" s="11">
        <v>30</v>
      </c>
      <c r="I279" s="11">
        <v>1660</v>
      </c>
      <c r="J279">
        <v>43</v>
      </c>
      <c r="K279" s="11">
        <v>1628</v>
      </c>
      <c r="L279" s="13">
        <v>20</v>
      </c>
    </row>
    <row r="280" spans="1:12" x14ac:dyDescent="0.25">
      <c r="A280" s="12">
        <v>1800</v>
      </c>
      <c r="B280" s="11">
        <v>6</v>
      </c>
      <c r="C280" s="12">
        <v>1592</v>
      </c>
      <c r="D280" s="12">
        <v>37</v>
      </c>
      <c r="E280" s="12">
        <v>1820</v>
      </c>
      <c r="F280" s="11">
        <v>1970</v>
      </c>
      <c r="G280" s="12">
        <v>40</v>
      </c>
      <c r="H280" s="12">
        <v>30</v>
      </c>
      <c r="I280" s="12">
        <v>1660</v>
      </c>
      <c r="J280">
        <v>43</v>
      </c>
      <c r="K280" s="12">
        <v>1628</v>
      </c>
      <c r="L280" s="12">
        <v>20</v>
      </c>
    </row>
    <row r="281" spans="1:12" ht="15" customHeight="1" x14ac:dyDescent="0.25">
      <c r="A281" s="12">
        <v>1800</v>
      </c>
      <c r="B281" s="11">
        <v>10</v>
      </c>
      <c r="C281" s="12">
        <v>1592</v>
      </c>
      <c r="D281" s="12">
        <v>37</v>
      </c>
      <c r="E281" s="12">
        <v>1820</v>
      </c>
      <c r="F281" s="11">
        <v>2020</v>
      </c>
      <c r="G281" s="12">
        <v>40</v>
      </c>
      <c r="H281" s="12">
        <v>30</v>
      </c>
      <c r="I281" s="12">
        <v>1660</v>
      </c>
      <c r="J281">
        <v>33</v>
      </c>
      <c r="K281" s="12">
        <v>1628</v>
      </c>
      <c r="L281" s="13">
        <v>30</v>
      </c>
    </row>
    <row r="282" spans="1:12" ht="15" customHeight="1" x14ac:dyDescent="0.25">
      <c r="A282" s="12">
        <v>1800</v>
      </c>
      <c r="B282" s="11">
        <v>16</v>
      </c>
      <c r="C282" s="12">
        <v>1592</v>
      </c>
      <c r="D282" s="12">
        <v>37</v>
      </c>
      <c r="E282" s="12">
        <v>1820</v>
      </c>
      <c r="F282" s="12">
        <v>2020</v>
      </c>
      <c r="G282" s="12">
        <v>40</v>
      </c>
      <c r="H282" s="12">
        <v>30</v>
      </c>
      <c r="I282" s="12">
        <v>1660</v>
      </c>
      <c r="J282">
        <v>28</v>
      </c>
      <c r="K282" s="12">
        <v>1628</v>
      </c>
      <c r="L282" s="13">
        <v>35</v>
      </c>
    </row>
    <row r="283" spans="1:12" ht="15" customHeight="1" x14ac:dyDescent="0.25">
      <c r="A283" s="12">
        <v>1800</v>
      </c>
      <c r="B283" s="11">
        <v>25</v>
      </c>
      <c r="C283" s="12">
        <v>1592</v>
      </c>
      <c r="D283" s="12">
        <v>37</v>
      </c>
      <c r="E283" s="12">
        <v>1820</v>
      </c>
      <c r="F283" s="11">
        <v>2070</v>
      </c>
      <c r="G283" s="12">
        <v>40</v>
      </c>
      <c r="H283" s="12">
        <v>30</v>
      </c>
      <c r="I283" s="12">
        <v>1660</v>
      </c>
      <c r="J283">
        <v>28</v>
      </c>
      <c r="K283" s="12">
        <v>1628</v>
      </c>
      <c r="L283" s="13">
        <v>35</v>
      </c>
    </row>
    <row r="284" spans="1:12" ht="15" customHeight="1" x14ac:dyDescent="0.25">
      <c r="A284" s="11">
        <v>2000</v>
      </c>
      <c r="B284" s="11" t="s">
        <v>2399</v>
      </c>
      <c r="C284" s="11">
        <v>1592</v>
      </c>
      <c r="D284" s="11">
        <v>37</v>
      </c>
      <c r="E284" s="11">
        <v>1820</v>
      </c>
      <c r="F284" s="11">
        <v>2130</v>
      </c>
      <c r="G284" s="11">
        <v>40</v>
      </c>
      <c r="H284" s="11">
        <v>30</v>
      </c>
      <c r="I284" s="11">
        <v>1660</v>
      </c>
      <c r="J284">
        <v>41</v>
      </c>
      <c r="K284" s="11">
        <v>1628</v>
      </c>
      <c r="L284" s="13">
        <v>22</v>
      </c>
    </row>
    <row r="285" spans="1:12" ht="15" customHeight="1" x14ac:dyDescent="0.25">
      <c r="A285" s="12">
        <v>2000</v>
      </c>
      <c r="B285" s="11">
        <v>6</v>
      </c>
      <c r="C285" s="12">
        <v>1592</v>
      </c>
      <c r="D285" s="12">
        <v>37</v>
      </c>
      <c r="E285" s="12">
        <v>1820</v>
      </c>
      <c r="F285" s="11">
        <v>2180</v>
      </c>
      <c r="G285" s="12">
        <v>40</v>
      </c>
      <c r="H285" s="12">
        <v>30</v>
      </c>
      <c r="I285" s="12">
        <v>1660</v>
      </c>
      <c r="J285">
        <v>38</v>
      </c>
      <c r="K285" s="12">
        <v>1628</v>
      </c>
      <c r="L285" s="13">
        <v>25</v>
      </c>
    </row>
    <row r="286" spans="1:12" ht="15" customHeight="1" x14ac:dyDescent="0.25">
      <c r="A286" s="12">
        <v>2000</v>
      </c>
      <c r="B286" s="11">
        <v>10</v>
      </c>
      <c r="C286" s="12">
        <v>1592</v>
      </c>
      <c r="D286" s="12">
        <v>37</v>
      </c>
      <c r="E286" s="12">
        <v>1820</v>
      </c>
      <c r="F286" s="11">
        <v>2230</v>
      </c>
      <c r="G286" s="12">
        <v>40</v>
      </c>
      <c r="H286" s="12">
        <v>30</v>
      </c>
      <c r="I286" s="12">
        <v>1660</v>
      </c>
      <c r="J286">
        <v>33</v>
      </c>
      <c r="K286" s="12">
        <v>1628</v>
      </c>
      <c r="L286" s="13">
        <v>30</v>
      </c>
    </row>
    <row r="287" spans="1:12" ht="15" customHeight="1" x14ac:dyDescent="0.25">
      <c r="A287" s="12">
        <v>2000</v>
      </c>
      <c r="B287" s="11">
        <v>16</v>
      </c>
      <c r="C287" s="12">
        <v>1592</v>
      </c>
      <c r="D287" s="12">
        <v>37</v>
      </c>
      <c r="E287" s="12">
        <v>1820</v>
      </c>
      <c r="F287" s="12">
        <v>2230</v>
      </c>
      <c r="G287" s="12">
        <v>40</v>
      </c>
      <c r="H287" s="12">
        <v>30</v>
      </c>
      <c r="I287" s="12">
        <v>1660</v>
      </c>
      <c r="J287">
        <v>23</v>
      </c>
      <c r="K287" s="12">
        <v>1628</v>
      </c>
      <c r="L287" s="13">
        <v>40</v>
      </c>
    </row>
    <row r="288" spans="1:12" ht="15" customHeight="1" x14ac:dyDescent="0.25">
      <c r="A288" s="12">
        <v>2000</v>
      </c>
      <c r="B288" s="11">
        <v>25</v>
      </c>
      <c r="C288" s="12">
        <v>1592</v>
      </c>
      <c r="D288" s="12">
        <v>37</v>
      </c>
      <c r="E288" s="12">
        <v>1820</v>
      </c>
      <c r="F288" s="11">
        <v>2300</v>
      </c>
      <c r="G288" s="12">
        <v>40</v>
      </c>
      <c r="H288" s="12">
        <v>30</v>
      </c>
      <c r="I288" s="12">
        <v>1660</v>
      </c>
      <c r="J288">
        <v>23</v>
      </c>
      <c r="K288" s="12">
        <v>1628</v>
      </c>
      <c r="L288" s="13">
        <v>40</v>
      </c>
    </row>
    <row r="289" spans="1:12" ht="15" customHeight="1" x14ac:dyDescent="0.25">
      <c r="A289" s="11">
        <v>2200</v>
      </c>
      <c r="B289" s="11" t="s">
        <v>2399</v>
      </c>
      <c r="C289" s="11">
        <v>1592</v>
      </c>
      <c r="D289" s="11">
        <v>37</v>
      </c>
      <c r="E289" s="11">
        <v>1820</v>
      </c>
      <c r="F289" s="11">
        <v>2340</v>
      </c>
      <c r="G289" s="11">
        <v>40</v>
      </c>
      <c r="H289" s="11">
        <v>30</v>
      </c>
      <c r="I289" s="11">
        <v>1660</v>
      </c>
      <c r="J289">
        <v>38</v>
      </c>
      <c r="K289" s="11">
        <v>1628</v>
      </c>
      <c r="L289" s="13">
        <v>25</v>
      </c>
    </row>
    <row r="290" spans="1:12" x14ac:dyDescent="0.25">
      <c r="A290" s="12">
        <v>2200</v>
      </c>
      <c r="B290" s="11">
        <v>6</v>
      </c>
      <c r="C290" s="12">
        <v>1592</v>
      </c>
      <c r="D290" s="12">
        <v>37</v>
      </c>
      <c r="E290" s="12">
        <v>1820</v>
      </c>
      <c r="F290" s="11">
        <v>2390</v>
      </c>
      <c r="G290" s="12">
        <v>40</v>
      </c>
      <c r="H290" s="12">
        <v>30</v>
      </c>
      <c r="I290" s="12">
        <v>1660</v>
      </c>
      <c r="J290">
        <v>38</v>
      </c>
      <c r="K290" s="12">
        <v>1628</v>
      </c>
      <c r="L290" s="12">
        <v>25</v>
      </c>
    </row>
    <row r="291" spans="1:12" ht="15" customHeight="1" x14ac:dyDescent="0.25">
      <c r="A291" s="12">
        <v>2200</v>
      </c>
      <c r="B291" s="11">
        <v>10</v>
      </c>
      <c r="C291" s="12">
        <v>1592</v>
      </c>
      <c r="D291" s="12">
        <v>37</v>
      </c>
      <c r="E291" s="12">
        <v>1820</v>
      </c>
      <c r="F291" s="11">
        <v>2440</v>
      </c>
      <c r="G291" s="12">
        <v>40</v>
      </c>
      <c r="H291" s="12">
        <v>30</v>
      </c>
      <c r="I291" s="12">
        <v>1660</v>
      </c>
      <c r="J291">
        <v>28</v>
      </c>
      <c r="K291" s="12">
        <v>1628</v>
      </c>
      <c r="L291" s="13">
        <v>35</v>
      </c>
    </row>
    <row r="292" spans="1:12" ht="15" customHeight="1" x14ac:dyDescent="0.25">
      <c r="A292" s="11">
        <v>2400</v>
      </c>
      <c r="B292" s="11" t="s">
        <v>2399</v>
      </c>
      <c r="C292" s="11">
        <v>1592</v>
      </c>
      <c r="D292" s="11">
        <v>37</v>
      </c>
      <c r="E292" s="11">
        <v>1820</v>
      </c>
      <c r="F292" s="11">
        <v>2540</v>
      </c>
      <c r="G292" s="11">
        <v>40</v>
      </c>
      <c r="H292" s="11">
        <v>30</v>
      </c>
      <c r="I292" s="11">
        <v>1660</v>
      </c>
      <c r="J292">
        <v>38</v>
      </c>
      <c r="K292" s="11">
        <v>1628</v>
      </c>
      <c r="L292" s="13">
        <v>25</v>
      </c>
    </row>
    <row r="293" spans="1:12" x14ac:dyDescent="0.25">
      <c r="A293" s="12">
        <v>2400</v>
      </c>
      <c r="B293" s="11">
        <v>6</v>
      </c>
      <c r="C293" s="12">
        <v>1592</v>
      </c>
      <c r="D293" s="12">
        <v>37</v>
      </c>
      <c r="E293" s="12">
        <v>1820</v>
      </c>
      <c r="F293" s="11">
        <v>2600</v>
      </c>
      <c r="G293" s="12">
        <v>40</v>
      </c>
      <c r="H293" s="12">
        <v>30</v>
      </c>
      <c r="I293" s="12">
        <v>1660</v>
      </c>
      <c r="J293">
        <v>38</v>
      </c>
      <c r="K293" s="12">
        <v>1628</v>
      </c>
      <c r="L293" s="12">
        <v>25</v>
      </c>
    </row>
    <row r="294" spans="1:12" ht="15" customHeight="1" x14ac:dyDescent="0.25">
      <c r="A294" s="12">
        <v>2400</v>
      </c>
      <c r="B294" s="11">
        <v>10</v>
      </c>
      <c r="C294" s="12">
        <v>1592</v>
      </c>
      <c r="D294" s="12">
        <v>37</v>
      </c>
      <c r="E294" s="12">
        <v>1820</v>
      </c>
      <c r="F294" s="11">
        <v>2650</v>
      </c>
      <c r="G294" s="12">
        <v>40</v>
      </c>
      <c r="H294" s="12">
        <v>30</v>
      </c>
      <c r="I294" s="12">
        <v>1660</v>
      </c>
      <c r="J294">
        <v>28</v>
      </c>
      <c r="K294" s="12">
        <v>1628</v>
      </c>
      <c r="L294" s="13">
        <v>35</v>
      </c>
    </row>
    <row r="295" spans="1:12" ht="15" customHeight="1" x14ac:dyDescent="0.25">
      <c r="A295" s="11">
        <v>2600</v>
      </c>
      <c r="B295" s="11" t="s">
        <v>2399</v>
      </c>
      <c r="C295" s="11">
        <v>1592</v>
      </c>
      <c r="D295" s="11">
        <v>37</v>
      </c>
      <c r="E295" s="11">
        <v>1820</v>
      </c>
      <c r="F295" s="11">
        <v>2740</v>
      </c>
      <c r="G295" s="11">
        <v>40</v>
      </c>
      <c r="H295" s="11">
        <v>30</v>
      </c>
      <c r="I295" s="11">
        <v>1660</v>
      </c>
      <c r="J295">
        <v>38</v>
      </c>
      <c r="K295" s="11">
        <v>1628</v>
      </c>
      <c r="L295" s="13">
        <v>25</v>
      </c>
    </row>
    <row r="296" spans="1:12" x14ac:dyDescent="0.25">
      <c r="A296" s="12">
        <v>2600</v>
      </c>
      <c r="B296" s="11">
        <v>6</v>
      </c>
      <c r="C296" s="12">
        <v>1592</v>
      </c>
      <c r="D296" s="12">
        <v>37</v>
      </c>
      <c r="E296" s="12">
        <v>1820</v>
      </c>
      <c r="F296" s="11">
        <v>2810</v>
      </c>
      <c r="G296" s="12">
        <v>40</v>
      </c>
      <c r="H296" s="12">
        <v>30</v>
      </c>
      <c r="I296" s="12">
        <v>1660</v>
      </c>
      <c r="J296">
        <v>38</v>
      </c>
      <c r="K296" s="12">
        <v>1628</v>
      </c>
      <c r="L296" s="12">
        <v>25</v>
      </c>
    </row>
    <row r="297" spans="1:12" ht="15" customHeight="1" x14ac:dyDescent="0.25">
      <c r="A297" s="12">
        <v>2600</v>
      </c>
      <c r="B297" s="11">
        <v>10</v>
      </c>
      <c r="C297" s="12">
        <v>1592</v>
      </c>
      <c r="D297" s="12">
        <v>37</v>
      </c>
      <c r="E297" s="12">
        <v>1820</v>
      </c>
      <c r="F297" s="11">
        <v>2850</v>
      </c>
      <c r="G297" s="12">
        <v>40</v>
      </c>
      <c r="H297" s="12">
        <v>30</v>
      </c>
      <c r="I297" s="12">
        <v>1660</v>
      </c>
      <c r="J297">
        <v>23</v>
      </c>
      <c r="K297" s="12">
        <v>1628</v>
      </c>
      <c r="L297" s="13">
        <v>40</v>
      </c>
    </row>
    <row r="298" spans="1:12" ht="15" customHeight="1" x14ac:dyDescent="0.25">
      <c r="A298" s="11">
        <v>2800</v>
      </c>
      <c r="B298" s="11" t="s">
        <v>2399</v>
      </c>
      <c r="C298" s="11">
        <v>1592</v>
      </c>
      <c r="D298" s="11">
        <v>37</v>
      </c>
      <c r="E298" s="11">
        <v>1820</v>
      </c>
      <c r="F298" s="11">
        <v>2960</v>
      </c>
      <c r="G298" s="11">
        <v>40</v>
      </c>
      <c r="H298" s="11">
        <v>30</v>
      </c>
      <c r="I298" s="11">
        <v>1660</v>
      </c>
      <c r="J298">
        <v>38</v>
      </c>
      <c r="K298" s="11">
        <v>1628</v>
      </c>
      <c r="L298" s="13">
        <v>25</v>
      </c>
    </row>
    <row r="299" spans="1:12" ht="15" customHeight="1" x14ac:dyDescent="0.25">
      <c r="A299" s="12">
        <v>2800</v>
      </c>
      <c r="B299" s="11">
        <v>6</v>
      </c>
      <c r="C299" s="12">
        <v>1592</v>
      </c>
      <c r="D299" s="12">
        <v>37</v>
      </c>
      <c r="E299" s="12">
        <v>1820</v>
      </c>
      <c r="F299" s="11">
        <v>3020</v>
      </c>
      <c r="G299" s="12">
        <v>40</v>
      </c>
      <c r="H299" s="12">
        <v>30</v>
      </c>
      <c r="I299" s="12">
        <v>1660</v>
      </c>
      <c r="J299">
        <v>33</v>
      </c>
      <c r="K299" s="12">
        <v>1628</v>
      </c>
      <c r="L299" s="13">
        <v>30</v>
      </c>
    </row>
    <row r="300" spans="1:12" ht="15" customHeight="1" x14ac:dyDescent="0.25">
      <c r="A300" s="12">
        <v>2800</v>
      </c>
      <c r="B300" s="11">
        <v>10</v>
      </c>
      <c r="C300" s="12">
        <v>1592</v>
      </c>
      <c r="D300" s="12">
        <v>37</v>
      </c>
      <c r="E300" s="12">
        <v>1820</v>
      </c>
      <c r="F300" s="11">
        <v>3070</v>
      </c>
      <c r="G300" s="12">
        <v>40</v>
      </c>
      <c r="H300" s="12">
        <v>30</v>
      </c>
      <c r="I300" s="12">
        <v>1660</v>
      </c>
      <c r="J300">
        <v>23</v>
      </c>
      <c r="K300" s="12">
        <v>1628</v>
      </c>
      <c r="L300" s="13">
        <v>40</v>
      </c>
    </row>
    <row r="301" spans="1:12" ht="15" customHeight="1" x14ac:dyDescent="0.25">
      <c r="A301" s="11">
        <v>3000</v>
      </c>
      <c r="B301" s="11" t="s">
        <v>2399</v>
      </c>
      <c r="C301" s="11">
        <v>1592</v>
      </c>
      <c r="D301" s="11">
        <v>37</v>
      </c>
      <c r="E301" s="11">
        <v>1820</v>
      </c>
      <c r="F301" s="11">
        <v>3160</v>
      </c>
      <c r="G301" s="11">
        <v>40</v>
      </c>
      <c r="H301" s="11">
        <v>30</v>
      </c>
      <c r="I301" s="11">
        <v>1660</v>
      </c>
      <c r="J301">
        <v>38</v>
      </c>
      <c r="K301" s="11">
        <v>1628</v>
      </c>
      <c r="L301" s="13">
        <v>25</v>
      </c>
    </row>
    <row r="302" spans="1:12" ht="15" customHeight="1" x14ac:dyDescent="0.25">
      <c r="A302" s="12">
        <v>3000</v>
      </c>
      <c r="B302" s="11">
        <v>6</v>
      </c>
      <c r="C302" s="12">
        <v>1592</v>
      </c>
      <c r="D302" s="12">
        <v>37</v>
      </c>
      <c r="E302" s="12">
        <v>1820</v>
      </c>
      <c r="F302" s="11">
        <v>3220</v>
      </c>
      <c r="G302" s="12">
        <v>40</v>
      </c>
      <c r="H302" s="12">
        <v>30</v>
      </c>
      <c r="I302" s="12">
        <v>1660</v>
      </c>
      <c r="J302">
        <v>33</v>
      </c>
      <c r="K302" s="12">
        <v>1628</v>
      </c>
      <c r="L302" s="13">
        <v>30</v>
      </c>
    </row>
    <row r="303" spans="1:12" ht="15" customHeight="1" x14ac:dyDescent="0.25">
      <c r="A303" s="12">
        <v>3000</v>
      </c>
      <c r="B303" s="11">
        <v>10</v>
      </c>
      <c r="C303" s="12">
        <v>1592</v>
      </c>
      <c r="D303" s="12">
        <v>37</v>
      </c>
      <c r="E303" s="12">
        <v>1820</v>
      </c>
      <c r="F303" s="11">
        <v>3290</v>
      </c>
      <c r="G303" s="12">
        <v>40</v>
      </c>
      <c r="H303" s="12">
        <v>30</v>
      </c>
      <c r="I303" s="12">
        <v>1660</v>
      </c>
      <c r="J303">
        <v>18</v>
      </c>
      <c r="K303" s="12">
        <v>1628</v>
      </c>
      <c r="L303" s="13">
        <v>45</v>
      </c>
    </row>
    <row r="304" spans="1:12" ht="15" customHeight="1" x14ac:dyDescent="0.25">
      <c r="A304" s="11">
        <v>3200</v>
      </c>
      <c r="B304" s="11" t="s">
        <v>2399</v>
      </c>
      <c r="C304" s="11">
        <v>1592</v>
      </c>
      <c r="D304" s="11">
        <v>37</v>
      </c>
      <c r="E304" s="11">
        <v>1820</v>
      </c>
      <c r="F304" s="11">
        <v>3360</v>
      </c>
      <c r="G304" s="11">
        <v>40</v>
      </c>
      <c r="H304" s="11">
        <v>30</v>
      </c>
      <c r="I304" s="11">
        <v>1660</v>
      </c>
      <c r="J304">
        <v>38</v>
      </c>
      <c r="K304" s="11">
        <v>1628</v>
      </c>
      <c r="L304" s="13">
        <v>25</v>
      </c>
    </row>
    <row r="305" spans="1:12" ht="15" customHeight="1" x14ac:dyDescent="0.25">
      <c r="A305" s="12">
        <v>3200</v>
      </c>
      <c r="B305" s="11">
        <v>6</v>
      </c>
      <c r="C305" s="12">
        <v>1592</v>
      </c>
      <c r="D305" s="12">
        <v>37</v>
      </c>
      <c r="E305" s="12">
        <v>1820</v>
      </c>
      <c r="F305" s="11">
        <v>3430</v>
      </c>
      <c r="G305" s="12">
        <v>40</v>
      </c>
      <c r="H305" s="12">
        <v>30</v>
      </c>
      <c r="I305" s="12">
        <v>1660</v>
      </c>
      <c r="J305">
        <v>33</v>
      </c>
      <c r="K305" s="12">
        <v>1628</v>
      </c>
      <c r="L305" s="13">
        <v>30</v>
      </c>
    </row>
    <row r="306" spans="1:12" ht="15" customHeight="1" x14ac:dyDescent="0.25">
      <c r="A306" s="11">
        <v>3400</v>
      </c>
      <c r="B306" s="11" t="s">
        <v>2399</v>
      </c>
      <c r="C306" s="11">
        <v>1592</v>
      </c>
      <c r="D306" s="11">
        <v>37</v>
      </c>
      <c r="E306" s="11">
        <v>1820</v>
      </c>
      <c r="F306" s="11">
        <v>3560</v>
      </c>
      <c r="G306" s="11">
        <v>40</v>
      </c>
      <c r="H306" s="11">
        <v>30</v>
      </c>
      <c r="I306" s="11">
        <v>1660</v>
      </c>
      <c r="J306">
        <v>35</v>
      </c>
      <c r="K306" s="11">
        <v>1628</v>
      </c>
      <c r="L306" s="13">
        <v>28</v>
      </c>
    </row>
    <row r="307" spans="1:12" ht="15" customHeight="1" x14ac:dyDescent="0.25">
      <c r="A307" s="12">
        <v>3400</v>
      </c>
      <c r="B307" s="11">
        <v>6</v>
      </c>
      <c r="C307" s="12">
        <v>1592</v>
      </c>
      <c r="D307" s="12">
        <v>37</v>
      </c>
      <c r="E307" s="12">
        <v>1820</v>
      </c>
      <c r="F307" s="11">
        <v>3640</v>
      </c>
      <c r="G307" s="12">
        <v>40</v>
      </c>
      <c r="H307" s="12">
        <v>30</v>
      </c>
      <c r="I307" s="12">
        <v>1660</v>
      </c>
      <c r="J307">
        <v>28</v>
      </c>
      <c r="K307" s="12">
        <v>1628</v>
      </c>
      <c r="L307" s="13">
        <v>35</v>
      </c>
    </row>
    <row r="308" spans="1:12" ht="15" customHeight="1" x14ac:dyDescent="0.25">
      <c r="A308" s="11">
        <v>3600</v>
      </c>
      <c r="B308" s="11" t="s">
        <v>2399</v>
      </c>
      <c r="C308" s="11">
        <v>1592</v>
      </c>
      <c r="D308" s="11">
        <v>37</v>
      </c>
      <c r="E308" s="11">
        <v>1820</v>
      </c>
      <c r="F308" s="11">
        <v>3770</v>
      </c>
      <c r="G308" s="11">
        <v>40</v>
      </c>
      <c r="H308" s="11">
        <v>30</v>
      </c>
      <c r="I308" s="11">
        <v>1660</v>
      </c>
      <c r="J308">
        <v>35</v>
      </c>
      <c r="K308" s="11">
        <v>1628</v>
      </c>
      <c r="L308" s="13">
        <v>28</v>
      </c>
    </row>
    <row r="309" spans="1:12" ht="15" customHeight="1" x14ac:dyDescent="0.25">
      <c r="A309" s="12">
        <v>3600</v>
      </c>
      <c r="B309" s="11">
        <v>6</v>
      </c>
      <c r="C309" s="12">
        <v>1592</v>
      </c>
      <c r="D309" s="12">
        <v>37</v>
      </c>
      <c r="E309" s="12">
        <v>1820</v>
      </c>
      <c r="F309" s="11">
        <v>3860</v>
      </c>
      <c r="G309" s="12">
        <v>40</v>
      </c>
      <c r="H309" s="12">
        <v>30</v>
      </c>
      <c r="I309" s="12">
        <v>1660</v>
      </c>
      <c r="J309">
        <v>28</v>
      </c>
      <c r="K309" s="12">
        <v>1628</v>
      </c>
      <c r="L309" s="13">
        <v>35</v>
      </c>
    </row>
    <row r="310" spans="1:12" ht="15" customHeight="1" x14ac:dyDescent="0.25">
      <c r="A310" s="11">
        <v>3800</v>
      </c>
      <c r="B310" s="11" t="s">
        <v>2399</v>
      </c>
      <c r="C310" s="11">
        <v>1592</v>
      </c>
      <c r="D310" s="11">
        <v>37</v>
      </c>
      <c r="E310" s="11">
        <v>1820</v>
      </c>
      <c r="F310" s="11">
        <v>3970</v>
      </c>
      <c r="G310" s="11">
        <v>40</v>
      </c>
      <c r="H310" s="11">
        <v>30</v>
      </c>
      <c r="I310" s="11">
        <v>1660</v>
      </c>
      <c r="J310">
        <v>35</v>
      </c>
      <c r="K310" s="11">
        <v>1628</v>
      </c>
      <c r="L310" s="13">
        <v>28</v>
      </c>
    </row>
    <row r="311" spans="1:12" ht="15" customHeight="1" x14ac:dyDescent="0.25">
      <c r="A311" s="11">
        <v>4000</v>
      </c>
      <c r="B311" s="11" t="s">
        <v>2399</v>
      </c>
      <c r="C311" s="11">
        <v>1592</v>
      </c>
      <c r="D311" s="11">
        <v>37</v>
      </c>
      <c r="E311" s="11">
        <v>1820</v>
      </c>
      <c r="F311" s="11">
        <v>4170</v>
      </c>
      <c r="G311" s="11">
        <v>40</v>
      </c>
      <c r="H311" s="11">
        <v>30</v>
      </c>
      <c r="I311" s="11">
        <v>1660</v>
      </c>
      <c r="J311">
        <v>35</v>
      </c>
      <c r="K311" s="11">
        <v>1628</v>
      </c>
      <c r="L311" s="13">
        <v>28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4B4-8B40-4ED2-8311-C684DF85D1F4}">
  <sheetPr codeName="Лист19"/>
  <dimension ref="A1:U140"/>
  <sheetViews>
    <sheetView tabSelected="1" workbookViewId="0">
      <selection activeCell="N12" sqref="N12"/>
    </sheetView>
  </sheetViews>
  <sheetFormatPr defaultRowHeight="15" x14ac:dyDescent="0.25"/>
  <sheetData>
    <row r="1" spans="1:21" ht="45" x14ac:dyDescent="0.2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2792</v>
      </c>
      <c r="J1" s="13" t="s">
        <v>2793</v>
      </c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x14ac:dyDescent="0.25">
      <c r="A2" s="11">
        <v>10</v>
      </c>
      <c r="B2" s="11">
        <v>1</v>
      </c>
      <c r="C2" s="11">
        <v>16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35</v>
      </c>
      <c r="J2" s="11">
        <v>8</v>
      </c>
    </row>
    <row r="3" spans="1:21" ht="15" customHeight="1" x14ac:dyDescent="0.25">
      <c r="A3" s="12">
        <v>10</v>
      </c>
      <c r="B3" s="11" t="s">
        <v>2399</v>
      </c>
      <c r="C3" s="12">
        <v>16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35</v>
      </c>
      <c r="J3" s="12">
        <v>8</v>
      </c>
    </row>
    <row r="4" spans="1:21" x14ac:dyDescent="0.25">
      <c r="A4" s="12">
        <v>10</v>
      </c>
      <c r="B4" s="11">
        <v>6</v>
      </c>
      <c r="C4" s="12">
        <v>16</v>
      </c>
      <c r="D4" s="12">
        <v>10</v>
      </c>
      <c r="E4" s="12">
        <v>75</v>
      </c>
      <c r="F4" s="12">
        <v>50</v>
      </c>
      <c r="G4" s="12">
        <v>4</v>
      </c>
      <c r="H4" s="12">
        <v>10</v>
      </c>
      <c r="I4" s="12">
        <v>35</v>
      </c>
      <c r="J4" s="12">
        <v>8</v>
      </c>
    </row>
    <row r="5" spans="1:21" ht="15" customHeight="1" x14ac:dyDescent="0.25">
      <c r="A5" s="12">
        <v>10</v>
      </c>
      <c r="B5" s="11">
        <v>10</v>
      </c>
      <c r="C5" s="12">
        <v>16</v>
      </c>
      <c r="D5" s="11">
        <v>12</v>
      </c>
      <c r="E5" s="13">
        <v>90</v>
      </c>
      <c r="F5" s="11">
        <v>60</v>
      </c>
      <c r="G5" s="12">
        <v>4</v>
      </c>
      <c r="H5" s="13">
        <v>12</v>
      </c>
      <c r="I5" s="11">
        <v>42</v>
      </c>
      <c r="J5" s="11">
        <v>10</v>
      </c>
    </row>
    <row r="6" spans="1:21" x14ac:dyDescent="0.25">
      <c r="A6" s="12">
        <v>10</v>
      </c>
      <c r="B6" s="11">
        <v>16</v>
      </c>
      <c r="C6" s="12">
        <v>16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2">
        <v>42</v>
      </c>
      <c r="J6" s="11">
        <v>12</v>
      </c>
    </row>
    <row r="7" spans="1:21" x14ac:dyDescent="0.25">
      <c r="A7" s="12">
        <v>10</v>
      </c>
      <c r="B7" s="11">
        <v>25</v>
      </c>
      <c r="C7" s="12">
        <v>16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42</v>
      </c>
      <c r="J7" s="11">
        <v>14</v>
      </c>
    </row>
    <row r="8" spans="1:21" x14ac:dyDescent="0.25">
      <c r="A8" s="11">
        <v>15</v>
      </c>
      <c r="B8" s="11">
        <v>1</v>
      </c>
      <c r="C8" s="11">
        <v>20</v>
      </c>
      <c r="D8" s="11">
        <v>10</v>
      </c>
      <c r="E8" s="11">
        <v>80</v>
      </c>
      <c r="F8" s="11">
        <v>55</v>
      </c>
      <c r="G8" s="11">
        <v>4</v>
      </c>
      <c r="H8" s="11">
        <v>10</v>
      </c>
      <c r="I8" s="11">
        <v>40</v>
      </c>
      <c r="J8" s="11">
        <v>8</v>
      </c>
    </row>
    <row r="9" spans="1:21" ht="15" customHeight="1" x14ac:dyDescent="0.25">
      <c r="A9" s="12">
        <v>15</v>
      </c>
      <c r="B9" s="11" t="s">
        <v>2399</v>
      </c>
      <c r="C9" s="12">
        <v>20</v>
      </c>
      <c r="D9" s="12">
        <v>10</v>
      </c>
      <c r="E9" s="13">
        <v>80</v>
      </c>
      <c r="F9" s="12">
        <v>55</v>
      </c>
      <c r="G9" s="13">
        <v>4</v>
      </c>
      <c r="H9" s="13">
        <v>10</v>
      </c>
      <c r="I9" s="12">
        <v>40</v>
      </c>
      <c r="J9" s="12">
        <v>8</v>
      </c>
    </row>
    <row r="10" spans="1:21" x14ac:dyDescent="0.25">
      <c r="A10" s="12">
        <v>15</v>
      </c>
      <c r="B10" s="11">
        <v>6</v>
      </c>
      <c r="C10" s="12">
        <v>20</v>
      </c>
      <c r="D10" s="12">
        <v>10</v>
      </c>
      <c r="E10" s="12">
        <v>80</v>
      </c>
      <c r="F10" s="12">
        <v>55</v>
      </c>
      <c r="G10" s="12">
        <v>4</v>
      </c>
      <c r="H10" s="12">
        <v>10</v>
      </c>
      <c r="I10" s="12">
        <v>40</v>
      </c>
      <c r="J10" s="12">
        <v>8</v>
      </c>
    </row>
    <row r="11" spans="1:21" ht="15" customHeight="1" x14ac:dyDescent="0.25">
      <c r="A11" s="12">
        <v>15</v>
      </c>
      <c r="B11" s="11">
        <v>10</v>
      </c>
      <c r="C11" s="12">
        <v>20</v>
      </c>
      <c r="D11" s="11">
        <v>12</v>
      </c>
      <c r="E11" s="13">
        <v>95</v>
      </c>
      <c r="F11" s="11">
        <v>65</v>
      </c>
      <c r="G11" s="12">
        <v>4</v>
      </c>
      <c r="H11" s="13">
        <v>12</v>
      </c>
      <c r="I11" s="11">
        <v>47</v>
      </c>
      <c r="J11" s="11">
        <v>10</v>
      </c>
    </row>
    <row r="12" spans="1:21" x14ac:dyDescent="0.25">
      <c r="A12" s="12">
        <v>15</v>
      </c>
      <c r="B12" s="11">
        <v>16</v>
      </c>
      <c r="C12" s="12">
        <v>20</v>
      </c>
      <c r="D12" s="11">
        <v>14</v>
      </c>
      <c r="E12" s="12">
        <v>95</v>
      </c>
      <c r="F12" s="12">
        <v>65</v>
      </c>
      <c r="G12" s="12">
        <v>4</v>
      </c>
      <c r="H12" s="12">
        <v>12</v>
      </c>
      <c r="I12" s="12">
        <v>47</v>
      </c>
      <c r="J12" s="11">
        <v>12</v>
      </c>
    </row>
    <row r="13" spans="1:21" x14ac:dyDescent="0.25">
      <c r="A13" s="12">
        <v>15</v>
      </c>
      <c r="B13" s="11">
        <v>25</v>
      </c>
      <c r="C13" s="12">
        <v>20</v>
      </c>
      <c r="D13" s="11">
        <v>16</v>
      </c>
      <c r="E13" s="12">
        <v>95</v>
      </c>
      <c r="F13" s="12">
        <v>65</v>
      </c>
      <c r="G13" s="12">
        <v>4</v>
      </c>
      <c r="H13" s="12">
        <v>12</v>
      </c>
      <c r="I13" s="12">
        <v>47</v>
      </c>
      <c r="J13" s="11">
        <v>14</v>
      </c>
    </row>
    <row r="14" spans="1:21" x14ac:dyDescent="0.25">
      <c r="A14" s="11">
        <v>20</v>
      </c>
      <c r="B14" s="11">
        <v>1</v>
      </c>
      <c r="C14" s="11">
        <v>27</v>
      </c>
      <c r="D14" s="11">
        <v>10</v>
      </c>
      <c r="E14" s="11">
        <v>90</v>
      </c>
      <c r="F14" s="11">
        <v>65</v>
      </c>
      <c r="G14" s="11">
        <v>4</v>
      </c>
      <c r="H14" s="11">
        <v>10</v>
      </c>
      <c r="I14" s="11">
        <v>50</v>
      </c>
      <c r="J14" s="11">
        <v>10</v>
      </c>
    </row>
    <row r="15" spans="1:21" ht="15" customHeight="1" x14ac:dyDescent="0.25">
      <c r="A15" s="12">
        <v>20</v>
      </c>
      <c r="B15" s="11" t="s">
        <v>2399</v>
      </c>
      <c r="C15" s="12">
        <v>27</v>
      </c>
      <c r="D15" s="12">
        <v>10</v>
      </c>
      <c r="E15" s="13">
        <v>90</v>
      </c>
      <c r="F15" s="12">
        <v>65</v>
      </c>
      <c r="G15" s="13">
        <v>4</v>
      </c>
      <c r="H15" s="13">
        <v>10</v>
      </c>
      <c r="I15" s="12">
        <v>50</v>
      </c>
      <c r="J15" s="12">
        <v>10</v>
      </c>
    </row>
    <row r="16" spans="1:21" x14ac:dyDescent="0.25">
      <c r="A16" s="12">
        <v>20</v>
      </c>
      <c r="B16" s="11">
        <v>6</v>
      </c>
      <c r="C16" s="12">
        <v>27</v>
      </c>
      <c r="D16" s="12">
        <v>10</v>
      </c>
      <c r="E16" s="12">
        <v>90</v>
      </c>
      <c r="F16" s="12">
        <v>65</v>
      </c>
      <c r="G16" s="12">
        <v>4</v>
      </c>
      <c r="H16" s="12">
        <v>10</v>
      </c>
      <c r="I16" s="12">
        <v>50</v>
      </c>
      <c r="J16" s="12">
        <v>10</v>
      </c>
    </row>
    <row r="17" spans="1:10" ht="15" customHeight="1" x14ac:dyDescent="0.25">
      <c r="A17" s="12">
        <v>20</v>
      </c>
      <c r="B17" s="11">
        <v>10</v>
      </c>
      <c r="C17" s="12">
        <v>27</v>
      </c>
      <c r="D17" s="11">
        <v>14</v>
      </c>
      <c r="E17" s="13">
        <v>105</v>
      </c>
      <c r="F17" s="11">
        <v>75</v>
      </c>
      <c r="G17" s="12">
        <v>4</v>
      </c>
      <c r="H17" s="13">
        <v>12</v>
      </c>
      <c r="I17" s="11">
        <v>58</v>
      </c>
      <c r="J17" s="11">
        <v>12</v>
      </c>
    </row>
    <row r="18" spans="1:10" x14ac:dyDescent="0.25">
      <c r="A18" s="12">
        <v>20</v>
      </c>
      <c r="B18" s="11">
        <v>16</v>
      </c>
      <c r="C18" s="12">
        <v>27</v>
      </c>
      <c r="D18" s="11">
        <v>16</v>
      </c>
      <c r="E18" s="12">
        <v>105</v>
      </c>
      <c r="F18" s="12">
        <v>75</v>
      </c>
      <c r="G18" s="12">
        <v>4</v>
      </c>
      <c r="H18" s="12">
        <v>12</v>
      </c>
      <c r="I18" s="12">
        <v>58</v>
      </c>
      <c r="J18" s="11">
        <v>14</v>
      </c>
    </row>
    <row r="19" spans="1:10" x14ac:dyDescent="0.25">
      <c r="A19" s="12">
        <v>20</v>
      </c>
      <c r="B19" s="11">
        <v>25</v>
      </c>
      <c r="C19" s="12">
        <v>27</v>
      </c>
      <c r="D19" s="11">
        <v>18</v>
      </c>
      <c r="E19" s="12">
        <v>105</v>
      </c>
      <c r="F19" s="12">
        <v>75</v>
      </c>
      <c r="G19" s="12">
        <v>4</v>
      </c>
      <c r="H19" s="12">
        <v>12</v>
      </c>
      <c r="I19" s="12">
        <v>58</v>
      </c>
      <c r="J19" s="11">
        <v>16</v>
      </c>
    </row>
    <row r="20" spans="1:10" x14ac:dyDescent="0.25">
      <c r="A20" s="11">
        <v>25</v>
      </c>
      <c r="B20" s="11">
        <v>1</v>
      </c>
      <c r="C20" s="11">
        <v>34</v>
      </c>
      <c r="D20" s="11">
        <v>12</v>
      </c>
      <c r="E20" s="11">
        <v>100</v>
      </c>
      <c r="F20" s="11">
        <v>75</v>
      </c>
      <c r="G20" s="11">
        <v>4</v>
      </c>
      <c r="H20" s="11">
        <v>10</v>
      </c>
      <c r="I20" s="11">
        <v>60</v>
      </c>
      <c r="J20" s="11">
        <v>10</v>
      </c>
    </row>
    <row r="21" spans="1:10" ht="15" customHeight="1" x14ac:dyDescent="0.25">
      <c r="A21" s="12">
        <v>25</v>
      </c>
      <c r="B21" s="11" t="s">
        <v>2399</v>
      </c>
      <c r="C21" s="12">
        <v>34</v>
      </c>
      <c r="D21" s="12">
        <v>12</v>
      </c>
      <c r="E21" s="13">
        <v>100</v>
      </c>
      <c r="F21" s="12">
        <v>75</v>
      </c>
      <c r="G21" s="13">
        <v>4</v>
      </c>
      <c r="H21" s="13">
        <v>10</v>
      </c>
      <c r="I21" s="12">
        <v>60</v>
      </c>
      <c r="J21" s="12">
        <v>10</v>
      </c>
    </row>
    <row r="22" spans="1:10" x14ac:dyDescent="0.25">
      <c r="A22" s="12">
        <v>25</v>
      </c>
      <c r="B22" s="11">
        <v>6</v>
      </c>
      <c r="C22" s="12">
        <v>34</v>
      </c>
      <c r="D22" s="12">
        <v>12</v>
      </c>
      <c r="E22" s="12">
        <v>100</v>
      </c>
      <c r="F22" s="12">
        <v>75</v>
      </c>
      <c r="G22" s="12">
        <v>4</v>
      </c>
      <c r="H22" s="12">
        <v>10</v>
      </c>
      <c r="I22" s="12">
        <v>60</v>
      </c>
      <c r="J22" s="12">
        <v>10</v>
      </c>
    </row>
    <row r="23" spans="1:10" ht="15" customHeight="1" x14ac:dyDescent="0.25">
      <c r="A23" s="12">
        <v>25</v>
      </c>
      <c r="B23" s="11">
        <v>10</v>
      </c>
      <c r="C23" s="12">
        <v>34</v>
      </c>
      <c r="D23" s="11">
        <v>14</v>
      </c>
      <c r="E23" s="13">
        <v>115</v>
      </c>
      <c r="F23" s="11">
        <v>85</v>
      </c>
      <c r="G23" s="12">
        <v>4</v>
      </c>
      <c r="H23" s="13">
        <v>12</v>
      </c>
      <c r="I23" s="11">
        <v>68</v>
      </c>
      <c r="J23" s="11">
        <v>12</v>
      </c>
    </row>
    <row r="24" spans="1:10" x14ac:dyDescent="0.25">
      <c r="A24" s="12">
        <v>25</v>
      </c>
      <c r="B24" s="11">
        <v>16</v>
      </c>
      <c r="C24" s="12">
        <v>34</v>
      </c>
      <c r="D24" s="11">
        <v>16</v>
      </c>
      <c r="E24" s="12">
        <v>115</v>
      </c>
      <c r="F24" s="12">
        <v>85</v>
      </c>
      <c r="G24" s="12">
        <v>4</v>
      </c>
      <c r="H24" s="12">
        <v>12</v>
      </c>
      <c r="I24" s="12">
        <v>68</v>
      </c>
      <c r="J24" s="11">
        <v>14</v>
      </c>
    </row>
    <row r="25" spans="1:10" x14ac:dyDescent="0.25">
      <c r="A25" s="12">
        <v>25</v>
      </c>
      <c r="B25" s="11">
        <v>25</v>
      </c>
      <c r="C25" s="12">
        <v>34</v>
      </c>
      <c r="D25" s="11">
        <v>18</v>
      </c>
      <c r="E25" s="12">
        <v>115</v>
      </c>
      <c r="F25" s="12">
        <v>85</v>
      </c>
      <c r="G25" s="12">
        <v>4</v>
      </c>
      <c r="H25" s="12">
        <v>12</v>
      </c>
      <c r="I25" s="12">
        <v>68</v>
      </c>
      <c r="J25" s="11">
        <v>16</v>
      </c>
    </row>
    <row r="26" spans="1:10" x14ac:dyDescent="0.25">
      <c r="A26" s="11">
        <v>32</v>
      </c>
      <c r="B26" s="11">
        <v>1</v>
      </c>
      <c r="C26" s="11">
        <v>41</v>
      </c>
      <c r="D26" s="11">
        <v>12</v>
      </c>
      <c r="E26" s="11">
        <v>120</v>
      </c>
      <c r="F26" s="11">
        <v>90</v>
      </c>
      <c r="G26" s="11">
        <v>4</v>
      </c>
      <c r="H26" s="11">
        <v>12</v>
      </c>
      <c r="I26" s="11">
        <v>70</v>
      </c>
      <c r="J26" s="11">
        <v>10</v>
      </c>
    </row>
    <row r="27" spans="1:10" ht="15" customHeight="1" x14ac:dyDescent="0.25">
      <c r="A27" s="12">
        <v>32</v>
      </c>
      <c r="B27" s="11" t="s">
        <v>2399</v>
      </c>
      <c r="C27" s="12">
        <v>41</v>
      </c>
      <c r="D27" s="12">
        <v>12</v>
      </c>
      <c r="E27" s="13">
        <v>120</v>
      </c>
      <c r="F27" s="12">
        <v>90</v>
      </c>
      <c r="G27" s="13">
        <v>4</v>
      </c>
      <c r="H27" s="13">
        <v>12</v>
      </c>
      <c r="I27" s="12">
        <v>70</v>
      </c>
      <c r="J27" s="12">
        <v>10</v>
      </c>
    </row>
    <row r="28" spans="1:10" x14ac:dyDescent="0.25">
      <c r="A28" s="12">
        <v>32</v>
      </c>
      <c r="B28" s="11">
        <v>6</v>
      </c>
      <c r="C28" s="12">
        <v>41</v>
      </c>
      <c r="D28" s="12">
        <v>12</v>
      </c>
      <c r="E28" s="12">
        <v>120</v>
      </c>
      <c r="F28" s="12">
        <v>90</v>
      </c>
      <c r="G28" s="12">
        <v>4</v>
      </c>
      <c r="H28" s="12">
        <v>12</v>
      </c>
      <c r="I28" s="12">
        <v>70</v>
      </c>
      <c r="J28" s="12">
        <v>10</v>
      </c>
    </row>
    <row r="29" spans="1:10" ht="15" customHeight="1" x14ac:dyDescent="0.25">
      <c r="A29" s="12">
        <v>32</v>
      </c>
      <c r="B29" s="11">
        <v>10</v>
      </c>
      <c r="C29" s="12">
        <v>41</v>
      </c>
      <c r="D29" s="11">
        <v>16</v>
      </c>
      <c r="E29" s="11">
        <v>135</v>
      </c>
      <c r="F29" s="11">
        <v>100</v>
      </c>
      <c r="G29" s="12">
        <v>4</v>
      </c>
      <c r="H29" s="13">
        <v>16</v>
      </c>
      <c r="I29" s="11">
        <v>78</v>
      </c>
      <c r="J29" s="11">
        <v>12</v>
      </c>
    </row>
    <row r="30" spans="1:10" x14ac:dyDescent="0.25">
      <c r="A30" s="12">
        <v>32</v>
      </c>
      <c r="B30" s="11">
        <v>16</v>
      </c>
      <c r="C30" s="12">
        <v>41</v>
      </c>
      <c r="D30" s="11">
        <v>18</v>
      </c>
      <c r="E30" s="12">
        <v>135</v>
      </c>
      <c r="F30" s="12">
        <v>100</v>
      </c>
      <c r="G30" s="12">
        <v>4</v>
      </c>
      <c r="H30" s="12">
        <v>16</v>
      </c>
      <c r="I30" s="12">
        <v>78</v>
      </c>
      <c r="J30" s="11">
        <v>16</v>
      </c>
    </row>
    <row r="31" spans="1:10" x14ac:dyDescent="0.25">
      <c r="A31" s="12">
        <v>32</v>
      </c>
      <c r="B31" s="11">
        <v>25</v>
      </c>
      <c r="C31" s="12">
        <v>41</v>
      </c>
      <c r="D31" s="11">
        <v>20</v>
      </c>
      <c r="E31" s="12">
        <v>135</v>
      </c>
      <c r="F31" s="12">
        <v>100</v>
      </c>
      <c r="G31" s="12">
        <v>4</v>
      </c>
      <c r="H31" s="12">
        <v>16</v>
      </c>
      <c r="I31" s="12">
        <v>78</v>
      </c>
      <c r="J31" s="12">
        <v>16</v>
      </c>
    </row>
    <row r="32" spans="1:10" x14ac:dyDescent="0.25">
      <c r="A32" s="11">
        <v>40</v>
      </c>
      <c r="B32" s="11">
        <v>1</v>
      </c>
      <c r="C32" s="11">
        <v>48</v>
      </c>
      <c r="D32" s="11">
        <v>12</v>
      </c>
      <c r="E32" s="11">
        <v>130</v>
      </c>
      <c r="F32" s="11">
        <v>100</v>
      </c>
      <c r="G32" s="11">
        <v>4</v>
      </c>
      <c r="H32" s="11">
        <v>12</v>
      </c>
      <c r="I32" s="11">
        <v>80</v>
      </c>
      <c r="J32" s="11">
        <v>10</v>
      </c>
    </row>
    <row r="33" spans="1:10" ht="15" customHeight="1" x14ac:dyDescent="0.25">
      <c r="A33" s="12">
        <v>40</v>
      </c>
      <c r="B33" s="11" t="s">
        <v>2399</v>
      </c>
      <c r="C33" s="12">
        <v>48</v>
      </c>
      <c r="D33" s="12">
        <v>12</v>
      </c>
      <c r="E33" s="13">
        <v>130</v>
      </c>
      <c r="F33" s="12">
        <v>100</v>
      </c>
      <c r="G33" s="13">
        <v>4</v>
      </c>
      <c r="H33" s="13">
        <v>12</v>
      </c>
      <c r="I33" s="12">
        <v>80</v>
      </c>
      <c r="J33" s="12">
        <v>10</v>
      </c>
    </row>
    <row r="34" spans="1:10" x14ac:dyDescent="0.25">
      <c r="A34" s="12">
        <v>40</v>
      </c>
      <c r="B34" s="11">
        <v>6</v>
      </c>
      <c r="C34" s="12">
        <v>48</v>
      </c>
      <c r="D34" s="12">
        <v>12</v>
      </c>
      <c r="E34" s="12">
        <v>130</v>
      </c>
      <c r="F34" s="12">
        <v>100</v>
      </c>
      <c r="G34" s="12">
        <v>4</v>
      </c>
      <c r="H34" s="12">
        <v>12</v>
      </c>
      <c r="I34" s="12">
        <v>80</v>
      </c>
      <c r="J34" s="12">
        <v>10</v>
      </c>
    </row>
    <row r="35" spans="1:10" ht="15" customHeight="1" x14ac:dyDescent="0.25">
      <c r="A35" s="12">
        <v>40</v>
      </c>
      <c r="B35" s="11">
        <v>10</v>
      </c>
      <c r="C35" s="12">
        <v>48</v>
      </c>
      <c r="D35" s="11">
        <v>18</v>
      </c>
      <c r="E35" s="11">
        <v>145</v>
      </c>
      <c r="F35" s="11">
        <v>110</v>
      </c>
      <c r="G35" s="12">
        <v>4</v>
      </c>
      <c r="H35" s="13">
        <v>16</v>
      </c>
      <c r="I35" s="11">
        <v>88</v>
      </c>
      <c r="J35" s="11">
        <v>12</v>
      </c>
    </row>
    <row r="36" spans="1:10" x14ac:dyDescent="0.25">
      <c r="A36" s="12">
        <v>40</v>
      </c>
      <c r="B36" s="11">
        <v>16</v>
      </c>
      <c r="C36" s="12">
        <v>48</v>
      </c>
      <c r="D36" s="11">
        <v>20</v>
      </c>
      <c r="E36" s="12">
        <v>145</v>
      </c>
      <c r="F36" s="12">
        <v>110</v>
      </c>
      <c r="G36" s="12">
        <v>4</v>
      </c>
      <c r="H36" s="12">
        <v>16</v>
      </c>
      <c r="I36" s="12">
        <v>88</v>
      </c>
      <c r="J36" s="11">
        <v>16</v>
      </c>
    </row>
    <row r="37" spans="1:10" x14ac:dyDescent="0.25">
      <c r="A37" s="12">
        <v>40</v>
      </c>
      <c r="B37" s="11">
        <v>25</v>
      </c>
      <c r="C37" s="12">
        <v>48</v>
      </c>
      <c r="D37" s="11">
        <v>22</v>
      </c>
      <c r="E37" s="12">
        <v>145</v>
      </c>
      <c r="F37" s="12">
        <v>110</v>
      </c>
      <c r="G37" s="12">
        <v>4</v>
      </c>
      <c r="H37" s="12">
        <v>16</v>
      </c>
      <c r="I37" s="12">
        <v>88</v>
      </c>
      <c r="J37" s="11">
        <v>18</v>
      </c>
    </row>
    <row r="38" spans="1:10" x14ac:dyDescent="0.25">
      <c r="A38" s="11">
        <v>50</v>
      </c>
      <c r="B38" s="11">
        <v>1</v>
      </c>
      <c r="C38" s="11">
        <v>61</v>
      </c>
      <c r="D38" s="11">
        <v>12</v>
      </c>
      <c r="E38" s="11">
        <v>140</v>
      </c>
      <c r="F38" s="11">
        <v>110</v>
      </c>
      <c r="G38" s="11">
        <v>4</v>
      </c>
      <c r="H38" s="11">
        <v>12</v>
      </c>
      <c r="I38" s="11">
        <v>90</v>
      </c>
      <c r="J38" s="11">
        <v>12</v>
      </c>
    </row>
    <row r="39" spans="1:10" ht="15" customHeight="1" x14ac:dyDescent="0.25">
      <c r="A39" s="12">
        <v>50</v>
      </c>
      <c r="B39" s="11" t="s">
        <v>2399</v>
      </c>
      <c r="C39" s="12">
        <v>61</v>
      </c>
      <c r="D39" s="12">
        <v>12</v>
      </c>
      <c r="E39" s="13">
        <v>140</v>
      </c>
      <c r="F39" s="12">
        <v>110</v>
      </c>
      <c r="G39" s="13">
        <v>4</v>
      </c>
      <c r="H39" s="13">
        <v>12</v>
      </c>
      <c r="I39" s="12">
        <v>90</v>
      </c>
      <c r="J39" s="12">
        <v>12</v>
      </c>
    </row>
    <row r="40" spans="1:10" x14ac:dyDescent="0.25">
      <c r="A40" s="12">
        <v>50</v>
      </c>
      <c r="B40" s="11">
        <v>6</v>
      </c>
      <c r="C40" s="12">
        <v>61</v>
      </c>
      <c r="D40" s="12">
        <v>12</v>
      </c>
      <c r="E40" s="12">
        <v>140</v>
      </c>
      <c r="F40" s="12">
        <v>110</v>
      </c>
      <c r="G40" s="12">
        <v>4</v>
      </c>
      <c r="H40" s="12">
        <v>12</v>
      </c>
      <c r="I40" s="12">
        <v>90</v>
      </c>
      <c r="J40" s="12">
        <v>12</v>
      </c>
    </row>
    <row r="41" spans="1:10" ht="15" customHeight="1" x14ac:dyDescent="0.25">
      <c r="A41" s="12">
        <v>50</v>
      </c>
      <c r="B41" s="11">
        <v>10</v>
      </c>
      <c r="C41" s="12">
        <v>61</v>
      </c>
      <c r="D41" s="11">
        <v>18</v>
      </c>
      <c r="E41" s="11">
        <v>160</v>
      </c>
      <c r="F41" s="11">
        <v>125</v>
      </c>
      <c r="G41" s="12">
        <v>4</v>
      </c>
      <c r="H41" s="13">
        <v>16</v>
      </c>
      <c r="I41" s="11">
        <v>102</v>
      </c>
      <c r="J41" s="11">
        <v>14</v>
      </c>
    </row>
    <row r="42" spans="1:10" x14ac:dyDescent="0.25">
      <c r="A42" s="12">
        <v>50</v>
      </c>
      <c r="B42" s="11">
        <v>16</v>
      </c>
      <c r="C42" s="12">
        <v>61</v>
      </c>
      <c r="D42" s="11">
        <v>20</v>
      </c>
      <c r="E42" s="12">
        <v>160</v>
      </c>
      <c r="F42" s="12">
        <v>125</v>
      </c>
      <c r="G42" s="12">
        <v>4</v>
      </c>
      <c r="H42" s="12">
        <v>16</v>
      </c>
      <c r="I42" s="12">
        <v>102</v>
      </c>
      <c r="J42" s="11">
        <v>16</v>
      </c>
    </row>
    <row r="43" spans="1:10" x14ac:dyDescent="0.25">
      <c r="A43" s="12">
        <v>50</v>
      </c>
      <c r="B43" s="11">
        <v>25</v>
      </c>
      <c r="C43" s="12">
        <v>61</v>
      </c>
      <c r="D43" s="11">
        <v>22</v>
      </c>
      <c r="E43" s="12">
        <v>160</v>
      </c>
      <c r="F43" s="12">
        <v>125</v>
      </c>
      <c r="G43" s="12">
        <v>4</v>
      </c>
      <c r="H43" s="12">
        <v>16</v>
      </c>
      <c r="I43" s="12">
        <v>102</v>
      </c>
      <c r="J43" s="11">
        <v>18</v>
      </c>
    </row>
    <row r="44" spans="1:10" x14ac:dyDescent="0.25">
      <c r="A44" s="11">
        <v>65</v>
      </c>
      <c r="B44" s="11">
        <v>1</v>
      </c>
      <c r="C44" s="11">
        <v>80</v>
      </c>
      <c r="D44" s="11">
        <v>14</v>
      </c>
      <c r="E44" s="11">
        <v>160</v>
      </c>
      <c r="F44" s="11">
        <v>130</v>
      </c>
      <c r="G44" s="11">
        <v>4</v>
      </c>
      <c r="H44" s="11">
        <v>12</v>
      </c>
      <c r="I44" s="11">
        <v>110</v>
      </c>
      <c r="J44" s="11">
        <v>14</v>
      </c>
    </row>
    <row r="45" spans="1:10" ht="15" customHeight="1" x14ac:dyDescent="0.25">
      <c r="A45" s="12">
        <v>65</v>
      </c>
      <c r="B45" s="11" t="s">
        <v>2399</v>
      </c>
      <c r="C45" s="12">
        <v>80</v>
      </c>
      <c r="D45" s="12">
        <v>14</v>
      </c>
      <c r="E45" s="13">
        <v>160</v>
      </c>
      <c r="F45" s="12">
        <v>130</v>
      </c>
      <c r="G45" s="13">
        <v>4</v>
      </c>
      <c r="H45" s="13">
        <v>12</v>
      </c>
      <c r="I45" s="12">
        <v>110</v>
      </c>
      <c r="J45" s="12">
        <v>14</v>
      </c>
    </row>
    <row r="46" spans="1:10" x14ac:dyDescent="0.25">
      <c r="A46" s="12">
        <v>65</v>
      </c>
      <c r="B46" s="11">
        <v>6</v>
      </c>
      <c r="C46" s="12">
        <v>80</v>
      </c>
      <c r="D46" s="12">
        <v>14</v>
      </c>
      <c r="E46" s="12">
        <v>160</v>
      </c>
      <c r="F46" s="12">
        <v>130</v>
      </c>
      <c r="G46" s="12">
        <v>4</v>
      </c>
      <c r="H46" s="12">
        <v>12</v>
      </c>
      <c r="I46" s="12">
        <v>110</v>
      </c>
      <c r="J46" s="12">
        <v>14</v>
      </c>
    </row>
    <row r="47" spans="1:10" ht="15" customHeight="1" x14ac:dyDescent="0.25">
      <c r="A47" s="12">
        <v>65</v>
      </c>
      <c r="B47" s="11">
        <v>10</v>
      </c>
      <c r="C47" s="12">
        <v>80</v>
      </c>
      <c r="D47" s="11">
        <v>20</v>
      </c>
      <c r="E47" s="11">
        <v>180</v>
      </c>
      <c r="F47" s="11">
        <v>145</v>
      </c>
      <c r="G47" s="11">
        <v>4</v>
      </c>
      <c r="H47" s="13">
        <v>16</v>
      </c>
      <c r="I47" s="11">
        <v>122</v>
      </c>
      <c r="J47" s="11">
        <v>16</v>
      </c>
    </row>
    <row r="48" spans="1:10" x14ac:dyDescent="0.25">
      <c r="A48" s="12">
        <v>65</v>
      </c>
      <c r="B48" s="11">
        <v>16</v>
      </c>
      <c r="C48" s="12">
        <v>80</v>
      </c>
      <c r="D48" s="11">
        <v>22</v>
      </c>
      <c r="E48" s="12">
        <v>180</v>
      </c>
      <c r="F48" s="12">
        <v>145</v>
      </c>
      <c r="G48" s="12">
        <v>4</v>
      </c>
      <c r="H48" s="12">
        <v>16</v>
      </c>
      <c r="I48" s="12">
        <v>122</v>
      </c>
      <c r="J48" s="11">
        <v>18</v>
      </c>
    </row>
    <row r="49" spans="1:10" x14ac:dyDescent="0.25">
      <c r="A49" s="12">
        <v>65</v>
      </c>
      <c r="B49" s="11">
        <v>25</v>
      </c>
      <c r="C49" s="12">
        <v>80</v>
      </c>
      <c r="D49" s="11">
        <v>24</v>
      </c>
      <c r="E49" s="12">
        <v>180</v>
      </c>
      <c r="F49" s="12">
        <v>145</v>
      </c>
      <c r="G49" s="12">
        <v>4</v>
      </c>
      <c r="H49" s="12">
        <v>16</v>
      </c>
      <c r="I49" s="12">
        <v>122</v>
      </c>
      <c r="J49" s="11">
        <v>20</v>
      </c>
    </row>
    <row r="50" spans="1:10" x14ac:dyDescent="0.25">
      <c r="A50" s="11">
        <v>80</v>
      </c>
      <c r="B50" s="11">
        <v>1</v>
      </c>
      <c r="C50" s="11">
        <v>93</v>
      </c>
      <c r="D50" s="11">
        <v>14</v>
      </c>
      <c r="E50" s="11">
        <v>185</v>
      </c>
      <c r="F50" s="11">
        <v>150</v>
      </c>
      <c r="G50" s="11">
        <v>4</v>
      </c>
      <c r="H50" s="11">
        <v>16</v>
      </c>
      <c r="I50" s="11">
        <v>128</v>
      </c>
      <c r="J50" s="11">
        <v>14</v>
      </c>
    </row>
    <row r="51" spans="1:10" ht="15" customHeight="1" x14ac:dyDescent="0.25">
      <c r="A51" s="12">
        <v>80</v>
      </c>
      <c r="B51" s="11" t="s">
        <v>2399</v>
      </c>
      <c r="C51" s="12">
        <v>93</v>
      </c>
      <c r="D51" s="12">
        <v>14</v>
      </c>
      <c r="E51" s="12">
        <v>185</v>
      </c>
      <c r="F51" s="12">
        <v>150</v>
      </c>
      <c r="G51" s="13">
        <v>4</v>
      </c>
      <c r="H51" s="13">
        <v>16</v>
      </c>
      <c r="I51" s="12">
        <v>128</v>
      </c>
      <c r="J51" s="12">
        <v>14</v>
      </c>
    </row>
    <row r="52" spans="1:10" x14ac:dyDescent="0.25">
      <c r="A52" s="12">
        <v>80</v>
      </c>
      <c r="B52" s="11">
        <v>6</v>
      </c>
      <c r="C52" s="12">
        <v>93</v>
      </c>
      <c r="D52" s="12">
        <v>14</v>
      </c>
      <c r="E52" s="12">
        <v>185</v>
      </c>
      <c r="F52" s="12">
        <v>150</v>
      </c>
      <c r="G52" s="12">
        <v>4</v>
      </c>
      <c r="H52" s="12">
        <v>16</v>
      </c>
      <c r="I52" s="12">
        <v>128</v>
      </c>
      <c r="J52" s="12">
        <v>14</v>
      </c>
    </row>
    <row r="53" spans="1:10" x14ac:dyDescent="0.25">
      <c r="A53" s="12">
        <v>80</v>
      </c>
      <c r="B53" s="11">
        <v>10</v>
      </c>
      <c r="C53" s="12">
        <v>93</v>
      </c>
      <c r="D53" s="11">
        <v>22</v>
      </c>
      <c r="E53" s="11">
        <v>195</v>
      </c>
      <c r="F53" s="11">
        <v>160</v>
      </c>
      <c r="G53" s="11">
        <v>4</v>
      </c>
      <c r="H53" s="12">
        <v>16</v>
      </c>
      <c r="I53" s="11">
        <v>133</v>
      </c>
      <c r="J53" s="11">
        <v>16</v>
      </c>
    </row>
    <row r="54" spans="1:10" x14ac:dyDescent="0.25">
      <c r="A54" s="12">
        <v>80</v>
      </c>
      <c r="B54" s="11">
        <v>16</v>
      </c>
      <c r="C54" s="12">
        <v>93</v>
      </c>
      <c r="D54" s="11">
        <v>24</v>
      </c>
      <c r="E54" s="12">
        <v>195</v>
      </c>
      <c r="F54" s="12">
        <v>160</v>
      </c>
      <c r="G54" s="12">
        <v>4</v>
      </c>
      <c r="H54" s="12">
        <v>16</v>
      </c>
      <c r="I54" s="12">
        <v>133</v>
      </c>
      <c r="J54" s="11">
        <v>18</v>
      </c>
    </row>
    <row r="55" spans="1:10" x14ac:dyDescent="0.25">
      <c r="A55" s="12">
        <v>80</v>
      </c>
      <c r="B55" s="11">
        <v>25</v>
      </c>
      <c r="C55" s="12">
        <v>93</v>
      </c>
      <c r="D55" s="11">
        <v>26</v>
      </c>
      <c r="E55" s="12">
        <v>195</v>
      </c>
      <c r="F55" s="12">
        <v>160</v>
      </c>
      <c r="G55" s="12">
        <v>4</v>
      </c>
      <c r="H55" s="12">
        <v>16</v>
      </c>
      <c r="I55" s="12">
        <v>133</v>
      </c>
      <c r="J55" s="11">
        <v>20</v>
      </c>
    </row>
    <row r="56" spans="1:10" x14ac:dyDescent="0.25">
      <c r="A56" s="13">
        <v>100</v>
      </c>
      <c r="B56" s="13">
        <v>1</v>
      </c>
      <c r="C56" s="11">
        <v>112</v>
      </c>
      <c r="D56" s="13">
        <v>14</v>
      </c>
      <c r="E56" s="13">
        <v>205</v>
      </c>
      <c r="F56" s="13">
        <v>170</v>
      </c>
      <c r="G56" s="13">
        <v>4</v>
      </c>
      <c r="H56" s="13">
        <v>16</v>
      </c>
      <c r="I56" s="13">
        <v>148</v>
      </c>
      <c r="J56" s="13">
        <v>14</v>
      </c>
    </row>
    <row r="57" spans="1:10" x14ac:dyDescent="0.25">
      <c r="A57" s="13">
        <v>100</v>
      </c>
      <c r="B57" s="13">
        <v>1</v>
      </c>
      <c r="C57" s="11">
        <v>118</v>
      </c>
      <c r="D57" s="13">
        <v>14</v>
      </c>
      <c r="E57" s="13">
        <v>205</v>
      </c>
      <c r="F57" s="13">
        <v>170</v>
      </c>
      <c r="G57" s="13">
        <v>4</v>
      </c>
      <c r="H57" s="13">
        <v>16</v>
      </c>
      <c r="I57" s="13">
        <v>148</v>
      </c>
      <c r="J57" s="13">
        <v>14</v>
      </c>
    </row>
    <row r="58" spans="1:10" ht="15" customHeight="1" x14ac:dyDescent="0.25">
      <c r="A58" s="12">
        <v>100</v>
      </c>
      <c r="B58" s="11" t="s">
        <v>2399</v>
      </c>
      <c r="C58" s="12">
        <v>118</v>
      </c>
      <c r="D58" s="12">
        <v>14</v>
      </c>
      <c r="E58" s="12">
        <v>205</v>
      </c>
      <c r="F58" s="12">
        <v>170</v>
      </c>
      <c r="G58" s="13">
        <v>4</v>
      </c>
      <c r="H58" s="13">
        <v>16</v>
      </c>
      <c r="I58" s="12">
        <v>148</v>
      </c>
      <c r="J58" s="12">
        <v>14</v>
      </c>
    </row>
    <row r="59" spans="1:10" x14ac:dyDescent="0.25">
      <c r="A59" s="12">
        <v>100</v>
      </c>
      <c r="B59" s="13">
        <v>6</v>
      </c>
      <c r="C59" s="11">
        <v>112</v>
      </c>
      <c r="D59" s="12">
        <v>14</v>
      </c>
      <c r="E59" s="12">
        <v>205</v>
      </c>
      <c r="F59" s="12">
        <v>170</v>
      </c>
      <c r="G59" s="12">
        <v>4</v>
      </c>
      <c r="H59" s="12">
        <v>16</v>
      </c>
      <c r="I59" s="12">
        <v>148</v>
      </c>
      <c r="J59" s="12">
        <v>14</v>
      </c>
    </row>
    <row r="60" spans="1:10" x14ac:dyDescent="0.25">
      <c r="A60" s="12">
        <v>100</v>
      </c>
      <c r="B60" s="13">
        <v>6</v>
      </c>
      <c r="C60" s="11">
        <v>118</v>
      </c>
      <c r="D60" s="12">
        <v>14</v>
      </c>
      <c r="E60" s="12">
        <v>205</v>
      </c>
      <c r="F60" s="12">
        <v>170</v>
      </c>
      <c r="G60" s="12">
        <v>4</v>
      </c>
      <c r="H60" s="12">
        <v>16</v>
      </c>
      <c r="I60" s="12">
        <v>148</v>
      </c>
      <c r="J60" s="12">
        <v>14</v>
      </c>
    </row>
    <row r="61" spans="1:10" x14ac:dyDescent="0.25">
      <c r="A61" s="12">
        <v>100</v>
      </c>
      <c r="B61" s="13">
        <v>10</v>
      </c>
      <c r="C61" s="11">
        <v>112</v>
      </c>
      <c r="D61" s="13">
        <v>24</v>
      </c>
      <c r="E61" s="13">
        <v>215</v>
      </c>
      <c r="F61" s="13">
        <v>180</v>
      </c>
      <c r="G61" s="13">
        <v>8</v>
      </c>
      <c r="H61" s="12">
        <v>16</v>
      </c>
      <c r="I61" s="13">
        <v>158</v>
      </c>
      <c r="J61" s="13">
        <v>16</v>
      </c>
    </row>
    <row r="62" spans="1:10" x14ac:dyDescent="0.25">
      <c r="A62" s="12">
        <v>100</v>
      </c>
      <c r="B62" s="13">
        <v>10</v>
      </c>
      <c r="C62" s="11">
        <v>118</v>
      </c>
      <c r="D62" s="13">
        <v>24</v>
      </c>
      <c r="E62" s="13">
        <v>215</v>
      </c>
      <c r="F62" s="13">
        <v>180</v>
      </c>
      <c r="G62" s="13">
        <v>8</v>
      </c>
      <c r="H62" s="12">
        <v>16</v>
      </c>
      <c r="I62" s="13">
        <v>158</v>
      </c>
      <c r="J62" s="13">
        <v>16</v>
      </c>
    </row>
    <row r="63" spans="1:10" x14ac:dyDescent="0.25">
      <c r="A63" s="12">
        <v>100</v>
      </c>
      <c r="B63" s="13">
        <v>16</v>
      </c>
      <c r="C63" s="11">
        <v>112</v>
      </c>
      <c r="D63" s="13">
        <v>26</v>
      </c>
      <c r="E63" s="12">
        <v>215</v>
      </c>
      <c r="F63" s="12">
        <v>180</v>
      </c>
      <c r="G63" s="12">
        <v>8</v>
      </c>
      <c r="H63" s="12">
        <v>16</v>
      </c>
      <c r="I63" s="12">
        <v>158</v>
      </c>
      <c r="J63" s="13">
        <v>20</v>
      </c>
    </row>
    <row r="64" spans="1:10" x14ac:dyDescent="0.25">
      <c r="A64" s="12">
        <v>100</v>
      </c>
      <c r="B64" s="13">
        <v>16</v>
      </c>
      <c r="C64" s="11">
        <v>118</v>
      </c>
      <c r="D64" s="13">
        <v>26</v>
      </c>
      <c r="E64" s="12">
        <v>215</v>
      </c>
      <c r="F64" s="12">
        <v>180</v>
      </c>
      <c r="G64" s="12">
        <v>8</v>
      </c>
      <c r="H64" s="12">
        <v>16</v>
      </c>
      <c r="I64" s="12">
        <v>158</v>
      </c>
      <c r="J64" s="13">
        <v>20</v>
      </c>
    </row>
    <row r="65" spans="1:10" x14ac:dyDescent="0.25">
      <c r="A65" s="12">
        <v>100</v>
      </c>
      <c r="B65" s="13">
        <v>25</v>
      </c>
      <c r="C65" s="11">
        <v>112</v>
      </c>
      <c r="D65" s="13">
        <v>28</v>
      </c>
      <c r="E65" s="13">
        <v>230</v>
      </c>
      <c r="F65" s="13">
        <v>190</v>
      </c>
      <c r="G65" s="12">
        <v>8</v>
      </c>
      <c r="H65" s="13">
        <v>20</v>
      </c>
      <c r="I65" s="12">
        <v>158</v>
      </c>
      <c r="J65" s="13">
        <v>22</v>
      </c>
    </row>
    <row r="66" spans="1:10" x14ac:dyDescent="0.25">
      <c r="A66" s="12">
        <v>100</v>
      </c>
      <c r="B66" s="13">
        <v>25</v>
      </c>
      <c r="C66" s="11">
        <v>118</v>
      </c>
      <c r="D66" s="13">
        <v>28</v>
      </c>
      <c r="E66" s="13">
        <v>230</v>
      </c>
      <c r="F66" s="13">
        <v>190</v>
      </c>
      <c r="G66" s="12">
        <v>8</v>
      </c>
      <c r="H66" s="13">
        <v>20</v>
      </c>
      <c r="I66" s="12">
        <v>158</v>
      </c>
      <c r="J66" s="13">
        <v>22</v>
      </c>
    </row>
    <row r="67" spans="1:10" x14ac:dyDescent="0.25">
      <c r="A67" s="13">
        <v>125</v>
      </c>
      <c r="B67" s="13">
        <v>1</v>
      </c>
      <c r="C67" s="11">
        <v>138</v>
      </c>
      <c r="D67" s="13">
        <v>14</v>
      </c>
      <c r="E67" s="13">
        <v>235</v>
      </c>
      <c r="F67" s="13">
        <v>200</v>
      </c>
      <c r="G67" s="13">
        <v>8</v>
      </c>
      <c r="H67" s="13">
        <v>16</v>
      </c>
      <c r="I67" s="13">
        <v>178</v>
      </c>
      <c r="J67" s="13">
        <v>14</v>
      </c>
    </row>
    <row r="68" spans="1:10" x14ac:dyDescent="0.25">
      <c r="A68" s="13">
        <v>125</v>
      </c>
      <c r="B68" s="13">
        <v>1</v>
      </c>
      <c r="C68" s="11">
        <v>145</v>
      </c>
      <c r="D68" s="13">
        <v>14</v>
      </c>
      <c r="E68" s="13">
        <v>235</v>
      </c>
      <c r="F68" s="13">
        <v>200</v>
      </c>
      <c r="G68" s="13">
        <v>8</v>
      </c>
      <c r="H68" s="13">
        <v>16</v>
      </c>
      <c r="I68" s="13">
        <v>178</v>
      </c>
      <c r="J68" s="13">
        <v>14</v>
      </c>
    </row>
    <row r="69" spans="1:10" ht="15" customHeight="1" x14ac:dyDescent="0.25">
      <c r="A69" s="12">
        <v>125</v>
      </c>
      <c r="B69" s="11" t="s">
        <v>2399</v>
      </c>
      <c r="C69" s="12">
        <v>145</v>
      </c>
      <c r="D69" s="12">
        <v>14</v>
      </c>
      <c r="E69" s="12">
        <v>235</v>
      </c>
      <c r="F69" s="12">
        <v>200</v>
      </c>
      <c r="G69" s="13">
        <v>8</v>
      </c>
      <c r="H69" s="13">
        <v>16</v>
      </c>
      <c r="I69" s="12">
        <v>178</v>
      </c>
      <c r="J69" s="12">
        <v>14</v>
      </c>
    </row>
    <row r="70" spans="1:10" x14ac:dyDescent="0.25">
      <c r="A70" s="12">
        <v>125</v>
      </c>
      <c r="B70" s="13">
        <v>6</v>
      </c>
      <c r="C70" s="11">
        <v>138</v>
      </c>
      <c r="D70" s="12">
        <v>14</v>
      </c>
      <c r="E70" s="12">
        <v>235</v>
      </c>
      <c r="F70" s="12">
        <v>200</v>
      </c>
      <c r="G70" s="12">
        <v>8</v>
      </c>
      <c r="H70" s="12">
        <v>16</v>
      </c>
      <c r="I70" s="12">
        <v>178</v>
      </c>
      <c r="J70" s="12">
        <v>14</v>
      </c>
    </row>
    <row r="71" spans="1:10" x14ac:dyDescent="0.25">
      <c r="A71" s="12">
        <v>125</v>
      </c>
      <c r="B71" s="13">
        <v>6</v>
      </c>
      <c r="C71" s="11">
        <v>145</v>
      </c>
      <c r="D71" s="12">
        <v>14</v>
      </c>
      <c r="E71" s="12">
        <v>235</v>
      </c>
      <c r="F71" s="12">
        <v>200</v>
      </c>
      <c r="G71" s="12">
        <v>8</v>
      </c>
      <c r="H71" s="12">
        <v>16</v>
      </c>
      <c r="I71" s="12">
        <v>178</v>
      </c>
      <c r="J71" s="12">
        <v>14</v>
      </c>
    </row>
    <row r="72" spans="1:10" x14ac:dyDescent="0.25">
      <c r="A72" s="12">
        <v>125</v>
      </c>
      <c r="B72" s="13">
        <v>10</v>
      </c>
      <c r="C72" s="11">
        <v>138</v>
      </c>
      <c r="D72" s="13">
        <v>26</v>
      </c>
      <c r="E72" s="13">
        <v>245</v>
      </c>
      <c r="F72" s="13">
        <v>210</v>
      </c>
      <c r="G72" s="12">
        <v>8</v>
      </c>
      <c r="H72" s="12">
        <v>16</v>
      </c>
      <c r="I72" s="13">
        <v>184</v>
      </c>
      <c r="J72" s="13">
        <v>18</v>
      </c>
    </row>
    <row r="73" spans="1:10" x14ac:dyDescent="0.25">
      <c r="A73" s="12">
        <v>125</v>
      </c>
      <c r="B73" s="13">
        <v>10</v>
      </c>
      <c r="C73" s="11">
        <v>145</v>
      </c>
      <c r="D73" s="13">
        <v>26</v>
      </c>
      <c r="E73" s="13">
        <v>245</v>
      </c>
      <c r="F73" s="13">
        <v>210</v>
      </c>
      <c r="G73" s="12">
        <v>8</v>
      </c>
      <c r="H73" s="12">
        <v>16</v>
      </c>
      <c r="I73" s="13">
        <v>184</v>
      </c>
      <c r="J73" s="13">
        <v>18</v>
      </c>
    </row>
    <row r="74" spans="1:10" x14ac:dyDescent="0.25">
      <c r="A74" s="12">
        <v>125</v>
      </c>
      <c r="B74" s="13">
        <v>16</v>
      </c>
      <c r="C74" s="11">
        <v>138</v>
      </c>
      <c r="D74" s="13">
        <v>28</v>
      </c>
      <c r="E74" s="12">
        <v>245</v>
      </c>
      <c r="F74" s="12">
        <v>210</v>
      </c>
      <c r="G74" s="12">
        <v>8</v>
      </c>
      <c r="H74" s="12">
        <v>16</v>
      </c>
      <c r="I74" s="12">
        <v>184</v>
      </c>
      <c r="J74" s="13">
        <v>20</v>
      </c>
    </row>
    <row r="75" spans="1:10" x14ac:dyDescent="0.25">
      <c r="A75" s="12">
        <v>125</v>
      </c>
      <c r="B75" s="13">
        <v>16</v>
      </c>
      <c r="C75" s="11">
        <v>145</v>
      </c>
      <c r="D75" s="13">
        <v>28</v>
      </c>
      <c r="E75" s="12">
        <v>245</v>
      </c>
      <c r="F75" s="12">
        <v>210</v>
      </c>
      <c r="G75" s="12">
        <v>8</v>
      </c>
      <c r="H75" s="12">
        <v>16</v>
      </c>
      <c r="I75" s="12">
        <v>184</v>
      </c>
      <c r="J75" s="13">
        <v>20</v>
      </c>
    </row>
    <row r="76" spans="1:10" x14ac:dyDescent="0.25">
      <c r="A76" s="12">
        <v>125</v>
      </c>
      <c r="B76" s="13">
        <v>25</v>
      </c>
      <c r="C76" s="11">
        <v>138</v>
      </c>
      <c r="D76" s="13">
        <v>30</v>
      </c>
      <c r="E76" s="13">
        <v>270</v>
      </c>
      <c r="F76" s="13">
        <v>220</v>
      </c>
      <c r="G76" s="12">
        <v>8</v>
      </c>
      <c r="H76" s="13">
        <v>24</v>
      </c>
      <c r="I76" s="12">
        <v>184</v>
      </c>
      <c r="J76" s="13">
        <v>24</v>
      </c>
    </row>
    <row r="77" spans="1:10" x14ac:dyDescent="0.25">
      <c r="A77" s="12">
        <v>125</v>
      </c>
      <c r="B77" s="13">
        <v>25</v>
      </c>
      <c r="C77" s="11">
        <v>145</v>
      </c>
      <c r="D77" s="13">
        <v>30</v>
      </c>
      <c r="E77" s="13">
        <v>270</v>
      </c>
      <c r="F77" s="13">
        <v>220</v>
      </c>
      <c r="G77" s="12">
        <v>8</v>
      </c>
      <c r="H77" s="13">
        <v>24</v>
      </c>
      <c r="I77" s="12">
        <v>184</v>
      </c>
      <c r="J77" s="13">
        <v>24</v>
      </c>
    </row>
    <row r="78" spans="1:10" ht="15" customHeight="1" x14ac:dyDescent="0.25">
      <c r="A78" s="13">
        <v>150</v>
      </c>
      <c r="B78" s="13">
        <v>1</v>
      </c>
      <c r="C78" s="11">
        <v>157</v>
      </c>
      <c r="D78" s="13">
        <v>16</v>
      </c>
      <c r="E78" s="13">
        <v>260</v>
      </c>
      <c r="F78" s="13">
        <v>225</v>
      </c>
      <c r="G78" s="13">
        <v>8</v>
      </c>
      <c r="H78" s="13">
        <v>16</v>
      </c>
      <c r="I78" s="13">
        <v>202</v>
      </c>
      <c r="J78" s="13">
        <v>16</v>
      </c>
    </row>
    <row r="79" spans="1:10" x14ac:dyDescent="0.25">
      <c r="A79" s="13">
        <v>150</v>
      </c>
      <c r="B79" s="13">
        <v>1</v>
      </c>
      <c r="C79" s="11">
        <v>164</v>
      </c>
      <c r="D79" s="13">
        <v>16</v>
      </c>
      <c r="E79" s="13">
        <v>260</v>
      </c>
      <c r="F79" s="13">
        <v>225</v>
      </c>
      <c r="G79" s="13">
        <v>8</v>
      </c>
      <c r="H79" s="13">
        <v>16</v>
      </c>
      <c r="I79" s="13">
        <v>202</v>
      </c>
      <c r="J79" s="13">
        <v>16</v>
      </c>
    </row>
    <row r="80" spans="1:10" x14ac:dyDescent="0.25">
      <c r="A80" s="13">
        <v>150</v>
      </c>
      <c r="B80" s="13">
        <v>1</v>
      </c>
      <c r="C80" s="11">
        <v>173</v>
      </c>
      <c r="D80" s="13">
        <v>16</v>
      </c>
      <c r="E80" s="13">
        <v>260</v>
      </c>
      <c r="F80" s="13">
        <v>225</v>
      </c>
      <c r="G80" s="13">
        <v>8</v>
      </c>
      <c r="H80" s="13">
        <v>16</v>
      </c>
      <c r="I80" s="13">
        <v>202</v>
      </c>
      <c r="J80" s="13">
        <v>16</v>
      </c>
    </row>
    <row r="81" spans="1:10" ht="15" customHeight="1" x14ac:dyDescent="0.25">
      <c r="A81" s="12">
        <v>150</v>
      </c>
      <c r="B81" s="11" t="s">
        <v>2399</v>
      </c>
      <c r="C81" s="12">
        <v>173</v>
      </c>
      <c r="D81" s="12">
        <v>16</v>
      </c>
      <c r="E81" s="12">
        <v>260</v>
      </c>
      <c r="F81" s="12">
        <v>225</v>
      </c>
      <c r="G81" s="13">
        <v>8</v>
      </c>
      <c r="H81" s="13">
        <v>16</v>
      </c>
      <c r="I81" s="12">
        <v>202</v>
      </c>
      <c r="J81" s="12">
        <v>16</v>
      </c>
    </row>
    <row r="82" spans="1:10" x14ac:dyDescent="0.25">
      <c r="A82" s="12">
        <v>150</v>
      </c>
      <c r="B82" s="13">
        <v>6</v>
      </c>
      <c r="C82" s="11">
        <v>157</v>
      </c>
      <c r="D82" s="13">
        <v>16</v>
      </c>
      <c r="E82" s="12">
        <v>260</v>
      </c>
      <c r="F82" s="12">
        <v>225</v>
      </c>
      <c r="G82" s="12">
        <v>8</v>
      </c>
      <c r="H82" s="12">
        <v>16</v>
      </c>
      <c r="I82" s="12">
        <v>202</v>
      </c>
      <c r="J82" s="12">
        <v>16</v>
      </c>
    </row>
    <row r="83" spans="1:10" x14ac:dyDescent="0.25">
      <c r="A83" s="12">
        <v>150</v>
      </c>
      <c r="B83" s="13">
        <v>6</v>
      </c>
      <c r="C83" s="11">
        <v>164</v>
      </c>
      <c r="D83" s="13">
        <v>16</v>
      </c>
      <c r="E83" s="12">
        <v>260</v>
      </c>
      <c r="F83" s="12">
        <v>225</v>
      </c>
      <c r="G83" s="12">
        <v>8</v>
      </c>
      <c r="H83" s="12">
        <v>16</v>
      </c>
      <c r="I83" s="12">
        <v>202</v>
      </c>
      <c r="J83" s="12">
        <v>16</v>
      </c>
    </row>
    <row r="84" spans="1:10" x14ac:dyDescent="0.25">
      <c r="A84" s="12">
        <v>150</v>
      </c>
      <c r="B84" s="13">
        <v>6</v>
      </c>
      <c r="C84" s="11">
        <v>173</v>
      </c>
      <c r="D84" s="13">
        <v>16</v>
      </c>
      <c r="E84" s="12">
        <v>260</v>
      </c>
      <c r="F84" s="12">
        <v>225</v>
      </c>
      <c r="G84" s="12">
        <v>8</v>
      </c>
      <c r="H84" s="12">
        <v>16</v>
      </c>
      <c r="I84" s="12">
        <v>202</v>
      </c>
      <c r="J84" s="12">
        <v>16</v>
      </c>
    </row>
    <row r="85" spans="1:10" x14ac:dyDescent="0.25">
      <c r="A85" s="12">
        <v>150</v>
      </c>
      <c r="B85" s="13">
        <v>10</v>
      </c>
      <c r="C85" s="11">
        <v>157</v>
      </c>
      <c r="D85" s="13">
        <v>26</v>
      </c>
      <c r="E85" s="13">
        <v>280</v>
      </c>
      <c r="F85" s="13">
        <v>240</v>
      </c>
      <c r="G85" s="12">
        <v>8</v>
      </c>
      <c r="H85" s="13">
        <v>20</v>
      </c>
      <c r="I85" s="13">
        <v>212</v>
      </c>
      <c r="J85" s="13">
        <v>18</v>
      </c>
    </row>
    <row r="86" spans="1:10" x14ac:dyDescent="0.25">
      <c r="A86" s="12">
        <v>150</v>
      </c>
      <c r="B86" s="13">
        <v>10</v>
      </c>
      <c r="C86" s="11">
        <v>164</v>
      </c>
      <c r="D86" s="13">
        <v>26</v>
      </c>
      <c r="E86" s="13">
        <v>280</v>
      </c>
      <c r="F86" s="13">
        <v>240</v>
      </c>
      <c r="G86" s="12">
        <v>8</v>
      </c>
      <c r="H86" s="13">
        <v>20</v>
      </c>
      <c r="I86" s="13">
        <v>212</v>
      </c>
      <c r="J86" s="13">
        <v>18</v>
      </c>
    </row>
    <row r="87" spans="1:10" x14ac:dyDescent="0.25">
      <c r="A87" s="12">
        <v>150</v>
      </c>
      <c r="B87" s="13">
        <v>10</v>
      </c>
      <c r="C87" s="11">
        <v>173</v>
      </c>
      <c r="D87" s="13">
        <v>26</v>
      </c>
      <c r="E87" s="13">
        <v>280</v>
      </c>
      <c r="F87" s="13">
        <v>240</v>
      </c>
      <c r="G87" s="12">
        <v>8</v>
      </c>
      <c r="H87" s="13">
        <v>20</v>
      </c>
      <c r="I87" s="13">
        <v>212</v>
      </c>
      <c r="J87" s="13">
        <v>18</v>
      </c>
    </row>
    <row r="88" spans="1:10" x14ac:dyDescent="0.25">
      <c r="A88" s="12">
        <v>150</v>
      </c>
      <c r="B88" s="13">
        <v>16</v>
      </c>
      <c r="C88" s="11">
        <v>157</v>
      </c>
      <c r="D88" s="13">
        <v>28</v>
      </c>
      <c r="E88" s="12">
        <v>280</v>
      </c>
      <c r="F88" s="12">
        <v>240</v>
      </c>
      <c r="G88" s="12">
        <v>8</v>
      </c>
      <c r="H88" s="12">
        <v>20</v>
      </c>
      <c r="I88" s="12">
        <v>212</v>
      </c>
      <c r="J88" s="13">
        <v>22</v>
      </c>
    </row>
    <row r="89" spans="1:10" x14ac:dyDescent="0.25">
      <c r="A89" s="12">
        <v>150</v>
      </c>
      <c r="B89" s="13">
        <v>16</v>
      </c>
      <c r="C89" s="11">
        <v>164</v>
      </c>
      <c r="D89" s="13">
        <v>28</v>
      </c>
      <c r="E89" s="12">
        <v>280</v>
      </c>
      <c r="F89" s="12">
        <v>240</v>
      </c>
      <c r="G89" s="12">
        <v>8</v>
      </c>
      <c r="H89" s="12">
        <v>20</v>
      </c>
      <c r="I89" s="12">
        <v>212</v>
      </c>
      <c r="J89" s="13">
        <v>22</v>
      </c>
    </row>
    <row r="90" spans="1:10" x14ac:dyDescent="0.25">
      <c r="A90" s="12">
        <v>150</v>
      </c>
      <c r="B90" s="13">
        <v>16</v>
      </c>
      <c r="C90" s="11">
        <v>173</v>
      </c>
      <c r="D90" s="13">
        <v>28</v>
      </c>
      <c r="E90" s="12">
        <v>280</v>
      </c>
      <c r="F90" s="12">
        <v>240</v>
      </c>
      <c r="G90" s="12">
        <v>8</v>
      </c>
      <c r="H90" s="12">
        <v>20</v>
      </c>
      <c r="I90" s="12">
        <v>212</v>
      </c>
      <c r="J90" s="13">
        <v>22</v>
      </c>
    </row>
    <row r="91" spans="1:10" x14ac:dyDescent="0.25">
      <c r="A91" s="12">
        <v>150</v>
      </c>
      <c r="B91" s="13">
        <v>25</v>
      </c>
      <c r="C91" s="11">
        <v>157</v>
      </c>
      <c r="D91" s="13">
        <v>30</v>
      </c>
      <c r="E91" s="13">
        <v>300</v>
      </c>
      <c r="F91" s="13">
        <v>250</v>
      </c>
      <c r="G91" s="12">
        <v>8</v>
      </c>
      <c r="H91" s="13">
        <v>24</v>
      </c>
      <c r="I91" s="12">
        <v>212</v>
      </c>
      <c r="J91" s="13">
        <v>24</v>
      </c>
    </row>
    <row r="92" spans="1:10" x14ac:dyDescent="0.25">
      <c r="A92" s="12">
        <v>150</v>
      </c>
      <c r="B92" s="13">
        <v>25</v>
      </c>
      <c r="C92" s="11">
        <v>164</v>
      </c>
      <c r="D92" s="13">
        <v>30</v>
      </c>
      <c r="E92" s="13">
        <v>300</v>
      </c>
      <c r="F92" s="13">
        <v>250</v>
      </c>
      <c r="G92" s="12">
        <v>8</v>
      </c>
      <c r="H92" s="13">
        <v>24</v>
      </c>
      <c r="I92" s="12">
        <v>212</v>
      </c>
      <c r="J92" s="13">
        <v>24</v>
      </c>
    </row>
    <row r="93" spans="1:10" x14ac:dyDescent="0.25">
      <c r="A93" s="12">
        <v>150</v>
      </c>
      <c r="B93" s="13">
        <v>25</v>
      </c>
      <c r="C93" s="11">
        <v>173</v>
      </c>
      <c r="D93" s="13">
        <v>30</v>
      </c>
      <c r="E93" s="13">
        <v>300</v>
      </c>
      <c r="F93" s="13">
        <v>250</v>
      </c>
      <c r="G93" s="12">
        <v>8</v>
      </c>
      <c r="H93" s="13">
        <v>24</v>
      </c>
      <c r="I93" s="12">
        <v>212</v>
      </c>
      <c r="J93" s="13">
        <v>24</v>
      </c>
    </row>
    <row r="94" spans="1:10" ht="15" customHeight="1" x14ac:dyDescent="0.25">
      <c r="A94" s="11">
        <v>200</v>
      </c>
      <c r="B94" s="11">
        <v>1</v>
      </c>
      <c r="C94" s="11">
        <v>225</v>
      </c>
      <c r="D94" s="11">
        <v>18</v>
      </c>
      <c r="E94" s="11">
        <v>315</v>
      </c>
      <c r="F94" s="11">
        <v>280</v>
      </c>
      <c r="G94" s="13">
        <v>8</v>
      </c>
      <c r="H94" s="11">
        <v>16</v>
      </c>
      <c r="I94" s="11">
        <v>258</v>
      </c>
      <c r="J94" s="11">
        <v>18</v>
      </c>
    </row>
    <row r="95" spans="1:10" ht="15" customHeight="1" x14ac:dyDescent="0.25">
      <c r="A95" s="12">
        <v>200</v>
      </c>
      <c r="B95" s="11" t="s">
        <v>2399</v>
      </c>
      <c r="C95" s="12">
        <v>225</v>
      </c>
      <c r="D95" s="12">
        <v>18</v>
      </c>
      <c r="E95" s="12">
        <v>315</v>
      </c>
      <c r="F95" s="12">
        <v>280</v>
      </c>
      <c r="G95" s="12">
        <v>8</v>
      </c>
      <c r="H95" s="13">
        <v>16</v>
      </c>
      <c r="I95" s="12">
        <v>258</v>
      </c>
      <c r="J95" s="12">
        <v>18</v>
      </c>
    </row>
    <row r="96" spans="1:10" x14ac:dyDescent="0.25">
      <c r="A96" s="12">
        <v>200</v>
      </c>
      <c r="B96" s="11">
        <v>6</v>
      </c>
      <c r="C96" s="12">
        <v>225</v>
      </c>
      <c r="D96" s="12">
        <v>18</v>
      </c>
      <c r="E96" s="12">
        <v>315</v>
      </c>
      <c r="F96" s="12">
        <v>280</v>
      </c>
      <c r="G96" s="12">
        <v>8</v>
      </c>
      <c r="H96" s="12">
        <v>16</v>
      </c>
      <c r="I96" s="12">
        <v>258</v>
      </c>
      <c r="J96" s="12">
        <v>18</v>
      </c>
    </row>
    <row r="97" spans="1:10" ht="15" customHeight="1" x14ac:dyDescent="0.25">
      <c r="A97" s="12">
        <v>200</v>
      </c>
      <c r="B97" s="11">
        <v>10</v>
      </c>
      <c r="C97" s="12">
        <v>225</v>
      </c>
      <c r="D97" s="11">
        <v>26</v>
      </c>
      <c r="E97" s="11">
        <v>335</v>
      </c>
      <c r="F97" s="11">
        <v>295</v>
      </c>
      <c r="G97" s="12">
        <v>8</v>
      </c>
      <c r="H97" s="13">
        <v>20</v>
      </c>
      <c r="I97" s="11">
        <v>268</v>
      </c>
      <c r="J97" s="11">
        <v>20</v>
      </c>
    </row>
    <row r="98" spans="1:10" ht="15" customHeight="1" x14ac:dyDescent="0.25">
      <c r="A98" s="12">
        <v>200</v>
      </c>
      <c r="B98" s="11">
        <v>16</v>
      </c>
      <c r="C98" s="12">
        <v>225</v>
      </c>
      <c r="D98" s="11">
        <v>28</v>
      </c>
      <c r="E98" s="12">
        <v>335</v>
      </c>
      <c r="F98" s="12">
        <v>295</v>
      </c>
      <c r="G98" s="13">
        <v>12</v>
      </c>
      <c r="H98" s="12">
        <v>20</v>
      </c>
      <c r="I98" s="12">
        <v>268</v>
      </c>
      <c r="J98" s="11">
        <v>22</v>
      </c>
    </row>
    <row r="99" spans="1:10" ht="15" customHeight="1" x14ac:dyDescent="0.25">
      <c r="A99" s="12">
        <v>200</v>
      </c>
      <c r="B99" s="11">
        <v>25</v>
      </c>
      <c r="C99" s="12">
        <v>225</v>
      </c>
      <c r="D99" s="11">
        <v>30</v>
      </c>
      <c r="E99" s="13">
        <v>360</v>
      </c>
      <c r="F99" s="11">
        <v>310</v>
      </c>
      <c r="G99" s="12">
        <v>12</v>
      </c>
      <c r="H99" s="13">
        <v>24</v>
      </c>
      <c r="I99" s="11">
        <v>278</v>
      </c>
      <c r="J99" s="11">
        <v>24</v>
      </c>
    </row>
    <row r="100" spans="1:10" x14ac:dyDescent="0.25">
      <c r="A100" s="11">
        <v>250</v>
      </c>
      <c r="B100" s="11">
        <v>1</v>
      </c>
      <c r="C100" s="11">
        <v>279</v>
      </c>
      <c r="D100" s="11">
        <v>20</v>
      </c>
      <c r="E100" s="11">
        <v>370</v>
      </c>
      <c r="F100" s="11">
        <v>335</v>
      </c>
      <c r="G100" s="11">
        <v>12</v>
      </c>
      <c r="H100" s="11">
        <v>16</v>
      </c>
      <c r="I100" s="11">
        <v>312</v>
      </c>
      <c r="J100" s="11">
        <v>18</v>
      </c>
    </row>
    <row r="101" spans="1:10" ht="15" customHeight="1" x14ac:dyDescent="0.25">
      <c r="A101" s="12">
        <v>250</v>
      </c>
      <c r="B101" s="11" t="s">
        <v>2399</v>
      </c>
      <c r="C101" s="12">
        <v>279</v>
      </c>
      <c r="D101" s="12">
        <v>20</v>
      </c>
      <c r="E101" s="12">
        <v>370</v>
      </c>
      <c r="F101" s="12">
        <v>335</v>
      </c>
      <c r="G101" s="13">
        <v>12</v>
      </c>
      <c r="H101" s="13">
        <v>16</v>
      </c>
      <c r="I101" s="12">
        <v>312</v>
      </c>
      <c r="J101" s="12">
        <v>18</v>
      </c>
    </row>
    <row r="102" spans="1:10" x14ac:dyDescent="0.25">
      <c r="A102" s="12">
        <v>250</v>
      </c>
      <c r="B102" s="11">
        <v>6</v>
      </c>
      <c r="C102" s="12">
        <v>279</v>
      </c>
      <c r="D102" s="12">
        <v>20</v>
      </c>
      <c r="E102" s="12">
        <v>370</v>
      </c>
      <c r="F102" s="12">
        <v>335</v>
      </c>
      <c r="G102" s="12">
        <v>12</v>
      </c>
      <c r="H102" s="12">
        <v>16</v>
      </c>
      <c r="I102" s="12">
        <v>312</v>
      </c>
      <c r="J102" s="12">
        <v>18</v>
      </c>
    </row>
    <row r="103" spans="1:10" ht="15" customHeight="1" x14ac:dyDescent="0.25">
      <c r="A103" s="12">
        <v>250</v>
      </c>
      <c r="B103" s="11">
        <v>10</v>
      </c>
      <c r="C103" s="12">
        <v>279</v>
      </c>
      <c r="D103" s="11">
        <v>28</v>
      </c>
      <c r="E103" s="11">
        <v>390</v>
      </c>
      <c r="F103" s="11">
        <v>350</v>
      </c>
      <c r="G103" s="12">
        <v>12</v>
      </c>
      <c r="H103" s="13">
        <v>20</v>
      </c>
      <c r="I103" s="11">
        <v>320</v>
      </c>
      <c r="J103" s="11">
        <v>22</v>
      </c>
    </row>
    <row r="104" spans="1:10" ht="15" customHeight="1" x14ac:dyDescent="0.25">
      <c r="A104" s="12">
        <v>250</v>
      </c>
      <c r="B104" s="11">
        <v>16</v>
      </c>
      <c r="C104" s="12">
        <v>279</v>
      </c>
      <c r="D104" s="11">
        <v>30</v>
      </c>
      <c r="E104" s="13">
        <v>405</v>
      </c>
      <c r="F104" s="11">
        <v>355</v>
      </c>
      <c r="G104" s="12">
        <v>12</v>
      </c>
      <c r="H104" s="13">
        <v>24</v>
      </c>
      <c r="I104" s="12">
        <v>320</v>
      </c>
      <c r="J104" s="11">
        <v>24</v>
      </c>
    </row>
    <row r="105" spans="1:10" ht="15" customHeight="1" x14ac:dyDescent="0.25">
      <c r="A105" s="12">
        <v>250</v>
      </c>
      <c r="B105" s="11">
        <v>25</v>
      </c>
      <c r="C105" s="12">
        <v>279</v>
      </c>
      <c r="D105" s="11">
        <v>32</v>
      </c>
      <c r="E105" s="13">
        <v>425</v>
      </c>
      <c r="F105" s="11">
        <v>370</v>
      </c>
      <c r="G105" s="12">
        <v>12</v>
      </c>
      <c r="H105" s="13">
        <v>27</v>
      </c>
      <c r="I105" s="11">
        <v>335</v>
      </c>
      <c r="J105" s="13">
        <v>26</v>
      </c>
    </row>
    <row r="106" spans="1:10" x14ac:dyDescent="0.25">
      <c r="A106" s="11">
        <v>300</v>
      </c>
      <c r="B106" s="11">
        <v>1</v>
      </c>
      <c r="C106" s="11">
        <v>331</v>
      </c>
      <c r="D106" s="11">
        <v>24</v>
      </c>
      <c r="E106" s="11">
        <v>435</v>
      </c>
      <c r="F106" s="11">
        <v>395</v>
      </c>
      <c r="G106" s="11">
        <v>12</v>
      </c>
      <c r="H106" s="11">
        <v>20</v>
      </c>
      <c r="I106" s="11">
        <v>365</v>
      </c>
      <c r="J106" s="11">
        <v>20</v>
      </c>
    </row>
    <row r="107" spans="1:10" ht="15" customHeight="1" x14ac:dyDescent="0.25">
      <c r="A107" s="12">
        <v>300</v>
      </c>
      <c r="B107" s="11" t="s">
        <v>2399</v>
      </c>
      <c r="C107" s="12">
        <v>331</v>
      </c>
      <c r="D107" s="12">
        <v>24</v>
      </c>
      <c r="E107" s="12">
        <v>435</v>
      </c>
      <c r="F107" s="12">
        <v>395</v>
      </c>
      <c r="G107" s="13">
        <v>12</v>
      </c>
      <c r="H107" s="13">
        <v>20</v>
      </c>
      <c r="I107" s="12">
        <v>365</v>
      </c>
      <c r="J107" s="12">
        <v>20</v>
      </c>
    </row>
    <row r="108" spans="1:10" x14ac:dyDescent="0.25">
      <c r="A108" s="12">
        <v>300</v>
      </c>
      <c r="B108" s="11">
        <v>6</v>
      </c>
      <c r="C108" s="12">
        <v>331</v>
      </c>
      <c r="D108" s="12">
        <v>24</v>
      </c>
      <c r="E108" s="12">
        <v>435</v>
      </c>
      <c r="F108" s="12">
        <v>395</v>
      </c>
      <c r="G108" s="12">
        <v>12</v>
      </c>
      <c r="H108" s="12">
        <v>20</v>
      </c>
      <c r="I108" s="12">
        <v>365</v>
      </c>
      <c r="J108" s="12">
        <v>20</v>
      </c>
    </row>
    <row r="109" spans="1:10" ht="15" customHeight="1" x14ac:dyDescent="0.25">
      <c r="A109" s="12">
        <v>300</v>
      </c>
      <c r="B109" s="11">
        <v>10</v>
      </c>
      <c r="C109" s="12">
        <v>331</v>
      </c>
      <c r="D109" s="11">
        <v>30</v>
      </c>
      <c r="E109" s="11">
        <v>440</v>
      </c>
      <c r="F109" s="11">
        <v>400</v>
      </c>
      <c r="G109" s="12">
        <v>12</v>
      </c>
      <c r="H109" s="12">
        <v>20</v>
      </c>
      <c r="I109" s="11">
        <v>370</v>
      </c>
      <c r="J109" s="13">
        <v>22</v>
      </c>
    </row>
    <row r="110" spans="1:10" ht="15" customHeight="1" x14ac:dyDescent="0.25">
      <c r="A110" s="12">
        <v>300</v>
      </c>
      <c r="B110" s="11">
        <v>16</v>
      </c>
      <c r="C110" s="12">
        <v>331</v>
      </c>
      <c r="D110" s="13">
        <v>32</v>
      </c>
      <c r="E110" s="13">
        <v>460</v>
      </c>
      <c r="F110" s="11">
        <v>410</v>
      </c>
      <c r="G110" s="12">
        <v>12</v>
      </c>
      <c r="H110" s="13">
        <v>24</v>
      </c>
      <c r="I110" s="12">
        <v>370</v>
      </c>
      <c r="J110" s="13">
        <v>24</v>
      </c>
    </row>
    <row r="111" spans="1:10" ht="15" customHeight="1" x14ac:dyDescent="0.25">
      <c r="A111" s="12">
        <v>300</v>
      </c>
      <c r="B111" s="11">
        <v>25</v>
      </c>
      <c r="C111" s="12">
        <v>331</v>
      </c>
      <c r="D111" s="11">
        <v>34</v>
      </c>
      <c r="E111" s="13">
        <v>485</v>
      </c>
      <c r="F111" s="11">
        <v>430</v>
      </c>
      <c r="G111" s="13">
        <v>16</v>
      </c>
      <c r="H111" s="13">
        <v>27</v>
      </c>
      <c r="I111" s="11">
        <v>390</v>
      </c>
      <c r="J111" s="11">
        <v>26</v>
      </c>
    </row>
    <row r="112" spans="1:10" x14ac:dyDescent="0.25">
      <c r="A112" s="11">
        <v>350</v>
      </c>
      <c r="B112" s="11">
        <v>1</v>
      </c>
      <c r="C112" s="11">
        <v>383</v>
      </c>
      <c r="D112" s="11">
        <v>28</v>
      </c>
      <c r="E112" s="11">
        <v>485</v>
      </c>
      <c r="F112" s="11">
        <v>445</v>
      </c>
      <c r="G112" s="11">
        <v>12</v>
      </c>
      <c r="H112" s="11">
        <v>20</v>
      </c>
      <c r="I112" s="11">
        <v>415</v>
      </c>
      <c r="J112" s="11">
        <v>20</v>
      </c>
    </row>
    <row r="113" spans="1:10" ht="15" customHeight="1" x14ac:dyDescent="0.25">
      <c r="A113" s="12">
        <v>350</v>
      </c>
      <c r="B113" s="11" t="s">
        <v>2399</v>
      </c>
      <c r="C113" s="12">
        <v>383</v>
      </c>
      <c r="D113" s="12">
        <v>28</v>
      </c>
      <c r="E113" s="12">
        <v>485</v>
      </c>
      <c r="F113" s="12">
        <v>445</v>
      </c>
      <c r="G113" s="13">
        <v>12</v>
      </c>
      <c r="H113" s="13">
        <v>20</v>
      </c>
      <c r="I113" s="12">
        <v>415</v>
      </c>
      <c r="J113" s="12">
        <v>20</v>
      </c>
    </row>
    <row r="114" spans="1:10" x14ac:dyDescent="0.25">
      <c r="A114" s="12">
        <v>350</v>
      </c>
      <c r="B114" s="11">
        <v>6</v>
      </c>
      <c r="C114" s="12">
        <v>383</v>
      </c>
      <c r="D114" s="12">
        <v>28</v>
      </c>
      <c r="E114" s="12">
        <v>485</v>
      </c>
      <c r="F114" s="12">
        <v>445</v>
      </c>
      <c r="G114" s="12">
        <v>12</v>
      </c>
      <c r="H114" s="12">
        <v>20</v>
      </c>
      <c r="I114" s="12">
        <v>415</v>
      </c>
      <c r="J114" s="12">
        <v>20</v>
      </c>
    </row>
    <row r="115" spans="1:10" ht="15" customHeight="1" x14ac:dyDescent="0.25">
      <c r="A115" s="12">
        <v>350</v>
      </c>
      <c r="B115" s="11">
        <v>10</v>
      </c>
      <c r="C115" s="12">
        <v>383</v>
      </c>
      <c r="D115" s="11">
        <v>32</v>
      </c>
      <c r="E115" s="11">
        <v>500</v>
      </c>
      <c r="F115" s="11">
        <v>460</v>
      </c>
      <c r="G115" s="13">
        <v>16</v>
      </c>
      <c r="H115" s="12">
        <v>20</v>
      </c>
      <c r="I115" s="11">
        <v>430</v>
      </c>
      <c r="J115" s="11">
        <v>24</v>
      </c>
    </row>
    <row r="116" spans="1:10" ht="15" customHeight="1" x14ac:dyDescent="0.25">
      <c r="A116" s="12">
        <v>350</v>
      </c>
      <c r="B116" s="11">
        <v>16</v>
      </c>
      <c r="C116" s="12">
        <v>383</v>
      </c>
      <c r="D116" s="11">
        <v>34</v>
      </c>
      <c r="E116" s="13">
        <v>520</v>
      </c>
      <c r="F116" s="11">
        <v>470</v>
      </c>
      <c r="G116" s="12">
        <v>16</v>
      </c>
      <c r="H116" s="13">
        <v>24</v>
      </c>
      <c r="I116" s="12">
        <v>430</v>
      </c>
      <c r="J116" s="13">
        <v>26</v>
      </c>
    </row>
    <row r="117" spans="1:10" ht="15" customHeight="1" x14ac:dyDescent="0.25">
      <c r="A117" s="12">
        <v>350</v>
      </c>
      <c r="B117" s="11">
        <v>25</v>
      </c>
      <c r="C117" s="12">
        <v>383</v>
      </c>
      <c r="D117" s="11">
        <v>38</v>
      </c>
      <c r="E117" s="11">
        <v>550</v>
      </c>
      <c r="F117" s="11">
        <v>490</v>
      </c>
      <c r="G117" s="12">
        <v>16</v>
      </c>
      <c r="H117" s="13">
        <v>30</v>
      </c>
      <c r="I117" s="11">
        <v>450</v>
      </c>
      <c r="J117" s="11">
        <v>28</v>
      </c>
    </row>
    <row r="118" spans="1:10" x14ac:dyDescent="0.25">
      <c r="A118" s="11">
        <v>400</v>
      </c>
      <c r="B118" s="11">
        <v>1</v>
      </c>
      <c r="C118" s="11">
        <v>433</v>
      </c>
      <c r="D118" s="11">
        <v>32</v>
      </c>
      <c r="E118" s="11">
        <v>535</v>
      </c>
      <c r="F118" s="11">
        <v>495</v>
      </c>
      <c r="G118" s="11">
        <v>16</v>
      </c>
      <c r="H118" s="11">
        <v>20</v>
      </c>
      <c r="I118" s="11">
        <v>465</v>
      </c>
      <c r="J118" s="11">
        <v>24</v>
      </c>
    </row>
    <row r="119" spans="1:10" ht="15" customHeight="1" x14ac:dyDescent="0.25">
      <c r="A119" s="12">
        <v>400</v>
      </c>
      <c r="B119" s="11" t="s">
        <v>2399</v>
      </c>
      <c r="C119" s="12">
        <v>433</v>
      </c>
      <c r="D119" s="12">
        <v>32</v>
      </c>
      <c r="E119" s="12">
        <v>535</v>
      </c>
      <c r="F119" s="12">
        <v>495</v>
      </c>
      <c r="G119" s="13">
        <v>16</v>
      </c>
      <c r="H119" s="13">
        <v>20</v>
      </c>
      <c r="I119" s="12">
        <v>465</v>
      </c>
      <c r="J119" s="12">
        <v>24</v>
      </c>
    </row>
    <row r="120" spans="1:10" x14ac:dyDescent="0.25">
      <c r="A120" s="12">
        <v>400</v>
      </c>
      <c r="B120" s="11">
        <v>6</v>
      </c>
      <c r="C120" s="12">
        <v>433</v>
      </c>
      <c r="D120" s="12">
        <v>32</v>
      </c>
      <c r="E120" s="12">
        <v>535</v>
      </c>
      <c r="F120" s="12">
        <v>495</v>
      </c>
      <c r="G120" s="12">
        <v>16</v>
      </c>
      <c r="H120" s="12">
        <v>20</v>
      </c>
      <c r="I120" s="12">
        <v>465</v>
      </c>
      <c r="J120" s="12">
        <v>24</v>
      </c>
    </row>
    <row r="121" spans="1:10" ht="15" customHeight="1" x14ac:dyDescent="0.25">
      <c r="A121" s="12">
        <v>400</v>
      </c>
      <c r="B121" s="11">
        <v>10</v>
      </c>
      <c r="C121" s="12">
        <v>433</v>
      </c>
      <c r="D121" s="11">
        <v>34</v>
      </c>
      <c r="E121" s="13">
        <v>565</v>
      </c>
      <c r="F121" s="11">
        <v>515</v>
      </c>
      <c r="G121" s="12">
        <v>16</v>
      </c>
      <c r="H121" s="13">
        <v>24</v>
      </c>
      <c r="I121" s="11">
        <v>482</v>
      </c>
      <c r="J121" s="11">
        <v>26</v>
      </c>
    </row>
    <row r="122" spans="1:10" ht="15" customHeight="1" x14ac:dyDescent="0.25">
      <c r="A122" s="12">
        <v>400</v>
      </c>
      <c r="B122" s="11">
        <v>16</v>
      </c>
      <c r="C122" s="12">
        <v>433</v>
      </c>
      <c r="D122" s="11">
        <v>36</v>
      </c>
      <c r="E122" s="13">
        <v>580</v>
      </c>
      <c r="F122" s="11">
        <v>525</v>
      </c>
      <c r="G122" s="12">
        <v>16</v>
      </c>
      <c r="H122" s="13">
        <v>27</v>
      </c>
      <c r="I122" s="12">
        <v>482</v>
      </c>
      <c r="J122" s="13">
        <v>28</v>
      </c>
    </row>
    <row r="123" spans="1:10" x14ac:dyDescent="0.25">
      <c r="A123" s="12">
        <v>400</v>
      </c>
      <c r="B123" s="11">
        <v>25</v>
      </c>
      <c r="C123" s="12">
        <v>433</v>
      </c>
      <c r="D123" s="11">
        <v>42</v>
      </c>
      <c r="E123" s="11">
        <v>610</v>
      </c>
      <c r="F123" s="11">
        <v>550</v>
      </c>
      <c r="G123" s="12">
        <v>16</v>
      </c>
      <c r="H123" s="11">
        <v>30</v>
      </c>
      <c r="I123" s="11">
        <v>505</v>
      </c>
      <c r="J123" s="11">
        <v>30</v>
      </c>
    </row>
    <row r="124" spans="1:10" x14ac:dyDescent="0.25">
      <c r="A124" s="11">
        <v>450</v>
      </c>
      <c r="B124" s="11">
        <v>1</v>
      </c>
      <c r="C124" s="11">
        <v>487</v>
      </c>
      <c r="D124" s="11">
        <v>34</v>
      </c>
      <c r="E124" s="11">
        <v>590</v>
      </c>
      <c r="F124" s="11">
        <v>550</v>
      </c>
      <c r="G124" s="11">
        <v>16</v>
      </c>
      <c r="H124" s="11">
        <v>20</v>
      </c>
      <c r="I124" s="11">
        <v>520</v>
      </c>
      <c r="J124" s="11">
        <v>24</v>
      </c>
    </row>
    <row r="125" spans="1:10" ht="15" customHeight="1" x14ac:dyDescent="0.25">
      <c r="A125" s="12">
        <v>450</v>
      </c>
      <c r="B125" s="11" t="s">
        <v>2399</v>
      </c>
      <c r="C125" s="12">
        <v>487</v>
      </c>
      <c r="D125" s="12">
        <v>34</v>
      </c>
      <c r="E125" s="12">
        <v>590</v>
      </c>
      <c r="F125" s="12">
        <v>550</v>
      </c>
      <c r="G125" s="13">
        <v>16</v>
      </c>
      <c r="H125" s="13">
        <v>20</v>
      </c>
      <c r="I125" s="12">
        <v>520</v>
      </c>
      <c r="J125" s="12">
        <v>24</v>
      </c>
    </row>
    <row r="126" spans="1:10" x14ac:dyDescent="0.25">
      <c r="A126" s="12">
        <v>450</v>
      </c>
      <c r="B126" s="11">
        <v>6</v>
      </c>
      <c r="C126" s="12">
        <v>487</v>
      </c>
      <c r="D126" s="12">
        <v>34</v>
      </c>
      <c r="E126" s="12">
        <v>590</v>
      </c>
      <c r="F126" s="12">
        <v>550</v>
      </c>
      <c r="G126" s="12">
        <v>16</v>
      </c>
      <c r="H126" s="12">
        <v>20</v>
      </c>
      <c r="I126" s="12">
        <v>520</v>
      </c>
      <c r="J126" s="12">
        <v>24</v>
      </c>
    </row>
    <row r="127" spans="1:10" ht="15" customHeight="1" x14ac:dyDescent="0.25">
      <c r="A127" s="12">
        <v>450</v>
      </c>
      <c r="B127" s="11">
        <v>10</v>
      </c>
      <c r="C127" s="12">
        <v>487</v>
      </c>
      <c r="D127" s="12">
        <v>34</v>
      </c>
      <c r="E127" s="13">
        <v>615</v>
      </c>
      <c r="F127" s="11">
        <v>565</v>
      </c>
      <c r="G127" s="13">
        <v>20</v>
      </c>
      <c r="H127" s="13">
        <v>24</v>
      </c>
      <c r="I127" s="11">
        <v>532</v>
      </c>
      <c r="J127" s="11">
        <v>26</v>
      </c>
    </row>
    <row r="128" spans="1:10" ht="15" customHeight="1" x14ac:dyDescent="0.25">
      <c r="A128" s="12">
        <v>450</v>
      </c>
      <c r="B128" s="11">
        <v>16</v>
      </c>
      <c r="C128" s="12">
        <v>487</v>
      </c>
      <c r="D128" s="11">
        <v>38</v>
      </c>
      <c r="E128" s="13">
        <v>640</v>
      </c>
      <c r="F128" s="11">
        <v>585</v>
      </c>
      <c r="G128" s="12">
        <v>20</v>
      </c>
      <c r="H128" s="13">
        <v>27</v>
      </c>
      <c r="I128" s="12">
        <v>532</v>
      </c>
      <c r="J128" s="11">
        <v>28</v>
      </c>
    </row>
    <row r="129" spans="1:10" x14ac:dyDescent="0.25">
      <c r="A129" s="12">
        <v>450</v>
      </c>
      <c r="B129" s="11">
        <v>25</v>
      </c>
      <c r="C129" s="12">
        <v>487</v>
      </c>
      <c r="D129" s="11">
        <v>45</v>
      </c>
      <c r="E129" s="11">
        <v>660</v>
      </c>
      <c r="F129" s="11">
        <v>600</v>
      </c>
      <c r="G129" s="12">
        <v>20</v>
      </c>
      <c r="H129" s="11">
        <v>30</v>
      </c>
      <c r="I129" s="11">
        <v>555</v>
      </c>
      <c r="J129" s="11">
        <v>30</v>
      </c>
    </row>
    <row r="130" spans="1:10" x14ac:dyDescent="0.25">
      <c r="A130" s="11">
        <v>500</v>
      </c>
      <c r="B130" s="11">
        <v>1</v>
      </c>
      <c r="C130" s="11">
        <v>537</v>
      </c>
      <c r="D130" s="11">
        <v>38</v>
      </c>
      <c r="E130" s="11">
        <v>640</v>
      </c>
      <c r="F130" s="11">
        <v>600</v>
      </c>
      <c r="G130" s="11">
        <v>16</v>
      </c>
      <c r="H130" s="11">
        <v>20</v>
      </c>
      <c r="I130" s="11">
        <v>570</v>
      </c>
      <c r="J130" s="11">
        <v>26</v>
      </c>
    </row>
    <row r="131" spans="1:10" ht="15" customHeight="1" x14ac:dyDescent="0.25">
      <c r="A131" s="12">
        <v>500</v>
      </c>
      <c r="B131" s="11" t="s">
        <v>2399</v>
      </c>
      <c r="C131" s="12">
        <v>537</v>
      </c>
      <c r="D131" s="12">
        <v>38</v>
      </c>
      <c r="E131" s="12">
        <v>640</v>
      </c>
      <c r="F131" s="12">
        <v>600</v>
      </c>
      <c r="G131" s="12">
        <v>16</v>
      </c>
      <c r="H131" s="13">
        <v>20</v>
      </c>
      <c r="I131" s="12">
        <v>570</v>
      </c>
      <c r="J131" s="12">
        <v>26</v>
      </c>
    </row>
    <row r="132" spans="1:10" x14ac:dyDescent="0.25">
      <c r="A132" s="12">
        <v>500</v>
      </c>
      <c r="B132" s="11">
        <v>6</v>
      </c>
      <c r="C132" s="12">
        <v>537</v>
      </c>
      <c r="D132" s="12">
        <v>38</v>
      </c>
      <c r="E132" s="12">
        <v>640</v>
      </c>
      <c r="F132" s="12">
        <v>600</v>
      </c>
      <c r="G132" s="12">
        <v>16</v>
      </c>
      <c r="H132" s="12">
        <v>20</v>
      </c>
      <c r="I132" s="12">
        <v>570</v>
      </c>
      <c r="J132" s="12">
        <v>26</v>
      </c>
    </row>
    <row r="133" spans="1:10" ht="15" customHeight="1" x14ac:dyDescent="0.25">
      <c r="A133" s="12">
        <v>500</v>
      </c>
      <c r="B133" s="11">
        <v>10</v>
      </c>
      <c r="C133" s="12">
        <v>537</v>
      </c>
      <c r="D133" s="12">
        <v>38</v>
      </c>
      <c r="E133" s="13">
        <v>670</v>
      </c>
      <c r="F133" s="11">
        <v>620</v>
      </c>
      <c r="G133" s="11">
        <v>20</v>
      </c>
      <c r="H133" s="13">
        <v>24</v>
      </c>
      <c r="I133" s="11">
        <v>585</v>
      </c>
      <c r="J133" s="11">
        <v>28</v>
      </c>
    </row>
    <row r="134" spans="1:10" ht="15" customHeight="1" x14ac:dyDescent="0.25">
      <c r="A134" s="12">
        <v>500</v>
      </c>
      <c r="B134" s="11">
        <v>16</v>
      </c>
      <c r="C134" s="12">
        <v>537</v>
      </c>
      <c r="D134" s="11">
        <v>42</v>
      </c>
      <c r="E134" s="11">
        <v>710</v>
      </c>
      <c r="F134" s="11">
        <v>650</v>
      </c>
      <c r="G134" s="12">
        <v>20</v>
      </c>
      <c r="H134" s="13">
        <v>30</v>
      </c>
      <c r="I134" s="12">
        <v>585</v>
      </c>
      <c r="J134" s="11">
        <v>30</v>
      </c>
    </row>
    <row r="135" spans="1:10" ht="15" customHeight="1" x14ac:dyDescent="0.25">
      <c r="A135" s="12">
        <v>500</v>
      </c>
      <c r="B135" s="11">
        <v>25</v>
      </c>
      <c r="C135" s="12">
        <v>537</v>
      </c>
      <c r="D135" s="11">
        <v>50</v>
      </c>
      <c r="E135" s="13">
        <v>730</v>
      </c>
      <c r="F135" s="11">
        <v>660</v>
      </c>
      <c r="G135" s="12">
        <v>20</v>
      </c>
      <c r="H135" s="11">
        <v>36</v>
      </c>
      <c r="I135" s="11">
        <v>615</v>
      </c>
      <c r="J135" s="11">
        <v>32</v>
      </c>
    </row>
    <row r="136" spans="1:10" x14ac:dyDescent="0.25">
      <c r="A136" s="11">
        <v>600</v>
      </c>
      <c r="B136" s="11" t="s">
        <v>2399</v>
      </c>
      <c r="C136" s="11">
        <v>537</v>
      </c>
      <c r="D136" s="11">
        <v>50</v>
      </c>
      <c r="E136" s="11">
        <v>730</v>
      </c>
      <c r="F136" s="11">
        <v>705</v>
      </c>
      <c r="G136" s="11">
        <v>20</v>
      </c>
      <c r="H136" s="11">
        <v>36</v>
      </c>
      <c r="I136" s="11">
        <v>670</v>
      </c>
      <c r="J136" s="11">
        <v>32</v>
      </c>
    </row>
    <row r="137" spans="1:10" x14ac:dyDescent="0.25">
      <c r="A137" s="12">
        <v>600</v>
      </c>
      <c r="B137" s="11">
        <v>6</v>
      </c>
      <c r="C137" s="12">
        <v>537</v>
      </c>
      <c r="D137" s="12">
        <v>50</v>
      </c>
      <c r="E137" s="12">
        <v>730</v>
      </c>
      <c r="F137" s="12">
        <v>705</v>
      </c>
      <c r="G137" s="12">
        <v>20</v>
      </c>
      <c r="H137" s="12">
        <v>36</v>
      </c>
      <c r="I137" s="12">
        <v>670</v>
      </c>
      <c r="J137" s="12">
        <v>32</v>
      </c>
    </row>
    <row r="138" spans="1:10" x14ac:dyDescent="0.25">
      <c r="A138" s="12">
        <v>600</v>
      </c>
      <c r="B138" s="11">
        <v>10</v>
      </c>
      <c r="C138" s="12">
        <v>537</v>
      </c>
      <c r="D138" s="12">
        <v>50</v>
      </c>
      <c r="E138" s="12">
        <v>730</v>
      </c>
      <c r="F138" s="11">
        <v>725</v>
      </c>
      <c r="G138" s="12">
        <v>20</v>
      </c>
      <c r="H138" s="12">
        <v>36</v>
      </c>
      <c r="I138" s="11">
        <v>685</v>
      </c>
      <c r="J138" s="12">
        <v>32</v>
      </c>
    </row>
    <row r="139" spans="1:10" x14ac:dyDescent="0.25">
      <c r="A139" s="12">
        <v>600</v>
      </c>
      <c r="B139" s="11">
        <v>16</v>
      </c>
      <c r="C139" s="12">
        <v>537</v>
      </c>
      <c r="D139" s="12">
        <v>50</v>
      </c>
      <c r="E139" s="12">
        <v>730</v>
      </c>
      <c r="F139" s="11">
        <v>770</v>
      </c>
      <c r="G139" s="12">
        <v>20</v>
      </c>
      <c r="H139" s="12">
        <v>36</v>
      </c>
      <c r="I139" s="11">
        <v>725</v>
      </c>
      <c r="J139" s="12">
        <v>32</v>
      </c>
    </row>
    <row r="140" spans="1:10" x14ac:dyDescent="0.25">
      <c r="A140" s="12">
        <v>600</v>
      </c>
      <c r="B140" s="11">
        <v>25</v>
      </c>
      <c r="C140" s="12">
        <v>537</v>
      </c>
      <c r="D140" s="12">
        <v>50</v>
      </c>
      <c r="E140" s="12">
        <v>730</v>
      </c>
      <c r="F140" s="12">
        <v>770</v>
      </c>
      <c r="G140" s="12">
        <v>20</v>
      </c>
      <c r="H140" s="12">
        <v>36</v>
      </c>
      <c r="I140" s="11">
        <v>720</v>
      </c>
      <c r="J140" s="12">
        <v>32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10DE-01F6-43D4-9346-5455EAB94BC1}">
  <sheetPr codeName="Лист20"/>
  <dimension ref="A1:M79"/>
  <sheetViews>
    <sheetView workbookViewId="0">
      <selection activeCell="R46" sqref="R46"/>
    </sheetView>
  </sheetViews>
  <sheetFormatPr defaultRowHeight="15" x14ac:dyDescent="0.25"/>
  <sheetData>
    <row r="1" spans="1:13" x14ac:dyDescent="0.25">
      <c r="A1" s="13" t="s">
        <v>2381</v>
      </c>
      <c r="B1" s="13" t="s">
        <v>2750</v>
      </c>
      <c r="C1" t="s">
        <v>2749</v>
      </c>
      <c r="D1" t="s">
        <v>2749</v>
      </c>
      <c r="E1" t="s">
        <v>2749</v>
      </c>
      <c r="F1" t="s">
        <v>2749</v>
      </c>
      <c r="G1" t="s">
        <v>2749</v>
      </c>
      <c r="H1" t="s">
        <v>2749</v>
      </c>
      <c r="I1" t="s">
        <v>2749</v>
      </c>
      <c r="J1" t="s">
        <v>2749</v>
      </c>
    </row>
    <row r="2" spans="1:13" x14ac:dyDescent="0.25">
      <c r="A2">
        <v>1</v>
      </c>
      <c r="B2">
        <v>1</v>
      </c>
      <c r="C2" s="11">
        <v>1</v>
      </c>
      <c r="D2" s="11" t="s">
        <v>2399</v>
      </c>
      <c r="E2" s="13">
        <v>6</v>
      </c>
      <c r="F2" s="13">
        <v>10</v>
      </c>
      <c r="G2" s="13">
        <v>16</v>
      </c>
      <c r="H2" s="13">
        <v>25</v>
      </c>
      <c r="I2" s="13">
        <v>40</v>
      </c>
      <c r="J2" s="13">
        <v>63</v>
      </c>
      <c r="K2" s="13"/>
      <c r="L2" s="13"/>
      <c r="M2" s="13"/>
    </row>
    <row r="3" spans="1:13" x14ac:dyDescent="0.25">
      <c r="A3" s="11">
        <v>10</v>
      </c>
      <c r="B3" s="11">
        <v>1</v>
      </c>
      <c r="C3" s="11" t="s">
        <v>2496</v>
      </c>
      <c r="D3" s="11" t="s">
        <v>2496</v>
      </c>
      <c r="E3" s="11" t="s">
        <v>2497</v>
      </c>
      <c r="F3" s="11" t="s">
        <v>2498</v>
      </c>
      <c r="G3" s="11" t="s">
        <v>2499</v>
      </c>
      <c r="H3" s="11" t="s">
        <v>2500</v>
      </c>
      <c r="I3" s="11">
        <v>40</v>
      </c>
      <c r="J3" s="11">
        <v>63</v>
      </c>
      <c r="K3" s="11"/>
      <c r="L3" s="11"/>
      <c r="M3" s="11"/>
    </row>
    <row r="4" spans="1:13" x14ac:dyDescent="0.25">
      <c r="A4" s="12">
        <v>10</v>
      </c>
      <c r="B4" s="11">
        <v>2</v>
      </c>
      <c r="C4" s="11" t="s">
        <v>2501</v>
      </c>
      <c r="D4" s="11" t="s">
        <v>2501</v>
      </c>
      <c r="E4" s="11" t="s">
        <v>2501</v>
      </c>
      <c r="F4" s="11" t="s">
        <v>2502</v>
      </c>
      <c r="G4" s="11" t="s">
        <v>2503</v>
      </c>
      <c r="H4" s="11" t="s">
        <v>2504</v>
      </c>
      <c r="I4" s="11">
        <v>40</v>
      </c>
      <c r="J4" s="11">
        <v>63</v>
      </c>
      <c r="K4" s="11"/>
      <c r="L4" s="11"/>
      <c r="M4" s="11"/>
    </row>
    <row r="5" spans="1:13" x14ac:dyDescent="0.25">
      <c r="A5" s="12">
        <v>10</v>
      </c>
      <c r="B5" s="11">
        <v>11</v>
      </c>
      <c r="C5" s="11" t="s">
        <v>2501</v>
      </c>
      <c r="D5" s="11" t="s">
        <v>2501</v>
      </c>
      <c r="E5" s="11" t="s">
        <v>2505</v>
      </c>
      <c r="F5" s="11" t="s">
        <v>2443</v>
      </c>
      <c r="G5" s="11" t="s">
        <v>2400</v>
      </c>
      <c r="H5" s="11" t="s">
        <v>2504</v>
      </c>
      <c r="I5" s="11" t="s">
        <v>2504</v>
      </c>
      <c r="J5" s="11" t="s">
        <v>2506</v>
      </c>
      <c r="K5" s="11"/>
      <c r="L5" s="11"/>
      <c r="M5" s="11"/>
    </row>
    <row r="6" spans="1:13" x14ac:dyDescent="0.25">
      <c r="A6" s="11">
        <v>15</v>
      </c>
      <c r="B6" s="11">
        <v>1</v>
      </c>
      <c r="C6" s="11" t="s">
        <v>2501</v>
      </c>
      <c r="D6" s="11" t="s">
        <v>2501</v>
      </c>
      <c r="E6" s="11" t="s">
        <v>2507</v>
      </c>
      <c r="F6" s="11" t="s">
        <v>2508</v>
      </c>
      <c r="G6" s="11" t="s">
        <v>2503</v>
      </c>
      <c r="H6" s="11" t="s">
        <v>2509</v>
      </c>
      <c r="I6" s="11" t="s">
        <v>2504</v>
      </c>
      <c r="J6" s="11" t="s">
        <v>2506</v>
      </c>
      <c r="K6" s="11"/>
      <c r="L6" s="11"/>
      <c r="M6" s="11"/>
    </row>
    <row r="7" spans="1:13" x14ac:dyDescent="0.25">
      <c r="A7" s="12">
        <v>15</v>
      </c>
      <c r="B7" s="11">
        <v>2</v>
      </c>
      <c r="C7" s="11" t="s">
        <v>2507</v>
      </c>
      <c r="D7" s="11" t="s">
        <v>2507</v>
      </c>
      <c r="E7" s="11" t="s">
        <v>2507</v>
      </c>
      <c r="F7" s="11" t="s">
        <v>2510</v>
      </c>
      <c r="G7" s="11" t="s">
        <v>2511</v>
      </c>
      <c r="H7" s="11" t="s">
        <v>2512</v>
      </c>
      <c r="I7" s="11" t="s">
        <v>2504</v>
      </c>
      <c r="J7" s="11" t="s">
        <v>2506</v>
      </c>
      <c r="K7" s="11"/>
      <c r="L7" s="11"/>
      <c r="M7" s="11"/>
    </row>
    <row r="8" spans="1:13" x14ac:dyDescent="0.25">
      <c r="A8" s="12">
        <v>15</v>
      </c>
      <c r="B8" s="11">
        <v>11</v>
      </c>
      <c r="C8" s="11" t="s">
        <v>2505</v>
      </c>
      <c r="D8" s="11" t="s">
        <v>2505</v>
      </c>
      <c r="E8" s="11" t="s">
        <v>2398</v>
      </c>
      <c r="F8" s="11" t="s">
        <v>2510</v>
      </c>
      <c r="G8" s="11" t="s">
        <v>2513</v>
      </c>
      <c r="H8" s="11" t="s">
        <v>2403</v>
      </c>
      <c r="I8" s="11" t="s">
        <v>2403</v>
      </c>
      <c r="J8" s="11" t="s">
        <v>2514</v>
      </c>
      <c r="K8" s="11"/>
      <c r="L8" s="11"/>
      <c r="M8" s="11"/>
    </row>
    <row r="9" spans="1:13" x14ac:dyDescent="0.25">
      <c r="A9" s="11">
        <v>20</v>
      </c>
      <c r="B9" s="11">
        <v>1</v>
      </c>
      <c r="C9" s="11" t="s">
        <v>2515</v>
      </c>
      <c r="D9" s="11" t="s">
        <v>2515</v>
      </c>
      <c r="E9" s="11" t="s">
        <v>2516</v>
      </c>
      <c r="F9" s="11" t="s">
        <v>2517</v>
      </c>
      <c r="G9" s="11" t="s">
        <v>2518</v>
      </c>
      <c r="H9" s="11" t="s">
        <v>2519</v>
      </c>
      <c r="I9" s="11" t="s">
        <v>2403</v>
      </c>
      <c r="J9" s="11" t="s">
        <v>2514</v>
      </c>
      <c r="K9" s="11"/>
      <c r="L9" s="11"/>
      <c r="M9" s="11"/>
    </row>
    <row r="10" spans="1:13" x14ac:dyDescent="0.25">
      <c r="A10" s="12">
        <v>20</v>
      </c>
      <c r="B10" s="11">
        <v>2</v>
      </c>
      <c r="C10" s="11" t="s">
        <v>2520</v>
      </c>
      <c r="D10" s="11" t="s">
        <v>2520</v>
      </c>
      <c r="E10" s="11" t="s">
        <v>2520</v>
      </c>
      <c r="F10" s="11" t="s">
        <v>2521</v>
      </c>
      <c r="G10" s="11" t="s">
        <v>2522</v>
      </c>
      <c r="H10" s="11" t="s">
        <v>2523</v>
      </c>
      <c r="I10" s="11" t="s">
        <v>2403</v>
      </c>
      <c r="J10" s="11" t="s">
        <v>2514</v>
      </c>
      <c r="K10" s="11"/>
      <c r="L10" s="11"/>
      <c r="M10" s="11"/>
    </row>
    <row r="11" spans="1:13" x14ac:dyDescent="0.25">
      <c r="A11" s="12">
        <v>20</v>
      </c>
      <c r="B11" s="11">
        <v>11</v>
      </c>
      <c r="C11" s="11" t="s">
        <v>2498</v>
      </c>
      <c r="D11" s="11" t="s">
        <v>2498</v>
      </c>
      <c r="E11" s="11" t="s">
        <v>2516</v>
      </c>
      <c r="F11" s="11" t="s">
        <v>2524</v>
      </c>
      <c r="G11" s="11" t="s">
        <v>2524</v>
      </c>
      <c r="H11" s="11" t="s">
        <v>2525</v>
      </c>
      <c r="I11" s="11" t="s">
        <v>2525</v>
      </c>
      <c r="J11" s="11" t="s">
        <v>2526</v>
      </c>
      <c r="K11" s="11"/>
      <c r="L11" s="11"/>
      <c r="M11" s="11"/>
    </row>
    <row r="12" spans="1:13" x14ac:dyDescent="0.25">
      <c r="A12" s="11">
        <v>25</v>
      </c>
      <c r="B12" s="11">
        <v>1</v>
      </c>
      <c r="C12" s="11" t="s">
        <v>2528</v>
      </c>
      <c r="D12" s="11" t="s">
        <v>2528</v>
      </c>
      <c r="E12" s="11" t="s">
        <v>2500</v>
      </c>
      <c r="F12" s="11" t="s">
        <v>2529</v>
      </c>
      <c r="G12" s="11" t="s">
        <v>2530</v>
      </c>
      <c r="H12" s="11" t="s">
        <v>2530</v>
      </c>
      <c r="I12" s="11" t="s">
        <v>2525</v>
      </c>
      <c r="J12" s="11" t="s">
        <v>2526</v>
      </c>
      <c r="K12" s="11"/>
      <c r="L12" s="11"/>
      <c r="M12" s="11"/>
    </row>
    <row r="13" spans="1:13" x14ac:dyDescent="0.25">
      <c r="A13" s="12">
        <v>25</v>
      </c>
      <c r="B13" s="11">
        <v>2</v>
      </c>
      <c r="C13" s="11" t="s">
        <v>2400</v>
      </c>
      <c r="D13" s="11" t="s">
        <v>2400</v>
      </c>
      <c r="E13" s="11" t="s">
        <v>2400</v>
      </c>
      <c r="F13" s="11" t="s">
        <v>2531</v>
      </c>
      <c r="G13" s="11" t="s">
        <v>2445</v>
      </c>
      <c r="H13" s="11" t="s">
        <v>2532</v>
      </c>
      <c r="I13" s="11" t="s">
        <v>2525</v>
      </c>
      <c r="J13" s="11" t="s">
        <v>2526</v>
      </c>
      <c r="K13" s="11"/>
      <c r="L13" s="11"/>
      <c r="M13" s="11"/>
    </row>
    <row r="14" spans="1:13" x14ac:dyDescent="0.25">
      <c r="A14" s="12">
        <v>25</v>
      </c>
      <c r="B14" s="11">
        <v>11</v>
      </c>
      <c r="C14" s="11" t="s">
        <v>2528</v>
      </c>
      <c r="D14" s="11" t="s">
        <v>2528</v>
      </c>
      <c r="E14" s="11" t="s">
        <v>2512</v>
      </c>
      <c r="F14" s="11" t="s">
        <v>2523</v>
      </c>
      <c r="G14" s="11" t="s">
        <v>2523</v>
      </c>
      <c r="H14" s="11" t="s">
        <v>2533</v>
      </c>
      <c r="I14" s="11" t="s">
        <v>2533</v>
      </c>
      <c r="J14" s="11" t="s">
        <v>2451</v>
      </c>
      <c r="K14" s="11"/>
      <c r="L14" s="11"/>
      <c r="M14" s="11"/>
    </row>
    <row r="15" spans="1:13" x14ac:dyDescent="0.25">
      <c r="A15" s="11">
        <v>32</v>
      </c>
      <c r="B15" s="11">
        <v>1</v>
      </c>
      <c r="C15" s="11" t="s">
        <v>2534</v>
      </c>
      <c r="D15" s="11" t="s">
        <v>2534</v>
      </c>
      <c r="E15" s="11" t="s">
        <v>2535</v>
      </c>
      <c r="F15" s="11" t="s">
        <v>2404</v>
      </c>
      <c r="G15" s="11" t="s">
        <v>2536</v>
      </c>
      <c r="H15" s="11" t="s">
        <v>2537</v>
      </c>
      <c r="I15" s="11" t="s">
        <v>2533</v>
      </c>
      <c r="J15" s="11" t="s">
        <v>2451</v>
      </c>
      <c r="K15" s="11"/>
      <c r="L15" s="11"/>
      <c r="M15" s="11"/>
    </row>
    <row r="16" spans="1:13" x14ac:dyDescent="0.25">
      <c r="A16" s="12">
        <v>32</v>
      </c>
      <c r="B16" s="11">
        <v>2</v>
      </c>
      <c r="C16" s="11" t="s">
        <v>2524</v>
      </c>
      <c r="D16" s="11" t="s">
        <v>2524</v>
      </c>
      <c r="E16" s="11" t="s">
        <v>2524</v>
      </c>
      <c r="F16" s="11" t="s">
        <v>2538</v>
      </c>
      <c r="G16" s="11" t="s">
        <v>2539</v>
      </c>
      <c r="H16" s="11" t="s">
        <v>2540</v>
      </c>
      <c r="I16" s="11" t="s">
        <v>2533</v>
      </c>
      <c r="J16" s="11" t="s">
        <v>2451</v>
      </c>
      <c r="K16" s="11"/>
      <c r="L16" s="11"/>
      <c r="M16" s="11"/>
    </row>
    <row r="17" spans="1:13" x14ac:dyDescent="0.25">
      <c r="A17" s="12">
        <v>32</v>
      </c>
      <c r="B17" s="11">
        <v>11</v>
      </c>
      <c r="C17" s="11" t="s">
        <v>2541</v>
      </c>
      <c r="D17" s="11" t="s">
        <v>2541</v>
      </c>
      <c r="E17" s="11" t="s">
        <v>2445</v>
      </c>
      <c r="F17" s="11" t="s">
        <v>2542</v>
      </c>
      <c r="G17" s="11" t="s">
        <v>2542</v>
      </c>
      <c r="H17" s="11" t="s">
        <v>2543</v>
      </c>
      <c r="I17" s="11" t="s">
        <v>2543</v>
      </c>
      <c r="J17" s="11" t="s">
        <v>2544</v>
      </c>
      <c r="K17" s="11"/>
      <c r="L17" s="11"/>
      <c r="M17" s="11"/>
    </row>
    <row r="18" spans="1:13" x14ac:dyDescent="0.25">
      <c r="A18" s="11">
        <v>40</v>
      </c>
      <c r="B18" s="11">
        <v>1</v>
      </c>
      <c r="C18" s="11" t="s">
        <v>2545</v>
      </c>
      <c r="D18" s="11" t="s">
        <v>2545</v>
      </c>
      <c r="E18" s="11" t="s">
        <v>2546</v>
      </c>
      <c r="F18" s="11" t="s">
        <v>2547</v>
      </c>
      <c r="G18" s="11" t="s">
        <v>2548</v>
      </c>
      <c r="H18" s="11" t="s">
        <v>2549</v>
      </c>
      <c r="I18" s="11" t="s">
        <v>2543</v>
      </c>
      <c r="J18" s="11" t="s">
        <v>2544</v>
      </c>
      <c r="K18" s="11"/>
      <c r="L18" s="11"/>
      <c r="M18" s="11"/>
    </row>
    <row r="19" spans="1:13" x14ac:dyDescent="0.25">
      <c r="A19" s="12">
        <v>40</v>
      </c>
      <c r="B19" s="11">
        <v>2</v>
      </c>
      <c r="C19" s="11" t="s">
        <v>2550</v>
      </c>
      <c r="D19" s="11" t="s">
        <v>2550</v>
      </c>
      <c r="E19" s="11" t="s">
        <v>2550</v>
      </c>
      <c r="F19" s="11" t="s">
        <v>2551</v>
      </c>
      <c r="G19" s="11" t="s">
        <v>2552</v>
      </c>
      <c r="H19" s="11" t="s">
        <v>2553</v>
      </c>
      <c r="I19" s="11" t="s">
        <v>2543</v>
      </c>
      <c r="J19" s="11" t="s">
        <v>2544</v>
      </c>
      <c r="K19" s="11"/>
      <c r="L19" s="11"/>
      <c r="M19" s="11"/>
    </row>
    <row r="20" spans="1:13" x14ac:dyDescent="0.25">
      <c r="A20" s="12">
        <v>40</v>
      </c>
      <c r="B20" s="11">
        <v>11</v>
      </c>
      <c r="C20" s="11" t="s">
        <v>2554</v>
      </c>
      <c r="D20" s="11" t="s">
        <v>2554</v>
      </c>
      <c r="E20" s="11" t="s">
        <v>2555</v>
      </c>
      <c r="F20" s="11" t="s">
        <v>2556</v>
      </c>
      <c r="G20" s="11" t="s">
        <v>2543</v>
      </c>
      <c r="H20" s="11" t="s">
        <v>2557</v>
      </c>
      <c r="I20" s="11" t="s">
        <v>2557</v>
      </c>
      <c r="J20" s="11" t="s">
        <v>2558</v>
      </c>
      <c r="K20" s="11"/>
      <c r="L20" s="11"/>
      <c r="M20" s="11"/>
    </row>
    <row r="21" spans="1:13" x14ac:dyDescent="0.25">
      <c r="A21" s="11">
        <v>50</v>
      </c>
      <c r="B21" s="11">
        <v>1</v>
      </c>
      <c r="C21" s="11" t="s">
        <v>2559</v>
      </c>
      <c r="D21" s="11" t="s">
        <v>2559</v>
      </c>
      <c r="E21" s="11" t="s">
        <v>2560</v>
      </c>
      <c r="F21" s="11" t="s">
        <v>2561</v>
      </c>
      <c r="G21" s="11" t="s">
        <v>2562</v>
      </c>
      <c r="H21" s="11" t="s">
        <v>2456</v>
      </c>
      <c r="I21" s="11" t="s">
        <v>2557</v>
      </c>
      <c r="J21" s="11" t="s">
        <v>2558</v>
      </c>
      <c r="K21" s="11"/>
      <c r="L21" s="11"/>
      <c r="M21" s="11"/>
    </row>
    <row r="22" spans="1:13" x14ac:dyDescent="0.25">
      <c r="A22" s="12">
        <v>50</v>
      </c>
      <c r="B22" s="11">
        <v>2</v>
      </c>
      <c r="C22" s="11" t="s">
        <v>2563</v>
      </c>
      <c r="D22" s="11" t="s">
        <v>2563</v>
      </c>
      <c r="E22" s="11" t="s">
        <v>2563</v>
      </c>
      <c r="F22" s="11" t="s">
        <v>2564</v>
      </c>
      <c r="G22" s="11" t="s">
        <v>2527</v>
      </c>
      <c r="H22" s="11" t="s">
        <v>2565</v>
      </c>
      <c r="I22" s="11" t="s">
        <v>2557</v>
      </c>
      <c r="J22" s="11" t="s">
        <v>2558</v>
      </c>
      <c r="K22" s="11"/>
      <c r="L22" s="11"/>
      <c r="M22" s="11"/>
    </row>
    <row r="23" spans="1:13" x14ac:dyDescent="0.25">
      <c r="A23" s="12">
        <v>50</v>
      </c>
      <c r="B23" s="11">
        <v>11</v>
      </c>
      <c r="C23" s="11" t="s">
        <v>2566</v>
      </c>
      <c r="D23" s="11" t="s">
        <v>2566</v>
      </c>
      <c r="E23" s="11" t="s">
        <v>2567</v>
      </c>
      <c r="F23" s="11" t="s">
        <v>2568</v>
      </c>
      <c r="G23" s="11" t="s">
        <v>2569</v>
      </c>
      <c r="H23" s="11" t="s">
        <v>2570</v>
      </c>
      <c r="I23" s="11" t="s">
        <v>2571</v>
      </c>
      <c r="J23" s="11" t="s">
        <v>2572</v>
      </c>
      <c r="K23" s="11"/>
      <c r="L23" s="11"/>
      <c r="M23" s="11"/>
    </row>
    <row r="24" spans="1:13" x14ac:dyDescent="0.25">
      <c r="A24" s="11">
        <v>65</v>
      </c>
      <c r="B24" s="11">
        <v>1</v>
      </c>
      <c r="C24" s="11" t="s">
        <v>2574</v>
      </c>
      <c r="D24" s="11" t="s">
        <v>2574</v>
      </c>
      <c r="E24" s="11" t="s">
        <v>2575</v>
      </c>
      <c r="F24" s="11" t="s">
        <v>2456</v>
      </c>
      <c r="G24" s="11" t="s">
        <v>2576</v>
      </c>
      <c r="H24" s="11" t="s">
        <v>2577</v>
      </c>
      <c r="I24" s="11" t="s">
        <v>2571</v>
      </c>
      <c r="J24" s="11" t="s">
        <v>2572</v>
      </c>
      <c r="K24" s="11"/>
      <c r="L24" s="11"/>
      <c r="M24" s="11"/>
    </row>
    <row r="25" spans="1:13" x14ac:dyDescent="0.25">
      <c r="A25" s="12">
        <v>65</v>
      </c>
      <c r="B25" s="11">
        <v>2</v>
      </c>
      <c r="C25" s="11" t="s">
        <v>2578</v>
      </c>
      <c r="D25" s="11" t="s">
        <v>2578</v>
      </c>
      <c r="E25" s="11" t="s">
        <v>2578</v>
      </c>
      <c r="F25" s="11" t="s">
        <v>2579</v>
      </c>
      <c r="G25" s="11" t="s">
        <v>2580</v>
      </c>
      <c r="H25" s="11" t="s">
        <v>2581</v>
      </c>
      <c r="I25" s="11" t="s">
        <v>2571</v>
      </c>
      <c r="J25" s="11" t="s">
        <v>2572</v>
      </c>
      <c r="K25" s="11"/>
      <c r="L25" s="11"/>
      <c r="M25" s="11"/>
    </row>
    <row r="26" spans="1:13" x14ac:dyDescent="0.25">
      <c r="A26" s="12">
        <v>65</v>
      </c>
      <c r="B26" s="11">
        <v>11</v>
      </c>
      <c r="C26" s="11" t="s">
        <v>2582</v>
      </c>
      <c r="D26" s="11" t="s">
        <v>2582</v>
      </c>
      <c r="E26" s="11" t="s">
        <v>2561</v>
      </c>
      <c r="F26" s="11" t="s">
        <v>2583</v>
      </c>
      <c r="G26" s="11" t="s">
        <v>2584</v>
      </c>
      <c r="H26" s="11" t="s">
        <v>2585</v>
      </c>
      <c r="I26" s="11" t="s">
        <v>2586</v>
      </c>
      <c r="J26" s="11" t="s">
        <v>2587</v>
      </c>
      <c r="K26" s="11"/>
      <c r="L26" s="11"/>
      <c r="M26" s="11"/>
    </row>
    <row r="27" spans="1:13" x14ac:dyDescent="0.25">
      <c r="A27" s="11">
        <v>80</v>
      </c>
      <c r="B27" s="11">
        <v>1</v>
      </c>
      <c r="C27" s="11" t="s">
        <v>2588</v>
      </c>
      <c r="D27" s="11" t="s">
        <v>2588</v>
      </c>
      <c r="E27" s="11" t="s">
        <v>2589</v>
      </c>
      <c r="F27" s="11" t="s">
        <v>2584</v>
      </c>
      <c r="G27" s="11" t="s">
        <v>2585</v>
      </c>
      <c r="H27" s="11" t="s">
        <v>2590</v>
      </c>
      <c r="I27" s="11" t="s">
        <v>2586</v>
      </c>
      <c r="J27" s="11" t="s">
        <v>2587</v>
      </c>
      <c r="K27" s="11"/>
      <c r="L27" s="11"/>
      <c r="M27" s="11"/>
    </row>
    <row r="28" spans="1:13" x14ac:dyDescent="0.25">
      <c r="A28" s="12">
        <v>80</v>
      </c>
      <c r="B28" s="11">
        <v>2</v>
      </c>
      <c r="C28" s="11" t="s">
        <v>2591</v>
      </c>
      <c r="D28" s="11" t="s">
        <v>2591</v>
      </c>
      <c r="E28" s="11" t="s">
        <v>2591</v>
      </c>
      <c r="F28" s="11" t="s">
        <v>2592</v>
      </c>
      <c r="G28" s="11" t="s">
        <v>2593</v>
      </c>
      <c r="H28" s="11" t="s">
        <v>2594</v>
      </c>
      <c r="I28" s="11" t="s">
        <v>2586</v>
      </c>
      <c r="J28" s="11" t="s">
        <v>2587</v>
      </c>
      <c r="K28" s="11"/>
      <c r="L28" s="11"/>
      <c r="M28" s="11"/>
    </row>
    <row r="29" spans="1:13" x14ac:dyDescent="0.25">
      <c r="A29" s="12">
        <v>80</v>
      </c>
      <c r="B29" s="11">
        <v>11</v>
      </c>
      <c r="C29" s="11" t="s">
        <v>2595</v>
      </c>
      <c r="D29" s="11" t="s">
        <v>2595</v>
      </c>
      <c r="E29" s="11" t="s">
        <v>2596</v>
      </c>
      <c r="F29" s="11" t="s">
        <v>2597</v>
      </c>
      <c r="G29" s="11" t="s">
        <v>2598</v>
      </c>
      <c r="H29" s="11" t="s">
        <v>2599</v>
      </c>
      <c r="I29" s="11" t="s">
        <v>2600</v>
      </c>
      <c r="J29" s="11" t="s">
        <v>2601</v>
      </c>
      <c r="K29" s="11"/>
      <c r="L29" s="11"/>
      <c r="M29" s="11"/>
    </row>
    <row r="30" spans="1:13" x14ac:dyDescent="0.25">
      <c r="A30" s="11">
        <v>100</v>
      </c>
      <c r="B30" s="11">
        <v>1</v>
      </c>
      <c r="C30" s="11" t="s">
        <v>2603</v>
      </c>
      <c r="D30" s="11" t="s">
        <v>2603</v>
      </c>
      <c r="E30" s="11" t="s">
        <v>2604</v>
      </c>
      <c r="F30" s="11" t="s">
        <v>2605</v>
      </c>
      <c r="G30" s="11" t="s">
        <v>2606</v>
      </c>
      <c r="H30" s="11" t="s">
        <v>2607</v>
      </c>
      <c r="I30" s="11" t="s">
        <v>2600</v>
      </c>
      <c r="J30" s="11" t="s">
        <v>2601</v>
      </c>
      <c r="K30" s="11"/>
      <c r="L30" s="11"/>
      <c r="M30" s="11"/>
    </row>
    <row r="31" spans="1:13" x14ac:dyDescent="0.25">
      <c r="A31" s="12">
        <v>100</v>
      </c>
      <c r="B31" s="11">
        <v>2</v>
      </c>
      <c r="C31" s="11" t="s">
        <v>2608</v>
      </c>
      <c r="D31" s="11" t="s">
        <v>2608</v>
      </c>
      <c r="E31" s="11" t="s">
        <v>2608</v>
      </c>
      <c r="F31" s="11" t="s">
        <v>2609</v>
      </c>
      <c r="G31" s="11" t="s">
        <v>2610</v>
      </c>
      <c r="H31" s="11" t="s">
        <v>2611</v>
      </c>
      <c r="I31" s="11" t="s">
        <v>2600</v>
      </c>
      <c r="J31" s="11" t="s">
        <v>2601</v>
      </c>
      <c r="K31" s="11"/>
      <c r="L31" s="11"/>
      <c r="M31" s="11"/>
    </row>
    <row r="32" spans="1:13" x14ac:dyDescent="0.25">
      <c r="A32" s="12">
        <v>100</v>
      </c>
      <c r="B32" s="11">
        <v>11</v>
      </c>
      <c r="C32" s="11" t="s">
        <v>2612</v>
      </c>
      <c r="D32" s="11" t="s">
        <v>2612</v>
      </c>
      <c r="E32" s="11" t="s">
        <v>2613</v>
      </c>
      <c r="F32" s="11" t="s">
        <v>2459</v>
      </c>
      <c r="G32" s="11" t="s">
        <v>2411</v>
      </c>
      <c r="H32" s="11" t="s">
        <v>2614</v>
      </c>
      <c r="I32" s="11" t="s">
        <v>2466</v>
      </c>
      <c r="J32" s="11" t="s">
        <v>2615</v>
      </c>
      <c r="K32" s="11"/>
      <c r="L32" s="11"/>
      <c r="M32" s="11"/>
    </row>
    <row r="33" spans="1:13" x14ac:dyDescent="0.25">
      <c r="A33" s="11">
        <v>125</v>
      </c>
      <c r="B33" s="11">
        <v>1</v>
      </c>
      <c r="C33" s="11" t="s">
        <v>2453</v>
      </c>
      <c r="D33" s="11" t="s">
        <v>2453</v>
      </c>
      <c r="E33" s="11" t="s">
        <v>2616</v>
      </c>
      <c r="F33" s="11" t="s">
        <v>2469</v>
      </c>
      <c r="G33" s="11" t="s">
        <v>2617</v>
      </c>
      <c r="H33" s="11" t="s">
        <v>2618</v>
      </c>
      <c r="I33" s="11" t="s">
        <v>2466</v>
      </c>
      <c r="J33" s="11" t="s">
        <v>2615</v>
      </c>
      <c r="K33" s="11"/>
      <c r="L33" s="11"/>
      <c r="M33" s="11"/>
    </row>
    <row r="34" spans="1:13" x14ac:dyDescent="0.25">
      <c r="A34" s="12">
        <v>125</v>
      </c>
      <c r="B34" s="11">
        <v>2</v>
      </c>
      <c r="C34" s="11" t="s">
        <v>2619</v>
      </c>
      <c r="D34" s="11" t="s">
        <v>2619</v>
      </c>
      <c r="E34" s="11" t="s">
        <v>2619</v>
      </c>
      <c r="F34" s="11" t="s">
        <v>2620</v>
      </c>
      <c r="G34" s="11" t="s">
        <v>2621</v>
      </c>
      <c r="H34" s="11" t="s">
        <v>2622</v>
      </c>
      <c r="I34" s="11" t="s">
        <v>2466</v>
      </c>
      <c r="J34" s="11" t="s">
        <v>2615</v>
      </c>
      <c r="K34" s="11"/>
      <c r="L34" s="11"/>
      <c r="M34" s="11"/>
    </row>
    <row r="35" spans="1:13" x14ac:dyDescent="0.25">
      <c r="A35" s="12">
        <v>125</v>
      </c>
      <c r="B35" s="11">
        <v>11</v>
      </c>
      <c r="C35" s="11" t="s">
        <v>2586</v>
      </c>
      <c r="D35" s="11" t="s">
        <v>2586</v>
      </c>
      <c r="E35" s="11" t="s">
        <v>2623</v>
      </c>
      <c r="F35" s="11" t="s">
        <v>2624</v>
      </c>
      <c r="G35" s="11" t="s">
        <v>2624</v>
      </c>
      <c r="H35" s="11" t="s">
        <v>2625</v>
      </c>
      <c r="I35" s="11" t="s">
        <v>2423</v>
      </c>
      <c r="J35" s="11" t="s">
        <v>2626</v>
      </c>
      <c r="K35" s="11"/>
      <c r="L35" s="11"/>
      <c r="M35" s="11"/>
    </row>
    <row r="36" spans="1:13" x14ac:dyDescent="0.25">
      <c r="A36" s="11">
        <v>150</v>
      </c>
      <c r="B36" s="11">
        <v>1</v>
      </c>
      <c r="C36" s="11" t="s">
        <v>2627</v>
      </c>
      <c r="D36" s="11" t="s">
        <v>2627</v>
      </c>
      <c r="E36" s="11" t="s">
        <v>2628</v>
      </c>
      <c r="F36" s="11" t="s">
        <v>2629</v>
      </c>
      <c r="G36" s="11" t="s">
        <v>2467</v>
      </c>
      <c r="H36" s="11" t="s">
        <v>2602</v>
      </c>
      <c r="I36" s="11" t="s">
        <v>2423</v>
      </c>
      <c r="J36" s="11" t="s">
        <v>2626</v>
      </c>
      <c r="K36" s="11"/>
      <c r="L36" s="11"/>
      <c r="M36" s="11"/>
    </row>
    <row r="37" spans="1:13" x14ac:dyDescent="0.25">
      <c r="A37" s="12">
        <v>150</v>
      </c>
      <c r="B37" s="11">
        <v>2</v>
      </c>
      <c r="C37" s="11" t="s">
        <v>2630</v>
      </c>
      <c r="D37" s="11" t="s">
        <v>2630</v>
      </c>
      <c r="E37" s="11" t="s">
        <v>2630</v>
      </c>
      <c r="F37" s="11" t="s">
        <v>2631</v>
      </c>
      <c r="G37" s="11" t="s">
        <v>2632</v>
      </c>
      <c r="H37" s="11" t="s">
        <v>2633</v>
      </c>
      <c r="I37" s="11" t="s">
        <v>2423</v>
      </c>
      <c r="J37" s="11" t="s">
        <v>2626</v>
      </c>
      <c r="K37" s="11"/>
      <c r="L37" s="11"/>
      <c r="M37" s="11"/>
    </row>
    <row r="38" spans="1:13" x14ac:dyDescent="0.25">
      <c r="A38" s="12">
        <v>150</v>
      </c>
      <c r="B38" s="11">
        <v>11</v>
      </c>
      <c r="C38" s="11" t="s">
        <v>2634</v>
      </c>
      <c r="D38" s="11" t="s">
        <v>2634</v>
      </c>
      <c r="E38" s="11" t="s">
        <v>2635</v>
      </c>
      <c r="F38" s="11" t="s">
        <v>2636</v>
      </c>
      <c r="G38" s="11" t="s">
        <v>2488</v>
      </c>
      <c r="H38" s="11" t="s">
        <v>2637</v>
      </c>
      <c r="I38" s="11" t="s">
        <v>2638</v>
      </c>
      <c r="J38" s="11" t="s">
        <v>2639</v>
      </c>
      <c r="K38" s="11"/>
      <c r="L38" s="11"/>
      <c r="M38" s="11"/>
    </row>
    <row r="39" spans="1:13" x14ac:dyDescent="0.25">
      <c r="A39" s="11">
        <v>200</v>
      </c>
      <c r="B39" s="11">
        <v>1</v>
      </c>
      <c r="C39" s="11" t="s">
        <v>2606</v>
      </c>
      <c r="D39" s="11" t="s">
        <v>2606</v>
      </c>
      <c r="E39" s="11" t="s">
        <v>2417</v>
      </c>
      <c r="F39" s="11" t="s">
        <v>2641</v>
      </c>
      <c r="G39" s="11" t="s">
        <v>2423</v>
      </c>
      <c r="H39" s="11" t="s">
        <v>2642</v>
      </c>
      <c r="I39" s="11" t="s">
        <v>2638</v>
      </c>
      <c r="J39" s="11" t="s">
        <v>2639</v>
      </c>
      <c r="K39" s="11"/>
      <c r="L39" s="11"/>
      <c r="M39" s="11"/>
    </row>
    <row r="40" spans="1:13" x14ac:dyDescent="0.25">
      <c r="A40" s="12">
        <v>200</v>
      </c>
      <c r="B40" s="11">
        <v>2</v>
      </c>
      <c r="C40" s="11" t="s">
        <v>2610</v>
      </c>
      <c r="D40" s="11" t="s">
        <v>2610</v>
      </c>
      <c r="E40" s="11" t="s">
        <v>2610</v>
      </c>
      <c r="F40" s="11" t="s">
        <v>2643</v>
      </c>
      <c r="G40" s="11" t="s">
        <v>2644</v>
      </c>
      <c r="H40" s="11" t="s">
        <v>2637</v>
      </c>
      <c r="I40" s="11" t="s">
        <v>2638</v>
      </c>
      <c r="J40" s="11" t="s">
        <v>2639</v>
      </c>
      <c r="K40" s="11"/>
      <c r="L40" s="11"/>
      <c r="M40" s="11"/>
    </row>
    <row r="41" spans="1:13" x14ac:dyDescent="0.25">
      <c r="A41" s="12">
        <v>200</v>
      </c>
      <c r="B41" s="11">
        <v>11</v>
      </c>
      <c r="C41" s="11" t="s">
        <v>2645</v>
      </c>
      <c r="D41" s="11" t="s">
        <v>2645</v>
      </c>
      <c r="E41" s="11" t="s">
        <v>2646</v>
      </c>
      <c r="F41" s="11" t="s">
        <v>2647</v>
      </c>
      <c r="G41" s="11" t="s">
        <v>2648</v>
      </c>
      <c r="H41" s="11" t="s">
        <v>2649</v>
      </c>
      <c r="I41" s="11" t="s">
        <v>2650</v>
      </c>
      <c r="J41" s="11" t="s">
        <v>2651</v>
      </c>
      <c r="K41" s="11"/>
      <c r="L41" s="11"/>
      <c r="M41" s="11"/>
    </row>
    <row r="42" spans="1:13" x14ac:dyDescent="0.25">
      <c r="A42" s="11">
        <v>250</v>
      </c>
      <c r="B42" s="11">
        <v>1</v>
      </c>
      <c r="C42" s="11" t="s">
        <v>2652</v>
      </c>
      <c r="D42" s="11" t="s">
        <v>2652</v>
      </c>
      <c r="E42" s="11" t="s">
        <v>2653</v>
      </c>
      <c r="F42" s="11" t="s">
        <v>2615</v>
      </c>
      <c r="G42" s="11" t="s">
        <v>2654</v>
      </c>
      <c r="H42" s="11" t="s">
        <v>2655</v>
      </c>
      <c r="I42" s="11" t="s">
        <v>2650</v>
      </c>
      <c r="J42" s="11" t="s">
        <v>2651</v>
      </c>
      <c r="K42" s="11"/>
      <c r="L42" s="11"/>
      <c r="M42" s="11"/>
    </row>
    <row r="43" spans="1:13" x14ac:dyDescent="0.25">
      <c r="A43" s="12">
        <v>250</v>
      </c>
      <c r="B43" s="11">
        <v>2</v>
      </c>
      <c r="C43" s="11" t="s">
        <v>2617</v>
      </c>
      <c r="D43" s="11" t="s">
        <v>2617</v>
      </c>
      <c r="E43" s="11" t="s">
        <v>2617</v>
      </c>
      <c r="F43" s="11" t="s">
        <v>2573</v>
      </c>
      <c r="G43" s="11" t="s">
        <v>2656</v>
      </c>
      <c r="H43" s="11" t="s">
        <v>2657</v>
      </c>
      <c r="I43" s="11" t="s">
        <v>2650</v>
      </c>
      <c r="J43" s="11" t="s">
        <v>2651</v>
      </c>
      <c r="K43" s="11"/>
      <c r="L43" s="11"/>
      <c r="M43" s="11"/>
    </row>
    <row r="44" spans="1:13" x14ac:dyDescent="0.25">
      <c r="A44" s="12">
        <v>250</v>
      </c>
      <c r="B44" s="11">
        <v>11</v>
      </c>
      <c r="C44" s="11" t="s">
        <v>2658</v>
      </c>
      <c r="D44" s="11" t="s">
        <v>2658</v>
      </c>
      <c r="E44" s="11" t="s">
        <v>2659</v>
      </c>
      <c r="F44" s="11" t="s">
        <v>2660</v>
      </c>
      <c r="G44" s="11" t="s">
        <v>2649</v>
      </c>
      <c r="H44" s="11" t="s">
        <v>2661</v>
      </c>
      <c r="I44" s="11" t="s">
        <v>2662</v>
      </c>
      <c r="J44" s="11" t="s">
        <v>2663</v>
      </c>
      <c r="K44" s="11"/>
      <c r="L44" s="11"/>
      <c r="M44" s="11"/>
    </row>
    <row r="45" spans="1:13" x14ac:dyDescent="0.25">
      <c r="A45" s="11">
        <v>300</v>
      </c>
      <c r="B45" s="11">
        <v>1</v>
      </c>
      <c r="C45" s="11" t="s">
        <v>2664</v>
      </c>
      <c r="D45" s="11" t="s">
        <v>2664</v>
      </c>
      <c r="E45" s="11" t="s">
        <v>2665</v>
      </c>
      <c r="F45" s="11" t="s">
        <v>2666</v>
      </c>
      <c r="G45" s="11" t="s">
        <v>2667</v>
      </c>
      <c r="H45" s="11">
        <v>24</v>
      </c>
      <c r="I45" s="11" t="s">
        <v>2662</v>
      </c>
      <c r="J45" s="11" t="s">
        <v>2663</v>
      </c>
      <c r="K45" s="11"/>
      <c r="L45" s="11"/>
      <c r="M45" s="11"/>
    </row>
    <row r="46" spans="1:13" x14ac:dyDescent="0.25">
      <c r="A46" s="12">
        <v>300</v>
      </c>
      <c r="B46" s="11">
        <v>2</v>
      </c>
      <c r="C46" s="11" t="s">
        <v>2668</v>
      </c>
      <c r="D46" s="11" t="s">
        <v>2668</v>
      </c>
      <c r="E46" s="11" t="s">
        <v>2668</v>
      </c>
      <c r="F46" s="11" t="s">
        <v>2656</v>
      </c>
      <c r="G46" s="11" t="s">
        <v>2669</v>
      </c>
      <c r="H46" s="11" t="s">
        <v>2670</v>
      </c>
      <c r="I46" s="11" t="s">
        <v>2662</v>
      </c>
      <c r="J46" s="11" t="s">
        <v>2663</v>
      </c>
      <c r="K46" s="11"/>
      <c r="L46" s="11"/>
      <c r="M46" s="11"/>
    </row>
    <row r="47" spans="1:13" x14ac:dyDescent="0.25">
      <c r="A47" s="12">
        <v>300</v>
      </c>
      <c r="B47" s="11">
        <v>11</v>
      </c>
      <c r="C47" s="11" t="s">
        <v>2671</v>
      </c>
      <c r="D47" s="11" t="s">
        <v>2671</v>
      </c>
      <c r="E47" s="11" t="s">
        <v>2672</v>
      </c>
      <c r="F47" s="11" t="s">
        <v>2673</v>
      </c>
      <c r="G47" s="11" t="s">
        <v>2670</v>
      </c>
      <c r="H47" s="11" t="s">
        <v>2674</v>
      </c>
      <c r="I47" s="11" t="s">
        <v>2675</v>
      </c>
      <c r="J47" s="11" t="s">
        <v>2676</v>
      </c>
      <c r="K47" s="11"/>
      <c r="L47" s="11"/>
      <c r="M47" s="11"/>
    </row>
    <row r="48" spans="1:13" x14ac:dyDescent="0.25">
      <c r="A48" s="11">
        <v>350</v>
      </c>
      <c r="B48" s="11">
        <v>1</v>
      </c>
      <c r="C48" s="11" t="s">
        <v>2677</v>
      </c>
      <c r="D48" s="11" t="s">
        <v>2677</v>
      </c>
      <c r="E48" s="11" t="s">
        <v>2637</v>
      </c>
      <c r="F48" s="11" t="s">
        <v>2678</v>
      </c>
      <c r="G48" s="11" t="s">
        <v>2679</v>
      </c>
      <c r="H48" s="11" t="s">
        <v>2680</v>
      </c>
      <c r="I48" s="11" t="s">
        <v>2675</v>
      </c>
      <c r="J48" s="11" t="s">
        <v>2676</v>
      </c>
      <c r="K48" s="11"/>
      <c r="L48" s="11"/>
      <c r="M48" s="11"/>
    </row>
    <row r="49" spans="1:13" x14ac:dyDescent="0.25">
      <c r="A49" s="12">
        <v>350</v>
      </c>
      <c r="B49" s="11">
        <v>2</v>
      </c>
      <c r="C49" s="11" t="s">
        <v>2681</v>
      </c>
      <c r="D49" s="11" t="s">
        <v>2681</v>
      </c>
      <c r="E49" s="11" t="s">
        <v>2681</v>
      </c>
      <c r="F49" s="11">
        <v>18</v>
      </c>
      <c r="G49" s="11" t="s">
        <v>2670</v>
      </c>
      <c r="H49" s="11" t="s">
        <v>2682</v>
      </c>
      <c r="I49" s="11" t="s">
        <v>2675</v>
      </c>
      <c r="J49" s="11" t="s">
        <v>2676</v>
      </c>
      <c r="K49" s="11"/>
      <c r="L49" s="11"/>
      <c r="M49" s="11"/>
    </row>
    <row r="50" spans="1:13" x14ac:dyDescent="0.25">
      <c r="A50" s="12">
        <v>350</v>
      </c>
      <c r="B50" s="11">
        <v>11</v>
      </c>
      <c r="C50" s="11">
        <v>16</v>
      </c>
      <c r="D50" s="11">
        <v>16</v>
      </c>
      <c r="E50" s="11" t="s">
        <v>2683</v>
      </c>
      <c r="F50" s="11" t="s">
        <v>2684</v>
      </c>
      <c r="G50" s="11" t="s">
        <v>2685</v>
      </c>
      <c r="H50" s="11" t="s">
        <v>2686</v>
      </c>
      <c r="I50" s="11" t="s">
        <v>2687</v>
      </c>
      <c r="J50" s="11">
        <v>106</v>
      </c>
      <c r="K50" s="11"/>
      <c r="L50" s="11"/>
      <c r="M50" s="11"/>
    </row>
    <row r="51" spans="1:13" x14ac:dyDescent="0.25">
      <c r="A51" s="11">
        <v>400</v>
      </c>
      <c r="B51" s="11">
        <v>1</v>
      </c>
      <c r="C51" s="11" t="s">
        <v>2688</v>
      </c>
      <c r="D51" s="11" t="s">
        <v>2688</v>
      </c>
      <c r="E51" s="11" t="s">
        <v>2689</v>
      </c>
      <c r="F51" s="11" t="s">
        <v>2690</v>
      </c>
      <c r="G51" s="11">
        <v>31</v>
      </c>
      <c r="H51" s="11" t="s">
        <v>2691</v>
      </c>
      <c r="I51" s="11" t="s">
        <v>2687</v>
      </c>
      <c r="J51" s="11">
        <v>106</v>
      </c>
      <c r="K51" s="11"/>
      <c r="L51" s="11"/>
      <c r="M51" s="11"/>
    </row>
    <row r="52" spans="1:13" x14ac:dyDescent="0.25">
      <c r="A52" s="12">
        <v>400</v>
      </c>
      <c r="B52" s="11">
        <v>2</v>
      </c>
      <c r="C52" s="11">
        <v>17</v>
      </c>
      <c r="D52" s="11">
        <v>17</v>
      </c>
      <c r="E52" s="11">
        <v>17</v>
      </c>
      <c r="F52" s="11" t="s">
        <v>2650</v>
      </c>
      <c r="G52" s="11" t="s">
        <v>2692</v>
      </c>
      <c r="H52" s="11" t="s">
        <v>2693</v>
      </c>
      <c r="I52" s="11" t="s">
        <v>2687</v>
      </c>
      <c r="J52" s="11">
        <v>106</v>
      </c>
      <c r="K52" s="11"/>
      <c r="L52" s="11"/>
      <c r="M52" s="11"/>
    </row>
    <row r="53" spans="1:13" x14ac:dyDescent="0.25">
      <c r="A53" s="12">
        <v>400</v>
      </c>
      <c r="B53" s="11">
        <v>11</v>
      </c>
      <c r="C53" s="11" t="s">
        <v>2694</v>
      </c>
      <c r="D53" s="11" t="s">
        <v>2694</v>
      </c>
      <c r="E53" s="11" t="s">
        <v>2695</v>
      </c>
      <c r="F53" s="11">
        <v>30</v>
      </c>
      <c r="G53" s="11">
        <v>43</v>
      </c>
      <c r="H53" s="11" t="s">
        <v>2696</v>
      </c>
      <c r="I53" s="11">
        <v>107</v>
      </c>
      <c r="J53" s="11">
        <v>151</v>
      </c>
      <c r="K53" s="11"/>
      <c r="L53" s="11"/>
      <c r="M53" s="11"/>
    </row>
    <row r="54" spans="1:13" x14ac:dyDescent="0.25">
      <c r="A54" s="11">
        <v>450</v>
      </c>
      <c r="B54" s="11">
        <v>1</v>
      </c>
      <c r="C54" s="11" t="s">
        <v>2660</v>
      </c>
      <c r="D54" s="11" t="s">
        <v>2660</v>
      </c>
      <c r="E54" s="11" t="s">
        <v>2697</v>
      </c>
      <c r="F54" s="11" t="s">
        <v>2670</v>
      </c>
      <c r="G54" s="11" t="s">
        <v>2698</v>
      </c>
      <c r="H54" s="11" t="s">
        <v>2699</v>
      </c>
      <c r="I54" s="11">
        <v>107</v>
      </c>
      <c r="J54" s="11">
        <v>151</v>
      </c>
      <c r="K54" s="11"/>
      <c r="L54" s="11"/>
      <c r="M54" s="11"/>
    </row>
    <row r="55" spans="1:13" x14ac:dyDescent="0.25">
      <c r="A55" s="12">
        <v>450</v>
      </c>
      <c r="B55" s="11">
        <v>2</v>
      </c>
      <c r="C55" s="11">
        <v>20</v>
      </c>
      <c r="D55" s="11">
        <v>20</v>
      </c>
      <c r="E55" s="11">
        <v>20</v>
      </c>
      <c r="F55" s="11" t="s">
        <v>2700</v>
      </c>
      <c r="G55" s="11" t="s">
        <v>2701</v>
      </c>
      <c r="H55" s="11" t="s">
        <v>2702</v>
      </c>
      <c r="I55" s="11">
        <v>107</v>
      </c>
      <c r="J55" s="11">
        <v>151</v>
      </c>
      <c r="K55" s="11"/>
      <c r="L55" s="11"/>
      <c r="M55" s="11"/>
    </row>
    <row r="56" spans="1:13" x14ac:dyDescent="0.25">
      <c r="A56" s="12">
        <v>450</v>
      </c>
      <c r="B56" s="11">
        <v>11</v>
      </c>
      <c r="C56" s="11" t="s">
        <v>2703</v>
      </c>
      <c r="D56" s="11" t="s">
        <v>2703</v>
      </c>
      <c r="E56" s="11" t="s">
        <v>2704</v>
      </c>
      <c r="F56" s="11" t="s">
        <v>2705</v>
      </c>
      <c r="G56" s="11">
        <v>54</v>
      </c>
      <c r="H56" s="11" t="s">
        <v>2706</v>
      </c>
      <c r="I56" s="11">
        <v>107</v>
      </c>
      <c r="J56" s="11">
        <v>151</v>
      </c>
      <c r="K56" s="11"/>
      <c r="L56" s="11"/>
      <c r="M56" s="11"/>
    </row>
    <row r="57" spans="1:13" x14ac:dyDescent="0.25">
      <c r="A57" s="11">
        <v>500</v>
      </c>
      <c r="B57" s="11">
        <v>1</v>
      </c>
      <c r="C57" s="11">
        <v>16</v>
      </c>
      <c r="D57" s="11">
        <v>16</v>
      </c>
      <c r="E57" s="11" t="s">
        <v>2707</v>
      </c>
      <c r="F57" s="11">
        <v>28</v>
      </c>
      <c r="G57" s="11">
        <v>57</v>
      </c>
      <c r="H57" s="11" t="s">
        <v>2708</v>
      </c>
      <c r="I57" s="11">
        <v>107</v>
      </c>
      <c r="J57" s="11">
        <v>151</v>
      </c>
      <c r="K57" s="11"/>
      <c r="L57" s="11"/>
      <c r="M57" s="11"/>
    </row>
    <row r="58" spans="1:13" x14ac:dyDescent="0.25">
      <c r="A58" s="12">
        <v>500</v>
      </c>
      <c r="B58" s="11">
        <v>2</v>
      </c>
      <c r="C58" s="11" t="s">
        <v>2639</v>
      </c>
      <c r="D58" s="11" t="s">
        <v>2639</v>
      </c>
      <c r="E58" s="11" t="s">
        <v>2639</v>
      </c>
      <c r="F58" s="11" t="s">
        <v>2674</v>
      </c>
      <c r="G58" s="11" t="s">
        <v>2709</v>
      </c>
      <c r="H58" s="11" t="s">
        <v>2710</v>
      </c>
      <c r="I58" s="11">
        <v>107</v>
      </c>
      <c r="J58" s="11">
        <v>151</v>
      </c>
      <c r="K58" s="11"/>
      <c r="L58" s="11"/>
      <c r="M58" s="11"/>
    </row>
    <row r="59" spans="1:13" x14ac:dyDescent="0.25">
      <c r="A59" s="12">
        <v>500</v>
      </c>
      <c r="B59" s="11">
        <v>11</v>
      </c>
      <c r="C59" s="11" t="s">
        <v>2711</v>
      </c>
      <c r="D59" s="11" t="s">
        <v>2711</v>
      </c>
      <c r="E59" s="11" t="s">
        <v>2692</v>
      </c>
      <c r="F59" s="11">
        <v>40</v>
      </c>
      <c r="G59" s="11">
        <v>71</v>
      </c>
      <c r="H59" s="11">
        <v>89</v>
      </c>
      <c r="I59" s="11" t="s">
        <v>2712</v>
      </c>
      <c r="J59" s="11">
        <v>201</v>
      </c>
      <c r="K59" s="11"/>
      <c r="L59" s="11"/>
      <c r="M59" s="11"/>
    </row>
    <row r="60" spans="1:13" x14ac:dyDescent="0.25">
      <c r="A60" s="11">
        <v>600</v>
      </c>
      <c r="B60" s="11">
        <v>1</v>
      </c>
      <c r="C60" s="11" t="s">
        <v>2713</v>
      </c>
      <c r="D60" s="11" t="s">
        <v>2713</v>
      </c>
      <c r="E60" s="11" t="s">
        <v>2714</v>
      </c>
      <c r="F60" s="11" t="s">
        <v>2715</v>
      </c>
      <c r="G60" s="11">
        <v>80</v>
      </c>
      <c r="H60" s="11" t="s">
        <v>2640</v>
      </c>
      <c r="I60" s="11" t="s">
        <v>2712</v>
      </c>
      <c r="J60" s="11">
        <v>201</v>
      </c>
      <c r="K60" s="11"/>
      <c r="L60" s="11"/>
      <c r="M60" s="11"/>
    </row>
    <row r="61" spans="1:13" x14ac:dyDescent="0.25">
      <c r="A61" s="12">
        <v>600</v>
      </c>
      <c r="B61" s="11">
        <v>11</v>
      </c>
      <c r="C61" s="11" t="s">
        <v>2716</v>
      </c>
      <c r="D61" s="11" t="s">
        <v>2716</v>
      </c>
      <c r="E61" s="11" t="s">
        <v>2716</v>
      </c>
      <c r="F61" s="11">
        <v>50</v>
      </c>
      <c r="G61" s="11" t="s">
        <v>2717</v>
      </c>
      <c r="H61" s="11">
        <v>124</v>
      </c>
      <c r="I61" s="11">
        <v>195</v>
      </c>
      <c r="J61" s="11">
        <v>283</v>
      </c>
      <c r="K61" s="11"/>
      <c r="L61" s="11"/>
      <c r="M61" s="11"/>
    </row>
    <row r="62" spans="1:13" x14ac:dyDescent="0.25">
      <c r="A62" s="11">
        <v>700</v>
      </c>
      <c r="B62" s="11">
        <v>1</v>
      </c>
      <c r="C62" s="11" t="s">
        <v>2718</v>
      </c>
      <c r="D62" s="11" t="s">
        <v>2718</v>
      </c>
      <c r="E62" s="11" t="s">
        <v>2719</v>
      </c>
      <c r="F62" s="11" t="s">
        <v>2720</v>
      </c>
      <c r="G62" s="11" t="s">
        <v>2721</v>
      </c>
      <c r="H62" s="11">
        <v>127</v>
      </c>
      <c r="I62" s="11">
        <v>195</v>
      </c>
      <c r="J62" s="11">
        <v>283</v>
      </c>
      <c r="K62" s="11"/>
      <c r="L62" s="11"/>
      <c r="M62" s="11"/>
    </row>
    <row r="63" spans="1:13" x14ac:dyDescent="0.25">
      <c r="A63" s="12">
        <v>700</v>
      </c>
      <c r="B63" s="11">
        <v>11</v>
      </c>
      <c r="C63" s="11" t="s">
        <v>2722</v>
      </c>
      <c r="D63" s="11" t="s">
        <v>2722</v>
      </c>
      <c r="E63" s="11" t="s">
        <v>2722</v>
      </c>
      <c r="F63" s="11" t="s">
        <v>2723</v>
      </c>
      <c r="G63" s="11">
        <v>106</v>
      </c>
      <c r="H63" s="11">
        <v>167</v>
      </c>
      <c r="I63" s="11">
        <v>247</v>
      </c>
      <c r="J63" s="11">
        <v>301</v>
      </c>
      <c r="K63" s="11"/>
      <c r="L63" s="11"/>
      <c r="M63" s="11"/>
    </row>
    <row r="64" spans="1:13" x14ac:dyDescent="0.25">
      <c r="A64" s="11">
        <v>800</v>
      </c>
      <c r="B64" s="11">
        <v>1</v>
      </c>
      <c r="C64" s="11" t="s">
        <v>2724</v>
      </c>
      <c r="D64" s="11" t="s">
        <v>2724</v>
      </c>
      <c r="E64" s="11" t="s">
        <v>2725</v>
      </c>
      <c r="F64" s="11" t="s">
        <v>2726</v>
      </c>
      <c r="G64" s="11" t="s">
        <v>2727</v>
      </c>
      <c r="H64" s="11" t="s">
        <v>2728</v>
      </c>
      <c r="I64" s="11">
        <v>247</v>
      </c>
      <c r="J64" s="11">
        <v>301</v>
      </c>
      <c r="K64" s="11"/>
      <c r="L64" s="11"/>
      <c r="M64" s="11"/>
    </row>
    <row r="65" spans="1:13" x14ac:dyDescent="0.25">
      <c r="A65" s="12">
        <v>800</v>
      </c>
      <c r="B65" s="11">
        <v>11</v>
      </c>
      <c r="C65" s="11" t="s">
        <v>2439</v>
      </c>
      <c r="D65" s="11" t="s">
        <v>2439</v>
      </c>
      <c r="E65" s="11" t="s">
        <v>2729</v>
      </c>
      <c r="F65" s="11" t="s">
        <v>2730</v>
      </c>
      <c r="G65" s="11">
        <v>131</v>
      </c>
      <c r="H65" s="11">
        <v>215</v>
      </c>
      <c r="I65" s="11" t="s">
        <v>2731</v>
      </c>
      <c r="J65" s="11">
        <v>464</v>
      </c>
      <c r="K65" s="11"/>
      <c r="L65" s="11"/>
      <c r="M65" s="11"/>
    </row>
    <row r="66" spans="1:13" x14ac:dyDescent="0.25">
      <c r="A66" s="11">
        <v>900</v>
      </c>
      <c r="B66" s="11">
        <v>1</v>
      </c>
      <c r="C66" s="11" t="s">
        <v>2732</v>
      </c>
      <c r="D66" s="11" t="s">
        <v>2732</v>
      </c>
      <c r="E66" s="11" t="s">
        <v>2733</v>
      </c>
      <c r="F66" s="11" t="s">
        <v>2734</v>
      </c>
      <c r="G66" s="11">
        <v>129</v>
      </c>
      <c r="H66" s="11">
        <v>215</v>
      </c>
      <c r="I66" s="11" t="s">
        <v>2731</v>
      </c>
      <c r="J66" s="11">
        <v>464</v>
      </c>
      <c r="K66" s="11"/>
      <c r="L66" s="11"/>
      <c r="M66" s="11"/>
    </row>
    <row r="67" spans="1:13" x14ac:dyDescent="0.25">
      <c r="A67" s="12">
        <v>900</v>
      </c>
      <c r="B67" s="11">
        <v>11</v>
      </c>
      <c r="C67" s="11" t="s">
        <v>2735</v>
      </c>
      <c r="D67" s="11" t="s">
        <v>2735</v>
      </c>
      <c r="E67" s="11" t="s">
        <v>2736</v>
      </c>
      <c r="F67" s="11">
        <v>103</v>
      </c>
      <c r="G67" s="11">
        <v>158</v>
      </c>
      <c r="H67" s="11">
        <v>253</v>
      </c>
      <c r="I67" s="11">
        <v>437</v>
      </c>
      <c r="J67" s="11">
        <v>954</v>
      </c>
      <c r="K67" s="11"/>
      <c r="L67" s="11"/>
      <c r="M67" s="11"/>
    </row>
    <row r="68" spans="1:13" x14ac:dyDescent="0.25">
      <c r="A68" s="11">
        <v>1000</v>
      </c>
      <c r="B68" s="11">
        <v>1</v>
      </c>
      <c r="C68" s="11" t="s">
        <v>2737</v>
      </c>
      <c r="D68" s="11" t="s">
        <v>2737</v>
      </c>
      <c r="E68" s="11" t="s">
        <v>2738</v>
      </c>
      <c r="F68" s="11" t="s">
        <v>2739</v>
      </c>
      <c r="G68" s="11" t="s">
        <v>2740</v>
      </c>
      <c r="H68" s="11">
        <v>253</v>
      </c>
      <c r="I68" s="11">
        <v>437</v>
      </c>
      <c r="J68" s="11">
        <v>954</v>
      </c>
      <c r="K68" s="11"/>
      <c r="L68" s="11"/>
      <c r="M68" s="11"/>
    </row>
    <row r="69" spans="1:13" x14ac:dyDescent="0.25">
      <c r="A69" s="12">
        <v>1000</v>
      </c>
      <c r="B69" s="11">
        <v>11</v>
      </c>
      <c r="C69" s="11" t="s">
        <v>2741</v>
      </c>
      <c r="D69" s="11" t="s">
        <v>2741</v>
      </c>
      <c r="E69" s="11" t="s">
        <v>2742</v>
      </c>
      <c r="F69" s="11">
        <v>119</v>
      </c>
      <c r="G69" s="11">
        <v>203</v>
      </c>
      <c r="H69" s="11">
        <v>312</v>
      </c>
      <c r="I69" s="11">
        <v>541</v>
      </c>
      <c r="J69" s="11">
        <v>981</v>
      </c>
      <c r="K69" s="11"/>
      <c r="L69" s="11"/>
      <c r="M69" s="11"/>
    </row>
    <row r="70" spans="1:13" x14ac:dyDescent="0.25">
      <c r="A70" s="11">
        <v>1200</v>
      </c>
      <c r="B70" s="11">
        <v>1</v>
      </c>
      <c r="C70" s="11" t="s">
        <v>2743</v>
      </c>
      <c r="D70" s="11" t="s">
        <v>2743</v>
      </c>
      <c r="E70" s="11">
        <v>99</v>
      </c>
      <c r="F70" s="11" t="s">
        <v>2744</v>
      </c>
      <c r="G70" s="11">
        <v>298</v>
      </c>
      <c r="H70" s="11">
        <v>312</v>
      </c>
      <c r="I70" s="11">
        <v>541</v>
      </c>
      <c r="J70" s="11">
        <v>981</v>
      </c>
      <c r="K70" s="11"/>
      <c r="L70" s="11"/>
      <c r="M70" s="11"/>
    </row>
    <row r="71" spans="1:13" x14ac:dyDescent="0.25">
      <c r="A71" s="12">
        <v>1200</v>
      </c>
      <c r="B71" s="11">
        <v>11</v>
      </c>
      <c r="C71" s="11" t="s">
        <v>2745</v>
      </c>
      <c r="D71" s="11" t="s">
        <v>2745</v>
      </c>
      <c r="E71" s="11">
        <v>111</v>
      </c>
      <c r="F71" s="11">
        <v>180</v>
      </c>
      <c r="G71" s="11">
        <v>285</v>
      </c>
      <c r="H71" s="11">
        <v>388</v>
      </c>
      <c r="I71" s="11">
        <v>691</v>
      </c>
      <c r="J71" s="11">
        <v>1264</v>
      </c>
      <c r="K71" s="11"/>
      <c r="L71" s="11"/>
      <c r="M71" s="11"/>
    </row>
    <row r="72" spans="1:13" x14ac:dyDescent="0.25">
      <c r="A72" s="11">
        <v>1400</v>
      </c>
      <c r="B72" s="11">
        <v>1</v>
      </c>
      <c r="C72" s="11" t="s">
        <v>2746</v>
      </c>
      <c r="D72" s="11" t="s">
        <v>2746</v>
      </c>
      <c r="E72" s="11" t="s">
        <v>2747</v>
      </c>
      <c r="F72" s="11">
        <v>279</v>
      </c>
      <c r="G72" s="11">
        <v>285</v>
      </c>
      <c r="H72" s="11">
        <v>388</v>
      </c>
      <c r="I72" s="11">
        <v>691</v>
      </c>
      <c r="J72" s="11">
        <v>1264</v>
      </c>
      <c r="K72" s="11"/>
      <c r="L72" s="11"/>
      <c r="M72" s="11"/>
    </row>
    <row r="73" spans="1:13" x14ac:dyDescent="0.25">
      <c r="A73" s="12">
        <v>1400</v>
      </c>
      <c r="B73" s="11">
        <v>11</v>
      </c>
      <c r="C73" s="11">
        <v>101</v>
      </c>
      <c r="D73" s="11">
        <v>101</v>
      </c>
      <c r="E73" s="11">
        <v>157</v>
      </c>
      <c r="F73" s="11">
        <v>279</v>
      </c>
      <c r="G73" s="11">
        <v>285</v>
      </c>
      <c r="H73" s="11">
        <v>388</v>
      </c>
      <c r="I73" s="11">
        <v>691</v>
      </c>
      <c r="J73" s="11">
        <v>1264</v>
      </c>
      <c r="K73" s="11"/>
      <c r="L73" s="11"/>
      <c r="M73" s="11"/>
    </row>
    <row r="74" spans="1:13" x14ac:dyDescent="0.25">
      <c r="A74" s="11">
        <v>1600</v>
      </c>
      <c r="B74" s="11">
        <v>1</v>
      </c>
      <c r="C74" s="11" t="s">
        <v>2748</v>
      </c>
      <c r="D74" s="11" t="s">
        <v>2748</v>
      </c>
      <c r="E74" s="11">
        <v>203</v>
      </c>
      <c r="F74" s="11">
        <v>423</v>
      </c>
      <c r="G74" s="11">
        <v>285</v>
      </c>
      <c r="H74" s="11">
        <v>388</v>
      </c>
      <c r="I74" s="11">
        <v>691</v>
      </c>
      <c r="J74" s="11">
        <v>1264</v>
      </c>
      <c r="K74" s="11"/>
      <c r="L74" s="11"/>
      <c r="M74" s="11"/>
    </row>
    <row r="75" spans="1:13" x14ac:dyDescent="0.25">
      <c r="A75" s="12">
        <v>1600</v>
      </c>
      <c r="B75" s="11">
        <v>11</v>
      </c>
      <c r="C75" s="11">
        <v>135</v>
      </c>
      <c r="D75" s="11">
        <v>135</v>
      </c>
      <c r="E75" s="11">
        <v>219</v>
      </c>
      <c r="F75" s="11">
        <v>423</v>
      </c>
      <c r="G75" s="11">
        <v>285</v>
      </c>
      <c r="H75" s="11">
        <v>388</v>
      </c>
      <c r="I75" s="11">
        <v>691</v>
      </c>
      <c r="J75" s="11">
        <v>1264</v>
      </c>
      <c r="K75" s="11"/>
      <c r="L75" s="11"/>
      <c r="M75" s="11"/>
    </row>
    <row r="76" spans="1:13" x14ac:dyDescent="0.25">
      <c r="A76" s="11">
        <v>1800</v>
      </c>
      <c r="B76" s="11">
        <v>1</v>
      </c>
      <c r="C76" s="11">
        <v>117</v>
      </c>
      <c r="D76" s="11">
        <v>117</v>
      </c>
      <c r="E76" s="11">
        <v>219</v>
      </c>
      <c r="F76" s="11">
        <v>423</v>
      </c>
      <c r="G76" s="11">
        <v>285</v>
      </c>
      <c r="H76" s="11">
        <v>388</v>
      </c>
      <c r="I76" s="11">
        <v>691</v>
      </c>
      <c r="J76" s="11">
        <v>1264</v>
      </c>
      <c r="K76" s="11"/>
      <c r="L76" s="11"/>
      <c r="M76" s="11"/>
    </row>
    <row r="77" spans="1:13" x14ac:dyDescent="0.25">
      <c r="A77" s="11">
        <v>2000</v>
      </c>
      <c r="B77" s="11">
        <v>1</v>
      </c>
      <c r="C77" s="11">
        <v>133</v>
      </c>
      <c r="D77" s="11">
        <v>133</v>
      </c>
      <c r="E77" s="11">
        <v>219</v>
      </c>
      <c r="F77" s="11">
        <v>423</v>
      </c>
      <c r="G77" s="11">
        <v>285</v>
      </c>
      <c r="H77" s="11">
        <v>388</v>
      </c>
      <c r="I77" s="11">
        <v>691</v>
      </c>
      <c r="J77" s="11">
        <v>1264</v>
      </c>
      <c r="K77" s="11"/>
      <c r="L77" s="11"/>
      <c r="M77" s="11"/>
    </row>
    <row r="78" spans="1:13" x14ac:dyDescent="0.25">
      <c r="A78" s="11">
        <v>2200</v>
      </c>
      <c r="B78" s="11">
        <v>1</v>
      </c>
      <c r="C78" s="11">
        <v>190</v>
      </c>
      <c r="D78" s="11">
        <v>190</v>
      </c>
      <c r="E78" s="11">
        <v>219</v>
      </c>
      <c r="F78" s="11">
        <v>423</v>
      </c>
      <c r="G78" s="11">
        <v>285</v>
      </c>
      <c r="H78" s="11">
        <v>388</v>
      </c>
      <c r="I78" s="11">
        <v>691</v>
      </c>
      <c r="J78" s="11">
        <v>1264</v>
      </c>
      <c r="K78" s="11"/>
      <c r="L78" s="11"/>
      <c r="M78" s="11"/>
    </row>
    <row r="79" spans="1:13" x14ac:dyDescent="0.25">
      <c r="A79" s="11">
        <v>2400</v>
      </c>
      <c r="B79" s="11">
        <v>1</v>
      </c>
      <c r="C79" s="11">
        <v>237</v>
      </c>
      <c r="D79" s="11">
        <v>237</v>
      </c>
      <c r="E79" s="11">
        <v>219</v>
      </c>
      <c r="F79" s="11">
        <v>423</v>
      </c>
      <c r="G79" s="11">
        <v>285</v>
      </c>
      <c r="H79" s="11">
        <v>388</v>
      </c>
      <c r="I79" s="11">
        <v>691</v>
      </c>
      <c r="J79" s="11">
        <v>1264</v>
      </c>
      <c r="K79" s="11"/>
      <c r="L79" s="11"/>
      <c r="M79" s="1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06D1C3-562B-46B2-BDDE-A3D91EDBF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mep_rule</vt:lpstr>
      <vt:lpstr>ду_ЭСБШ</vt:lpstr>
      <vt:lpstr>ду_din</vt:lpstr>
      <vt:lpstr>ду_PVC-U</vt:lpstr>
      <vt:lpstr>ду_PVC-U_Pin</vt:lpstr>
      <vt:lpstr>отвод_PVC_U_Pin</vt:lpstr>
      <vt:lpstr>трой_PVC_U_Pin</vt:lpstr>
      <vt:lpstr>фл_PVC_U_Pin</vt:lpstr>
      <vt:lpstr>бурт_PVC_U_Pin</vt:lpstr>
      <vt:lpstr>заглушка_PVC_U_Pin</vt:lpstr>
      <vt:lpstr>переход_PVC_U_Pin</vt:lpstr>
      <vt:lpstr>ду_09Г2С</vt:lpstr>
      <vt:lpstr>ду_12Х18Н10Т</vt:lpstr>
      <vt:lpstr>ду_медь</vt:lpstr>
      <vt:lpstr>ду_ВГ</vt:lpstr>
      <vt:lpstr>ду_ПЭ100</vt:lpstr>
      <vt:lpstr>ду_PPR</vt:lpstr>
      <vt:lpstr>ду_ВГП</vt:lpstr>
      <vt:lpstr>тр_к_10704</vt:lpstr>
      <vt:lpstr>трой_и2_17376</vt:lpstr>
      <vt:lpstr>трой_ОСТ_34_10_764_97</vt:lpstr>
      <vt:lpstr>трой_ОСТ_34_10_762_97</vt:lpstr>
      <vt:lpstr>отвод_и1_17375</vt:lpstr>
      <vt:lpstr>отвод_и2_17375</vt:lpstr>
      <vt:lpstr>отвод_ОСТ_34_10_699_9</vt:lpstr>
      <vt:lpstr>кран_7890-93</vt:lpstr>
      <vt:lpstr>переход_и1_17378</vt:lpstr>
      <vt:lpstr>переход_и2_17378</vt:lpstr>
      <vt:lpstr>переход_ОСТ_34_10_764_97</vt:lpstr>
      <vt:lpstr>фл_т</vt:lpstr>
      <vt:lpstr>фл_т1_33259</vt:lpstr>
      <vt:lpstr>фл_т11_33259</vt:lpstr>
      <vt:lpstr>фл_т2_33259</vt:lpstr>
      <vt:lpstr>фл_вес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da-rogojin</dc:creator>
  <cp:lastModifiedBy>da-rogojin</cp:lastModifiedBy>
  <dcterms:created xsi:type="dcterms:W3CDTF">2015-06-05T18:17:20Z</dcterms:created>
  <dcterms:modified xsi:type="dcterms:W3CDTF">2023-03-01T11:23:23Z</dcterms:modified>
</cp:coreProperties>
</file>