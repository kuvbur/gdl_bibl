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gdl_bibl\gdl\_MEP\_macro\rules\"/>
    </mc:Choice>
  </mc:AlternateContent>
  <xr:revisionPtr revIDLastSave="0" documentId="13_ncr:1_{C69563EB-3B2B-4942-B024-614A171F4882}" xr6:coauthVersionLast="47" xr6:coauthVersionMax="47" xr10:uidLastSave="{00000000-0000-0000-0000-000000000000}"/>
  <bookViews>
    <workbookView xWindow="-110" yWindow="-110" windowWidth="38620" windowHeight="21100" firstSheet="13" activeTab="13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PVC-U_Pin" sheetId="36" r:id="rId5"/>
    <sheet name="отвод_PVC_U_Pin" sheetId="26" r:id="rId6"/>
    <sheet name="отвод_PPR" sheetId="43" r:id="rId7"/>
    <sheet name="трой_PVC_U_Pin" sheetId="37" r:id="rId8"/>
    <sheet name="фл_PVC_U_Pin" sheetId="38" r:id="rId9"/>
    <sheet name="бурт_PVC_U_Pin" sheetId="42" r:id="rId10"/>
    <sheet name="заглушка_PVC_U_Pin" sheetId="40" r:id="rId11"/>
    <sheet name="переход_PVC_U_Pin" sheetId="41" r:id="rId12"/>
    <sheet name="ду_09Г2С" sheetId="14" r:id="rId13"/>
    <sheet name="ду_12Х18Н10Т" sheetId="28" r:id="rId14"/>
    <sheet name="ду_медь" sheetId="29" r:id="rId15"/>
    <sheet name="ду_ВГ" sheetId="20" r:id="rId16"/>
    <sheet name="ду_ПЭ100" sheetId="6" r:id="rId17"/>
    <sheet name="ду_PPR" sheetId="35" r:id="rId18"/>
    <sheet name="ду_ВГП" sheetId="7" r:id="rId19"/>
    <sheet name="тр_к_10704" sheetId="2" r:id="rId20"/>
    <sheet name="трой_и2_17376" sheetId="8" r:id="rId21"/>
    <sheet name="трой_ОСТ_34_10_764_97" sheetId="19" r:id="rId22"/>
    <sheet name="трой_ОСТ_34_10_762_97" sheetId="24" r:id="rId23"/>
    <sheet name="отвод_и1_17375" sheetId="32" r:id="rId24"/>
    <sheet name="отвод_и2_17375" sheetId="9" r:id="rId25"/>
    <sheet name="отвод_ОСТ_34_10_699_9" sheetId="25" r:id="rId26"/>
    <sheet name="кран_7890-93" sheetId="27" r:id="rId27"/>
    <sheet name="переход_и1_17378" sheetId="33" r:id="rId28"/>
    <sheet name="переход_и2_17378" sheetId="10" r:id="rId29"/>
    <sheet name="переход_ОСТ_34_10_764_97" sheetId="22" r:id="rId30"/>
    <sheet name="фл_т" sheetId="11" r:id="rId31"/>
    <sheet name="фл_т1_33259" sheetId="12" r:id="rId32"/>
    <sheet name="фл_т11_33259" sheetId="16" r:id="rId33"/>
    <sheet name="фл_т2_33259" sheetId="15" r:id="rId34"/>
    <sheet name="фл_вес" sheetId="13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7" l="1"/>
  <c r="D19" i="37"/>
  <c r="E20" i="37"/>
  <c r="D20" i="37"/>
</calcChain>
</file>

<file path=xl/sharedStrings.xml><?xml version="1.0" encoding="utf-8"?>
<sst xmlns="http://schemas.openxmlformats.org/spreadsheetml/2006/main" count="10606" uniqueCount="3677">
  <si>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</si>
  <si>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</si>
  <si>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</si>
  <si>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</si>
  <si>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</si>
  <si>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</si>
  <si>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</si>
  <si>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</si>
  <si>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</si>
  <si>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</si>
  <si>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</si>
  <si>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</si>
  <si>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</si>
  <si>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</si>
  <si>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</si>
  <si>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</si>
  <si>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</si>
  <si>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</si>
  <si>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</si>
  <si>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</si>
  <si>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</si>
  <si>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</si>
  <si>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</si>
  <si>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</si>
  <si>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</si>
  <si>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</si>
  <si>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</si>
  <si>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</si>
  <si>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</si>
  <si>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</si>
  <si>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</si>
  <si>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</si>
  <si>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</si>
  <si>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</si>
  <si>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</si>
  <si>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</si>
  <si>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</si>
  <si>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</si>
  <si>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</si>
  <si>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</si>
  <si>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</si>
  <si>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</si>
  <si>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</si>
  <si>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</si>
  <si>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</si>
  <si>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</si>
  <si>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</si>
  <si>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</si>
  <si>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</si>
  <si>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</si>
  <si>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</si>
  <si>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</si>
  <si>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</si>
  <si>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</si>
  <si>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</si>
  <si>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</si>
  <si>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</si>
  <si>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</si>
  <si>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</si>
  <si>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</si>
  <si>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</si>
  <si>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</si>
  <si>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</si>
  <si>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</si>
  <si>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</si>
  <si>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</si>
  <si>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</si>
  <si>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</si>
  <si>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</si>
  <si>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</si>
  <si>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</si>
  <si>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</si>
  <si>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</si>
  <si>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</si>
  <si>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</si>
  <si>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</si>
  <si>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</si>
  <si>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</si>
  <si>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</si>
  <si>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</si>
  <si>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</si>
  <si>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</si>
  <si>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</si>
  <si>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</si>
  <si>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</si>
  <si>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</si>
  <si>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</si>
  <si>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</si>
  <si>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</si>
  <si>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</si>
  <si>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</si>
  <si>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</si>
  <si>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</si>
  <si>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</si>
  <si>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</si>
  <si>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</si>
  <si>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</si>
  <si>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</si>
  <si>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</si>
  <si>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</si>
  <si>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</si>
  <si>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</si>
  <si>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</si>
  <si>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</si>
  <si>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</si>
  <si>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</si>
  <si>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</si>
  <si>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</si>
  <si>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</si>
  <si>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</si>
  <si>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</si>
  <si>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</si>
  <si>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</si>
  <si>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</si>
  <si>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</si>
  <si>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</si>
  <si>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</si>
  <si>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</si>
  <si>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</si>
  <si>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</si>
  <si>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</si>
  <si>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</si>
  <si>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</si>
  <si>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</si>
  <si>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</si>
  <si>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</si>
  <si>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</si>
  <si>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</si>
  <si>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</si>
  <si>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</si>
  <si>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</si>
  <si>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</si>
  <si>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</si>
  <si>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</si>
  <si>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</si>
  <si>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</si>
  <si>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</si>
  <si>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</si>
  <si>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</si>
  <si>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</si>
  <si>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</si>
  <si>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</si>
  <si>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</si>
  <si>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</si>
  <si>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</si>
  <si>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</si>
  <si>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</si>
  <si>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</si>
  <si>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</si>
  <si>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</si>
  <si>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</si>
  <si>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</si>
  <si>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</si>
  <si>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</si>
  <si>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</si>
  <si>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</si>
  <si>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</si>
  <si>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</si>
  <si>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</si>
  <si>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</si>
  <si>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</si>
  <si>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</si>
  <si>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</si>
  <si>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</si>
  <si>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</si>
  <si>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</si>
  <si>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</si>
  <si>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</si>
  <si>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</si>
  <si>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</si>
  <si>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</si>
  <si>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</si>
  <si>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</si>
  <si>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</si>
  <si>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</si>
  <si>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</si>
  <si>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</si>
  <si>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</si>
  <si>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</si>
  <si>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</si>
  <si>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</si>
  <si>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</si>
  <si>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</si>
  <si>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</si>
  <si>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</si>
  <si>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</si>
  <si>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</si>
  <si>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</si>
  <si>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</si>
  <si>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</si>
  <si>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</si>
  <si>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</si>
  <si>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</si>
  <si>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</si>
  <si>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</si>
  <si>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</si>
  <si>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</si>
  <si>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</si>
  <si>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</si>
  <si>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</si>
  <si>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</si>
  <si>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</si>
  <si>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</si>
  <si>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</si>
  <si>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</si>
  <si>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</si>
  <si>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</si>
  <si>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</si>
  <si>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</si>
  <si>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</si>
  <si>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</si>
  <si>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</si>
  <si>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</si>
  <si>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</si>
  <si>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</si>
  <si>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</si>
  <si>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</si>
  <si>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</si>
  <si>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</si>
  <si>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</si>
  <si>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</si>
  <si>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</si>
  <si>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</si>
  <si>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</si>
  <si>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</si>
  <si>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</si>
  <si>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</si>
  <si>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</si>
  <si>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</si>
  <si>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</si>
  <si>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</si>
  <si>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</si>
  <si>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</si>
  <si>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</si>
  <si>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</si>
  <si>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</si>
  <si>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</si>
  <si>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</si>
  <si>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</si>
  <si>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</si>
  <si>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</si>
  <si>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</si>
  <si>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</si>
  <si>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</si>
  <si>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</si>
  <si>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</si>
  <si>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</si>
  <si>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</si>
  <si>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</si>
  <si>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</si>
  <si>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</si>
  <si>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</si>
  <si>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</si>
  <si>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</si>
  <si>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</si>
  <si>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</si>
  <si>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</si>
  <si>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</si>
  <si>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</si>
  <si>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</si>
  <si>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</si>
  <si>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</si>
  <si>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</si>
  <si>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</si>
  <si>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</si>
  <si>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</si>
  <si>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</si>
  <si>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</si>
  <si>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</si>
  <si>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</si>
  <si>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</si>
  <si>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</si>
  <si>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</si>
  <si>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</si>
  <si>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</si>
  <si>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</si>
  <si>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</si>
  <si>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</si>
  <si>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</si>
  <si>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</si>
  <si>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</si>
  <si>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</si>
  <si>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</si>
  <si>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</si>
  <si>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</si>
  <si>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</si>
  <si>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</si>
  <si>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</si>
  <si>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</si>
  <si>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</si>
  <si>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</si>
  <si>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</si>
  <si>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</si>
  <si>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</si>
  <si>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</si>
  <si>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</si>
  <si>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</si>
  <si>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</si>
  <si>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</si>
  <si>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</si>
  <si>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</si>
  <si>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</si>
  <si>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</si>
  <si>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</si>
  <si>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</si>
  <si>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</si>
  <si>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</si>
  <si>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</si>
  <si>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</si>
  <si>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</si>
  <si>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</si>
  <si>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</si>
  <si>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</si>
  <si>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</si>
  <si>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</si>
  <si>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</si>
  <si>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</si>
  <si>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</si>
  <si>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</si>
  <si>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</si>
  <si>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</si>
  <si>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</si>
  <si>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</si>
  <si>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</si>
  <si>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</si>
  <si>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</si>
  <si>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</si>
  <si>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</si>
  <si>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</si>
  <si>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</si>
  <si>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</si>
  <si>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</si>
  <si>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</si>
  <si>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</si>
  <si>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</si>
  <si>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</si>
  <si>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</si>
  <si>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</si>
  <si>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</si>
  <si>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</si>
  <si>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</si>
  <si>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</si>
  <si>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</si>
  <si>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</si>
  <si>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</si>
  <si>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</si>
  <si>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</si>
  <si>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</si>
  <si>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</si>
  <si>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</si>
  <si>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</si>
  <si>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</si>
  <si>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</si>
  <si>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</si>
  <si>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</si>
  <si>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</si>
  <si>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</si>
  <si>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</si>
  <si>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</si>
  <si>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</si>
  <si>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</si>
  <si>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</si>
  <si>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</si>
  <si>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</si>
  <si>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</si>
  <si>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</si>
  <si>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</si>
  <si>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</si>
  <si>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</si>
  <si>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</si>
  <si>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</si>
  <si>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</si>
  <si>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</si>
  <si>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</si>
  <si>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</si>
  <si>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</si>
  <si>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</si>
  <si>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</si>
  <si>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</si>
  <si>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</si>
  <si>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</si>
  <si>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</si>
  <si>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</si>
  <si>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</si>
  <si>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</si>
  <si>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</si>
  <si>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</si>
  <si>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</si>
  <si>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</si>
  <si>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</si>
  <si>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</si>
  <si>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</si>
  <si>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</si>
  <si>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</si>
  <si>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</si>
  <si>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</si>
  <si>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</si>
  <si>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</si>
  <si>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</si>
  <si>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</si>
  <si>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</si>
  <si>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</si>
  <si>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</si>
  <si>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</si>
  <si>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</si>
  <si>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</si>
  <si>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</si>
  <si>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</si>
  <si>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</si>
  <si>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</si>
  <si>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</si>
  <si>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</si>
  <si>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</si>
  <si>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</si>
  <si>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</si>
  <si>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</si>
  <si>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</si>
  <si>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</si>
  <si>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</si>
  <si>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</si>
  <si>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</si>
  <si>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</si>
  <si>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</si>
  <si>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</si>
  <si>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</si>
  <si>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</si>
  <si>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</si>
  <si>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</si>
  <si>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</si>
  <si>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</si>
  <si>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</si>
  <si>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</si>
  <si>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</si>
  <si>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</si>
  <si>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</si>
  <si>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</si>
  <si>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</si>
  <si>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</si>
  <si>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</si>
  <si>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</si>
  <si>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</si>
  <si>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</si>
  <si>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</si>
  <si>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</si>
  <si>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</si>
  <si>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</si>
  <si>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</si>
  <si>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</si>
  <si>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</si>
  <si>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</si>
  <si>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</si>
  <si>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</si>
  <si>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</si>
  <si>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</si>
  <si>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</si>
  <si>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</si>
  <si>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</si>
  <si>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</si>
  <si>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</si>
  <si>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</si>
  <si>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</si>
  <si>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</si>
  <si>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</si>
  <si>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</si>
  <si>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</si>
  <si>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</si>
  <si>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</si>
  <si>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</si>
  <si>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</si>
  <si>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</si>
  <si>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</si>
  <si>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</si>
  <si>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</si>
  <si>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</si>
  <si>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</si>
  <si>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</si>
  <si>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</si>
  <si>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</si>
  <si>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</si>
  <si>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</si>
  <si>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</si>
  <si>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</si>
  <si>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</si>
  <si>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</si>
  <si>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</si>
  <si>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</si>
  <si>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</si>
  <si>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</si>
  <si>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</si>
  <si>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</si>
  <si>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</si>
  <si>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</si>
  <si>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</si>
  <si>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</si>
  <si>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</si>
  <si>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</si>
  <si>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</si>
  <si>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</si>
  <si>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</si>
  <si>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</si>
  <si>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</si>
  <si>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</si>
  <si>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</si>
  <si>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</si>
  <si>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</si>
  <si>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</si>
  <si>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</si>
  <si>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</si>
  <si>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</si>
  <si>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</si>
  <si>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</si>
  <si>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</si>
  <si>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</si>
  <si>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</si>
  <si>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</si>
  <si>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</si>
  <si>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</si>
  <si>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</si>
  <si>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</si>
  <si>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</si>
  <si>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</si>
  <si>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</si>
  <si>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</si>
  <si>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</si>
  <si>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</si>
  <si>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</si>
  <si>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</si>
  <si>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</si>
  <si>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</si>
  <si>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</si>
  <si>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</si>
  <si>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</si>
  <si>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</si>
  <si>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</si>
  <si>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</si>
  <si>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</si>
  <si>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</si>
  <si>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</si>
  <si>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</si>
  <si>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</si>
  <si>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</si>
  <si>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</si>
  <si>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</si>
  <si>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</si>
  <si>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</si>
  <si>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</si>
  <si>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</si>
  <si>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</si>
  <si>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</si>
  <si>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</si>
  <si>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</si>
  <si>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</si>
  <si>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</si>
  <si>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</si>
  <si>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</si>
  <si>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</si>
  <si>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</si>
  <si>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</si>
  <si>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</si>
  <si>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</si>
  <si>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</si>
  <si>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</si>
  <si>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</si>
  <si>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</si>
  <si>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</si>
  <si>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</si>
  <si>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</si>
  <si>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</si>
  <si>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</si>
  <si>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</si>
  <si>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</si>
  <si>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</si>
  <si>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</si>
  <si>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</si>
  <si>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</si>
  <si>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</si>
  <si>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</si>
  <si>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</si>
  <si>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</si>
  <si>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</si>
  <si>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</si>
  <si>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</si>
  <si>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</si>
  <si>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</si>
  <si>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</si>
  <si>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</si>
  <si>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</si>
  <si>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</si>
  <si>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</si>
  <si>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</si>
  <si>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</si>
  <si>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</si>
  <si>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</si>
  <si>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</si>
  <si>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</si>
  <si>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</si>
  <si>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</si>
  <si>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</si>
  <si>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</si>
  <si>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</si>
  <si>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</si>
  <si>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</si>
  <si>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</si>
  <si>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</si>
  <si>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</si>
  <si>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</si>
  <si>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</si>
  <si>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</si>
  <si>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</si>
  <si>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</si>
  <si>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</si>
  <si>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</si>
  <si>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</si>
  <si>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</si>
  <si>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</si>
  <si>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</si>
  <si>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</si>
  <si>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</si>
  <si>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</si>
  <si>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</si>
  <si>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</si>
  <si>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</si>
  <si>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</si>
  <si>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</si>
  <si>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</si>
  <si>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</si>
  <si>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</si>
  <si>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</si>
  <si>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</si>
  <si>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</si>
  <si>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</si>
  <si>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</si>
  <si>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</si>
  <si>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</si>
  <si>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</si>
  <si>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</si>
  <si>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</si>
  <si>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</si>
  <si>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</si>
  <si>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</si>
  <si>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</si>
  <si>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</si>
  <si>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</si>
  <si>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</si>
  <si>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</si>
  <si>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</si>
  <si>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</si>
  <si>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</si>
  <si>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</si>
  <si>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</si>
  <si>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</si>
  <si>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</si>
  <si>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</si>
  <si>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</si>
  <si>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</si>
  <si>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</si>
  <si>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</si>
  <si>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</si>
  <si>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</si>
  <si>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</si>
  <si>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</si>
  <si>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</si>
  <si>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</si>
  <si>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</si>
  <si>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</si>
  <si>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</si>
  <si>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</si>
  <si>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</si>
  <si>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</si>
  <si>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</si>
  <si>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</si>
  <si>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</si>
  <si>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</si>
  <si>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</si>
  <si>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</si>
  <si>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</si>
  <si>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</si>
  <si>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</si>
  <si>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</si>
  <si>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</si>
  <si>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</si>
  <si>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</si>
  <si>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</si>
  <si>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</si>
  <si>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</si>
  <si>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</si>
  <si>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</si>
  <si>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</si>
  <si>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</si>
  <si>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</si>
  <si>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</si>
  <si>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</si>
  <si>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</si>
  <si>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</si>
  <si>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</si>
  <si>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</si>
  <si>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</si>
  <si>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</si>
  <si>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</si>
  <si>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</si>
  <si>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</si>
  <si>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</si>
  <si>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</si>
  <si>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</si>
  <si>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</si>
  <si>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</si>
  <si>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</si>
  <si>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</si>
  <si>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</si>
  <si>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</si>
  <si>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</si>
  <si>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</si>
  <si>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</si>
  <si>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</si>
  <si>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</si>
  <si>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</si>
  <si>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</si>
  <si>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</si>
  <si>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</si>
  <si>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</si>
  <si>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</si>
  <si>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</si>
  <si>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</si>
  <si>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</si>
  <si>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</si>
  <si>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</si>
  <si>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</si>
  <si>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</si>
  <si>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</si>
  <si>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</si>
  <si>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</si>
  <si>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</si>
  <si>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</si>
  <si>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</si>
  <si>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</si>
  <si>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</si>
  <si>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</si>
  <si>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</si>
  <si>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</si>
  <si>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</si>
  <si>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</si>
  <si>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</si>
  <si>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</si>
  <si>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</si>
  <si>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</si>
  <si>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</si>
  <si>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</si>
  <si>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</si>
  <si>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</si>
  <si>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</si>
  <si>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</si>
  <si>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</si>
  <si>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</si>
  <si>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</si>
  <si>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</si>
  <si>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</si>
  <si>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</si>
  <si>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</si>
  <si>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</si>
  <si>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</si>
  <si>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</si>
  <si>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</si>
  <si>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</si>
  <si>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</si>
  <si>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</si>
  <si>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</si>
  <si>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</si>
  <si>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</si>
  <si>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</si>
  <si>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</si>
  <si>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</si>
  <si>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</si>
  <si>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</si>
  <si>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</si>
  <si>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</si>
  <si>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</si>
  <si>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</si>
  <si>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</si>
  <si>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</si>
  <si>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</si>
  <si>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</si>
  <si>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</si>
  <si>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</si>
  <si>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</si>
  <si>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</si>
  <si>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</si>
  <si>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</si>
  <si>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</si>
  <si>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</si>
  <si>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</si>
  <si>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</si>
  <si>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</si>
  <si>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</si>
  <si>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</si>
  <si>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</si>
  <si>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</si>
  <si>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</si>
  <si>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</si>
  <si>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</si>
  <si>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</si>
  <si>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</si>
  <si>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</si>
  <si>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</si>
  <si>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</si>
  <si>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</si>
  <si>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</si>
  <si>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</si>
  <si>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</si>
  <si>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</si>
  <si>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</si>
  <si>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</si>
  <si>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</si>
  <si>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</si>
  <si>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</si>
  <si>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</si>
  <si>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</si>
  <si>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</si>
  <si>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</si>
  <si>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</si>
  <si>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</si>
  <si>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</si>
  <si>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</si>
  <si>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</si>
  <si>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</si>
  <si>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</si>
  <si>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</si>
  <si>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</si>
  <si>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</si>
  <si>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</si>
  <si>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</si>
  <si>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</si>
  <si>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</si>
  <si>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</si>
  <si>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</si>
  <si>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</si>
  <si>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</si>
  <si>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</si>
  <si>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</si>
  <si>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</si>
  <si>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</si>
  <si>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</si>
  <si>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</si>
  <si>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</si>
  <si>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</si>
  <si>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</si>
  <si>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</si>
  <si>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</si>
  <si>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</si>
  <si>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</si>
  <si>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</si>
  <si>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</si>
  <si>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</si>
  <si>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</si>
  <si>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</si>
  <si>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</si>
  <si>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</si>
  <si>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</si>
  <si>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</si>
  <si>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</si>
  <si>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</si>
  <si>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</si>
  <si>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</si>
  <si>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</si>
  <si>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</si>
  <si>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</si>
  <si>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</si>
  <si>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</si>
  <si>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</si>
  <si>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</si>
  <si>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</si>
  <si>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</si>
  <si>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</si>
  <si>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</si>
  <si>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</si>
  <si>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</si>
  <si>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</si>
  <si>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</si>
  <si>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</si>
  <si>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</si>
  <si>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</si>
  <si>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</si>
  <si>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</si>
  <si>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</si>
  <si>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</si>
  <si>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</si>
  <si>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</si>
  <si>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</si>
  <si>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</si>
  <si>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</si>
  <si>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</si>
  <si>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</si>
  <si>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</si>
  <si>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</si>
  <si>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</si>
  <si>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</si>
  <si>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</si>
  <si>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</si>
  <si>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</si>
  <si>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</si>
  <si>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</si>
  <si>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</si>
  <si>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</si>
  <si>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</si>
  <si>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</si>
  <si>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</si>
  <si>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</si>
  <si>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</si>
  <si>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</si>
  <si>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</si>
  <si>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</si>
  <si>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</si>
  <si>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</si>
  <si>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</si>
  <si>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</si>
  <si>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</si>
  <si>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</si>
  <si>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</si>
  <si>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</si>
  <si>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</si>
  <si>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</si>
  <si>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</si>
  <si>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</si>
  <si>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</si>
  <si>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</si>
  <si>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</si>
  <si>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</si>
  <si>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</si>
  <si>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</si>
  <si>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</si>
  <si>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</si>
  <si>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</si>
  <si>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</si>
  <si>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</si>
  <si>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</si>
  <si>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</si>
  <si>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</si>
  <si>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</si>
  <si>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</si>
  <si>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</si>
  <si>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</si>
  <si>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</si>
  <si>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</si>
  <si>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</si>
  <si>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</si>
  <si>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</si>
  <si>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</si>
  <si>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</si>
  <si>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</si>
  <si>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</si>
  <si>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</si>
  <si>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</si>
  <si>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</si>
  <si>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</si>
  <si>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</si>
  <si>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</si>
  <si>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</si>
  <si>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</si>
  <si>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</si>
  <si>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</si>
  <si>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</si>
  <si>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</si>
  <si>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</si>
  <si>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</si>
  <si>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</si>
  <si>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</si>
  <si>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</si>
  <si>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</si>
  <si>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</si>
  <si>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</si>
  <si>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</si>
  <si>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</si>
  <si>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</si>
  <si>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</si>
  <si>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</si>
  <si>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</si>
  <si>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</si>
  <si>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</si>
  <si>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</si>
  <si>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</si>
  <si>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</si>
  <si>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</si>
  <si>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</si>
  <si>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</si>
  <si>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</si>
  <si>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</si>
  <si>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</si>
  <si>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</si>
  <si>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</si>
  <si>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</si>
  <si>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</si>
  <si>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</si>
  <si>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</si>
  <si>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</si>
  <si>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</si>
  <si>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</si>
  <si>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</si>
  <si>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</si>
  <si>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</si>
  <si>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</si>
  <si>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</si>
  <si>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</si>
  <si>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</si>
  <si>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</si>
  <si>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</si>
  <si>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</si>
  <si>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</si>
  <si>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</si>
  <si>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</si>
  <si>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</si>
  <si>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</si>
  <si>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</si>
  <si>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</si>
  <si>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</si>
  <si>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</si>
  <si>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</si>
  <si>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</si>
  <si>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</si>
  <si>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</si>
  <si>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</si>
  <si>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</si>
  <si>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</si>
  <si>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</si>
  <si>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</si>
  <si>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</si>
  <si>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</si>
  <si>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</si>
  <si>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</si>
  <si>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</si>
  <si>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</si>
  <si>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</si>
  <si>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</si>
  <si>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</si>
  <si>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</si>
  <si>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</si>
  <si>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</si>
  <si>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</si>
  <si>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</si>
  <si>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</si>
  <si>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</si>
  <si>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</si>
  <si>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</si>
  <si>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</si>
  <si>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</si>
  <si>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</si>
  <si>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</si>
  <si>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</si>
  <si>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</si>
  <si>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</si>
  <si>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</si>
  <si>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</si>
  <si>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</si>
  <si>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</si>
  <si>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</si>
  <si>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</si>
  <si>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</si>
  <si>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</si>
  <si>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</si>
  <si>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</si>
  <si>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</si>
  <si>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</si>
  <si>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</si>
  <si>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</si>
  <si>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</si>
  <si>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</si>
  <si>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</si>
  <si>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</si>
  <si>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</si>
  <si>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</si>
  <si>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</si>
  <si>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</si>
  <si>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</si>
  <si>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</si>
  <si>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</si>
  <si>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</si>
  <si>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</si>
  <si>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</si>
  <si>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</si>
  <si>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</si>
  <si>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</si>
  <si>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</si>
  <si>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</si>
  <si>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</si>
  <si>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</si>
  <si>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</si>
  <si>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</si>
  <si>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</si>
  <si>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</si>
  <si>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</si>
  <si>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</si>
  <si>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</si>
  <si>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</si>
  <si>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</si>
  <si>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</si>
  <si>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</si>
  <si>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</si>
  <si>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</si>
  <si>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</si>
  <si>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</si>
  <si>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</si>
  <si>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</si>
  <si>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</si>
  <si>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</si>
  <si>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</si>
  <si>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</si>
  <si>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</si>
  <si>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</si>
  <si>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</si>
  <si>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</si>
  <si>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</si>
  <si>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</si>
  <si>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</si>
  <si>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</si>
  <si>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</si>
  <si>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</si>
  <si>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</si>
  <si>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</si>
  <si>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</si>
  <si>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</si>
  <si>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</si>
  <si>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</si>
  <si>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</si>
  <si>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</si>
  <si>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</si>
  <si>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</si>
  <si>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</si>
  <si>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</si>
  <si>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</si>
  <si>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</si>
  <si>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</si>
  <si>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</si>
  <si>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</si>
  <si>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</si>
  <si>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</si>
  <si>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</si>
  <si>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</si>
  <si>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</si>
  <si>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</si>
  <si>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</si>
  <si>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</si>
  <si>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</si>
  <si>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</si>
  <si>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</si>
  <si>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</si>
  <si>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</si>
  <si>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</si>
  <si>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</si>
  <si>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</si>
  <si>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</si>
  <si>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</si>
  <si>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</si>
  <si>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</si>
  <si>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</si>
  <si>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</si>
  <si>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</si>
  <si>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</si>
  <si>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</si>
  <si>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</si>
  <si>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</si>
  <si>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</si>
  <si>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</si>
  <si>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</si>
  <si>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</si>
  <si>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</si>
  <si>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</si>
  <si>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</si>
  <si>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</si>
  <si>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</si>
  <si>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</si>
  <si>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</si>
  <si>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</si>
  <si>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</si>
  <si>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</si>
  <si>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</si>
  <si>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</si>
  <si>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</si>
  <si>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</si>
  <si>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</si>
  <si>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</si>
  <si>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</si>
  <si>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</si>
  <si>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</si>
  <si>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</si>
  <si>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</si>
  <si>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</si>
  <si>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</si>
  <si>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</si>
  <si>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</si>
  <si>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</si>
  <si>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</si>
  <si>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</si>
  <si>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</si>
  <si>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</si>
  <si>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</si>
  <si>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</si>
  <si>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</si>
  <si>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</si>
  <si>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</si>
  <si>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</si>
  <si>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</si>
  <si>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</si>
  <si>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</si>
  <si>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</si>
  <si>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</si>
  <si>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</si>
  <si>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</si>
  <si>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</si>
  <si>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</si>
  <si>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</si>
  <si>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</si>
  <si>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</si>
  <si>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</si>
  <si>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</si>
  <si>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</si>
  <si>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</si>
  <si>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</si>
  <si>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</si>
  <si>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</si>
  <si>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</si>
  <si>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</si>
  <si>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</si>
  <si>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</si>
  <si>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</si>
  <si>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</si>
  <si>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</si>
  <si>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</si>
  <si>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</si>
  <si>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</si>
  <si>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</si>
  <si>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</si>
  <si>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</si>
  <si>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</si>
  <si>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</si>
  <si>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</si>
  <si>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</si>
  <si>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</si>
  <si>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</si>
  <si>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</si>
  <si>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</si>
  <si>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</si>
  <si>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</si>
  <si>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</si>
  <si>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</si>
  <si>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</si>
  <si>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</si>
  <si>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</si>
  <si>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</si>
  <si>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</si>
  <si>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</si>
  <si>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</si>
  <si>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</si>
  <si>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</si>
  <si>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</si>
  <si>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</si>
  <si>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</si>
  <si>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</si>
  <si>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</si>
  <si>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</si>
  <si>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</si>
  <si>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</si>
  <si>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</si>
  <si>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</si>
  <si>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</si>
  <si>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</si>
  <si>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</si>
  <si>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</si>
  <si>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</si>
  <si>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</si>
  <si>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</si>
  <si>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</si>
  <si>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</si>
  <si>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</si>
  <si>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</si>
  <si>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</si>
  <si>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</si>
  <si>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</si>
  <si>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</si>
  <si>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</si>
  <si>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</si>
  <si>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</si>
  <si>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</si>
  <si>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</si>
  <si>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</si>
  <si>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</si>
  <si>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</si>
  <si>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</si>
  <si>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</si>
  <si>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</si>
  <si>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</si>
  <si>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</si>
  <si>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</si>
  <si>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</si>
  <si>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</si>
  <si>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</si>
  <si>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</si>
  <si>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</si>
  <si>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</si>
  <si>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</si>
  <si>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</si>
  <si>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</si>
  <si>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</si>
  <si>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</si>
  <si>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</si>
  <si>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</si>
  <si>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</si>
  <si>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</si>
  <si>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</si>
  <si>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</si>
  <si>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</si>
  <si>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</si>
  <si>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</si>
  <si>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</si>
  <si>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</si>
  <si>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</si>
  <si>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</si>
  <si>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</si>
  <si>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</si>
  <si>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</si>
  <si>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</si>
  <si>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</si>
  <si>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</si>
  <si>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</si>
  <si>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</si>
  <si>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</si>
  <si>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</si>
  <si>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</si>
  <si>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</si>
  <si>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</si>
  <si>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</si>
  <si>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</si>
  <si>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</si>
  <si>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</si>
  <si>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</si>
  <si>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</si>
  <si>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</si>
  <si>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</si>
  <si>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</si>
  <si>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</si>
  <si>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</si>
  <si>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</si>
  <si>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</si>
  <si>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</si>
  <si>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</si>
  <si>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</si>
  <si>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</si>
  <si>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</si>
  <si>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</si>
  <si>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</si>
  <si>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</si>
  <si>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</si>
  <si>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</si>
  <si>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</si>
  <si>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</si>
  <si>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</si>
  <si>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</si>
  <si>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</si>
  <si>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</si>
  <si>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</si>
  <si>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</si>
  <si>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</si>
  <si>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</si>
  <si>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</si>
  <si>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</si>
  <si>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</si>
  <si>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</si>
  <si>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</si>
  <si>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</si>
  <si>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</si>
  <si>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</si>
  <si>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</si>
  <si>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</si>
  <si>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</si>
  <si>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</si>
  <si>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</si>
  <si>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</si>
  <si>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</si>
  <si>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</si>
  <si>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</si>
  <si>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</si>
  <si>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</si>
  <si>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</si>
  <si>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</si>
  <si>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</si>
  <si>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</si>
  <si>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</si>
  <si>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</si>
  <si>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</si>
  <si>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</si>
  <si>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</si>
  <si>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</si>
  <si>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</si>
  <si>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</si>
  <si>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</si>
  <si>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</si>
  <si>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</si>
  <si>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</si>
  <si>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</si>
  <si>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</si>
  <si>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</si>
  <si>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</si>
  <si>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</si>
  <si>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</si>
  <si>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</si>
  <si>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</si>
  <si>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</si>
  <si>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</si>
  <si>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</si>
  <si>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</si>
  <si>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</si>
  <si>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</si>
  <si>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</si>
  <si>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</si>
  <si>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</si>
  <si>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</si>
  <si>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</si>
  <si>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</si>
  <si>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</si>
  <si>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</si>
  <si>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</si>
  <si>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</si>
  <si>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</si>
  <si>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</si>
  <si>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</si>
  <si>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</si>
  <si>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</si>
  <si>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</si>
  <si>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</si>
  <si>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</si>
  <si>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</si>
  <si>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</si>
  <si>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</si>
  <si>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</si>
  <si>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</si>
  <si>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</si>
  <si>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</si>
  <si>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</si>
  <si>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</si>
  <si>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</si>
  <si>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</si>
  <si>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</si>
  <si>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</si>
  <si>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</si>
  <si>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</si>
  <si>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</si>
  <si>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</si>
  <si>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</si>
  <si>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</si>
  <si>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</si>
  <si>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</si>
  <si>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</si>
  <si>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</si>
  <si>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</si>
  <si>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</si>
  <si>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</si>
  <si>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</si>
  <si>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</si>
  <si>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</si>
  <si>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</si>
  <si>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</si>
  <si>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</si>
  <si>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</si>
  <si>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</si>
  <si>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</si>
  <si>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</si>
  <si>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</si>
  <si>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</si>
  <si>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</si>
  <si>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</si>
  <si>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</si>
  <si>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</si>
  <si>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</si>
  <si>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</si>
  <si>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</si>
  <si>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</si>
  <si>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</si>
  <si>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</si>
  <si>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</si>
  <si>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</si>
  <si>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</si>
  <si>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</si>
  <si>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</si>
  <si>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</si>
  <si>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</si>
  <si>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</si>
  <si>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</si>
  <si>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</si>
  <si>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</si>
  <si>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</si>
  <si>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</si>
  <si>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</si>
  <si>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</si>
  <si>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</si>
  <si>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</si>
  <si>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</si>
  <si>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</si>
  <si>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</si>
  <si>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</si>
  <si>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</si>
  <si>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</si>
  <si>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</si>
  <si>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</si>
  <si>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</si>
  <si>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</si>
  <si>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</si>
  <si>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</si>
  <si>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</si>
  <si>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</si>
  <si>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</si>
  <si>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</si>
  <si>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</si>
  <si>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</si>
  <si>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</si>
  <si>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</si>
  <si>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</si>
  <si>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</si>
  <si>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</si>
  <si>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</si>
  <si>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</si>
  <si>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</si>
  <si>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</si>
  <si>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</si>
  <si>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</si>
  <si>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</si>
  <si>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</si>
  <si>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</si>
  <si>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</si>
  <si>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</si>
  <si>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</si>
  <si>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</si>
  <si>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</si>
  <si>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</si>
  <si>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</si>
  <si>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</si>
  <si>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</si>
  <si>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</si>
  <si>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</si>
  <si>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</si>
  <si>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</si>
  <si>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</si>
  <si>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</si>
  <si>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</si>
  <si>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</si>
  <si>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</si>
  <si>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</si>
  <si>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</si>
  <si>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</si>
  <si>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</si>
  <si>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</si>
  <si>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</si>
  <si>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</si>
  <si>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</si>
  <si>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</si>
  <si>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</si>
  <si>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</si>
  <si>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</si>
  <si>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</si>
  <si>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</si>
  <si>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</si>
  <si>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</si>
  <si>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</si>
  <si>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</si>
  <si>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</si>
  <si>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</si>
  <si>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</si>
  <si>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</si>
  <si>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</si>
  <si>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</si>
  <si>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</si>
  <si>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</si>
  <si>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</si>
  <si>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</si>
  <si>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</si>
  <si>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</si>
  <si>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</si>
  <si>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</si>
  <si>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</si>
  <si>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</si>
  <si>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</si>
  <si>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</si>
  <si>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</si>
  <si>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</si>
  <si>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</si>
  <si>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</si>
  <si>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</si>
  <si>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</si>
  <si>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</si>
  <si>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</si>
  <si>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</si>
  <si>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</si>
  <si>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</si>
  <si>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</si>
  <si>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</si>
  <si>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</si>
  <si>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</si>
  <si>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</si>
  <si>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</si>
  <si>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</si>
  <si>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</si>
  <si>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</si>
  <si>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</si>
  <si>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</si>
  <si>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</si>
  <si>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</si>
  <si>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</si>
  <si>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</si>
  <si>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</si>
  <si>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</si>
  <si>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</si>
  <si>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</si>
  <si>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</si>
  <si>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</si>
  <si>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</si>
  <si>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</si>
  <si>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</si>
  <si>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</si>
  <si>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</si>
  <si>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</si>
  <si>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</si>
  <si>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</si>
  <si>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</si>
  <si>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</si>
  <si>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</si>
  <si>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</si>
  <si>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</si>
  <si>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</si>
  <si>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</si>
  <si>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</si>
  <si>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</si>
  <si>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</si>
  <si>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</si>
  <si>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</si>
  <si>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</si>
  <si>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</si>
  <si>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</si>
  <si>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</si>
  <si>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</si>
  <si>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</si>
  <si>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</si>
  <si>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</si>
  <si>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</si>
  <si>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</si>
  <si>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</si>
  <si>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</si>
  <si>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</si>
  <si>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</si>
  <si>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</si>
  <si>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</si>
  <si>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</si>
  <si>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</si>
  <si>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</si>
  <si>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</si>
  <si>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</si>
  <si>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</si>
  <si>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</si>
  <si>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</si>
  <si>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</si>
  <si>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</si>
  <si>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</si>
  <si>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</si>
  <si>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</si>
  <si>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</si>
  <si>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</si>
  <si>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</si>
  <si>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</si>
  <si>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</si>
  <si>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</si>
  <si>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</si>
  <si>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</si>
  <si>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</si>
  <si>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</si>
  <si>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</si>
  <si>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</si>
  <si>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</si>
  <si>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</si>
  <si>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</si>
  <si>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</si>
  <si>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</si>
  <si>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</si>
  <si>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</si>
  <si>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</si>
  <si>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</si>
  <si>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</si>
  <si>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</si>
  <si>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</si>
  <si>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</si>
  <si>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</si>
  <si>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</si>
  <si>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</si>
  <si>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</si>
  <si>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</si>
  <si>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</si>
  <si>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</si>
  <si>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</si>
  <si>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</si>
  <si>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</si>
  <si>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</si>
  <si>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</si>
  <si>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</si>
  <si>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</si>
  <si>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</si>
  <si>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</si>
  <si>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</si>
  <si>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</si>
  <si>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</si>
  <si>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</si>
  <si>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</si>
  <si>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</si>
  <si>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</si>
  <si>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</si>
  <si>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</si>
  <si>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</si>
  <si>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</si>
  <si>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</si>
  <si>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</si>
  <si>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</si>
  <si>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</si>
  <si>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</si>
  <si>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</si>
  <si>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</si>
  <si>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</si>
  <si>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</si>
  <si>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</si>
  <si>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</si>
  <si>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</si>
  <si>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</si>
  <si>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</si>
  <si>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</si>
  <si>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</si>
  <si>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</si>
  <si>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</si>
  <si>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</si>
  <si>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</si>
  <si>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</si>
  <si>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</si>
  <si>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</si>
  <si>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</si>
  <si>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</si>
  <si>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</si>
  <si>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</si>
  <si>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</si>
  <si>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</si>
  <si>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</si>
  <si>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</si>
  <si>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</si>
  <si>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</si>
  <si>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</si>
  <si>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</si>
  <si>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</si>
  <si>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</si>
  <si>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</si>
  <si>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</si>
  <si>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</si>
  <si>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</si>
  <si>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</si>
  <si>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</si>
  <si>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</si>
  <si>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</si>
  <si>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</si>
  <si>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</si>
  <si>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</si>
  <si>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</si>
  <si>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</si>
  <si>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</si>
  <si>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</si>
  <si>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</si>
  <si>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</si>
  <si>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</si>
  <si>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</si>
  <si>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</si>
  <si>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</si>
  <si>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</si>
  <si>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</si>
  <si>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</si>
  <si>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</si>
  <si>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</si>
  <si>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</si>
  <si>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</si>
  <si>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</si>
  <si>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</si>
  <si>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</si>
  <si>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</si>
  <si>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</si>
  <si>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</si>
  <si>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</si>
  <si>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</si>
  <si>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</si>
  <si>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</si>
  <si>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</si>
  <si>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</si>
  <si>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</si>
  <si>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</si>
  <si>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</si>
  <si>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</si>
  <si>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</si>
  <si>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</si>
  <si>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</si>
  <si>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</si>
  <si>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</si>
  <si>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</si>
  <si>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</si>
  <si>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</si>
  <si>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</si>
  <si>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</si>
  <si>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</si>
  <si>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</si>
  <si>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</si>
  <si>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</si>
  <si>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</si>
  <si>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</si>
  <si>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</si>
  <si>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</si>
  <si>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</si>
  <si>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</si>
  <si>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</si>
  <si>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</si>
  <si>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</si>
  <si>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</si>
  <si>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</si>
  <si>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</si>
  <si>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</si>
  <si>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</si>
  <si>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</si>
  <si>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</si>
  <si>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</si>
  <si>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</si>
  <si>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</si>
  <si>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</si>
  <si>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</si>
  <si>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</si>
  <si>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</si>
  <si>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</si>
  <si>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</si>
  <si>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</si>
  <si>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</si>
  <si>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</si>
  <si>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</si>
  <si>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</si>
  <si>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</si>
  <si>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</si>
  <si>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</si>
  <si>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</si>
  <si>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</si>
  <si>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</si>
  <si>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</si>
  <si>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</si>
  <si>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</si>
  <si>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</si>
  <si>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</si>
  <si>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</si>
  <si>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</si>
  <si>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</si>
  <si>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</si>
  <si>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</si>
  <si>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</si>
  <si>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</si>
  <si>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</si>
  <si>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</si>
  <si>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</si>
  <si>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</si>
  <si>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</si>
  <si>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</si>
  <si>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</si>
  <si>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</si>
  <si>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</si>
  <si>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</si>
  <si>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</si>
  <si>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</si>
  <si>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</si>
  <si>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</si>
  <si>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</si>
  <si>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</si>
  <si>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</si>
  <si>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</si>
  <si>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</si>
  <si>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</si>
  <si>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</si>
  <si>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</si>
  <si>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</si>
  <si>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</si>
  <si>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</si>
  <si>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</si>
  <si>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</si>
  <si>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</si>
  <si>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</si>
  <si>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</si>
  <si>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</si>
  <si>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</si>
  <si>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</si>
  <si>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</si>
  <si>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</si>
  <si>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</si>
  <si>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</si>
  <si>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</si>
  <si>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</si>
  <si>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</si>
  <si>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</si>
  <si>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</si>
  <si>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</si>
  <si>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</si>
  <si>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</si>
  <si>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</si>
  <si>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</si>
  <si>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</si>
  <si>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</si>
  <si>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</si>
  <si>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</si>
  <si>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</si>
  <si>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</si>
  <si>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</si>
  <si>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</si>
  <si>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</si>
  <si>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</si>
  <si>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</si>
  <si>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</si>
  <si>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</si>
  <si>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</si>
  <si>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</si>
  <si>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</si>
  <si>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</si>
  <si>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</si>
  <si>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</si>
  <si>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</si>
  <si>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</si>
  <si>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</si>
  <si>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</si>
  <si>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</si>
  <si>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</si>
  <si>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</si>
  <si>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</si>
  <si>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</si>
  <si>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</si>
  <si>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</si>
  <si>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</si>
  <si>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</si>
  <si>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</si>
  <si>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</si>
  <si>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</si>
  <si>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</si>
  <si>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</si>
  <si>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</si>
  <si>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</si>
  <si>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</si>
  <si>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</si>
  <si>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</si>
  <si>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</si>
  <si>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</si>
  <si>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</si>
  <si>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</si>
  <si>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</si>
  <si>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</si>
  <si>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</si>
  <si>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</si>
  <si>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</si>
  <si>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</si>
  <si>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</si>
  <si>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</si>
  <si>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</si>
  <si>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</si>
  <si>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</si>
  <si>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</si>
  <si>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</si>
  <si>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</si>
  <si>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</si>
  <si>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</si>
  <si>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</si>
  <si>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</si>
  <si>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</si>
  <si>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</si>
  <si>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</si>
  <si>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</si>
  <si>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</si>
  <si>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</si>
  <si>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</si>
  <si>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</si>
  <si>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</si>
  <si>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</si>
  <si>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</si>
  <si>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</si>
  <si>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</si>
  <si>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</si>
  <si>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</si>
  <si>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</si>
  <si>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</si>
  <si>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</si>
  <si>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</si>
  <si>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</si>
  <si>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</si>
  <si>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</si>
  <si>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</si>
  <si>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</si>
  <si>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</si>
  <si>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</si>
  <si>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</si>
  <si>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</si>
  <si>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</si>
  <si>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</si>
  <si>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</si>
  <si>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</si>
  <si>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</si>
  <si>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</si>
  <si>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</si>
  <si>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</si>
  <si>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</si>
  <si>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</si>
  <si>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</si>
  <si>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</si>
  <si>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</si>
  <si>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</si>
  <si>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</si>
  <si>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</si>
  <si>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</si>
  <si>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</si>
  <si>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</si>
  <si>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</si>
  <si>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</si>
  <si>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</si>
  <si>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</si>
  <si>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</si>
  <si>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</si>
  <si>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</si>
  <si>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</si>
  <si>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</si>
  <si>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</si>
  <si>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</si>
  <si>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</si>
  <si>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</si>
  <si>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</si>
  <si>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</si>
  <si>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</si>
  <si>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</si>
  <si>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</si>
  <si>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</si>
  <si>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</si>
  <si>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</si>
  <si>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</si>
  <si>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</si>
  <si>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</si>
  <si>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</si>
  <si>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</si>
  <si>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</si>
  <si>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</si>
  <si>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</si>
  <si>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</si>
  <si>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</si>
  <si>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</si>
  <si>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</si>
  <si>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</si>
  <si>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</si>
  <si>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</si>
  <si>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</si>
  <si>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</si>
  <si>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</si>
  <si>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</si>
  <si>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</si>
  <si>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</si>
  <si>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</si>
  <si>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</si>
  <si>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</si>
  <si>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</si>
  <si>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</si>
  <si>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</si>
  <si>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</si>
  <si>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</si>
  <si>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</si>
  <si>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</si>
  <si>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</si>
  <si>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</si>
  <si>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</si>
  <si>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</si>
  <si>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</si>
  <si>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</si>
  <si>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</si>
  <si>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</si>
  <si>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</si>
  <si>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</si>
  <si>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</si>
  <si>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</si>
  <si>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</si>
  <si>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</si>
  <si>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</si>
  <si>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</si>
  <si>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</si>
  <si>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</si>
  <si>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</si>
  <si>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</si>
  <si>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</si>
  <si>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</si>
  <si>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</si>
  <si>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</si>
  <si>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</si>
  <si>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</si>
  <si>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</si>
  <si>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</si>
  <si>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</si>
  <si>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</si>
  <si>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</si>
  <si>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</si>
  <si>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</si>
  <si>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</si>
  <si>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</si>
  <si>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</si>
  <si>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</si>
  <si>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</si>
  <si>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</si>
  <si>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</si>
  <si>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</si>
  <si>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</si>
  <si>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</si>
  <si>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</si>
  <si>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</si>
  <si>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</si>
  <si>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</si>
  <si>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</si>
  <si>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</si>
  <si>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</si>
  <si>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</si>
  <si>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</si>
  <si>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</si>
  <si>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</si>
  <si>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</si>
  <si>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</si>
  <si>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</si>
  <si>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</si>
  <si>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</si>
  <si>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</si>
  <si>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</si>
  <si>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</si>
  <si>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</si>
  <si>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</si>
  <si>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</si>
  <si>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</si>
  <si>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</si>
  <si>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</si>
  <si>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</si>
  <si>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</si>
  <si>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</si>
  <si>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</si>
  <si>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</si>
  <si>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</si>
  <si>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</si>
  <si>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</si>
  <si>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</si>
  <si>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</si>
  <si>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</si>
  <si>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</si>
  <si>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</si>
  <si>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</si>
  <si>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</si>
  <si>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</si>
  <si>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</si>
  <si>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</si>
  <si>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</si>
  <si>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</si>
  <si>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</si>
  <si>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</si>
  <si>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</si>
  <si>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</si>
  <si>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</si>
  <si>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</si>
  <si>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</si>
  <si>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</si>
  <si>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</si>
  <si>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</si>
  <si>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</si>
  <si>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</si>
  <si>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</si>
  <si>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</si>
  <si>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</si>
  <si>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</si>
  <si>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</si>
  <si>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</si>
  <si>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</si>
  <si>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</si>
  <si>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</si>
  <si>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</si>
  <si>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</si>
  <si>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</si>
  <si>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</si>
  <si>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</si>
  <si>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</si>
  <si>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</si>
  <si>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</si>
  <si>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</si>
  <si>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</si>
  <si>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</si>
  <si>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</si>
  <si>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</si>
  <si>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</si>
  <si>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</si>
  <si>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</si>
  <si>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</si>
  <si>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</si>
  <si>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</si>
  <si>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</si>
  <si>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</si>
  <si>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</si>
  <si>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</si>
  <si>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</si>
  <si>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</si>
  <si>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</si>
  <si>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</si>
  <si>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</si>
  <si>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</si>
  <si>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</si>
  <si>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</si>
  <si>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</si>
  <si>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</si>
  <si>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</si>
  <si>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</si>
  <si>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</si>
  <si>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</si>
  <si>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</si>
  <si>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</si>
  <si>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</si>
  <si>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</si>
  <si>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</si>
  <si>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</si>
  <si>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</si>
  <si>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</si>
  <si>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</si>
  <si>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</si>
  <si>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</si>
  <si>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</si>
  <si>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</si>
  <si>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</si>
  <si>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</si>
  <si>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</si>
  <si>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</si>
  <si>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</si>
  <si>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</si>
  <si>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</si>
  <si>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</si>
  <si>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</si>
  <si>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</si>
  <si>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</si>
  <si>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</si>
  <si>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</si>
  <si>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</si>
  <si>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</si>
  <si>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</si>
  <si>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</si>
  <si>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</si>
  <si>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</si>
  <si>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</si>
  <si>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</si>
  <si>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</si>
  <si>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</si>
  <si>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</si>
  <si>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</si>
  <si>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</si>
  <si>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</si>
  <si>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</si>
  <si>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</si>
  <si>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</si>
  <si>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</si>
  <si>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</si>
  <si>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</si>
  <si>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</si>
  <si>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</si>
  <si>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</si>
  <si>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</si>
  <si>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</si>
  <si>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</si>
  <si>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</si>
  <si>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</si>
  <si>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</si>
  <si>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</si>
  <si>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</si>
  <si>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</si>
  <si>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</si>
  <si>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</si>
  <si>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</si>
  <si>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</si>
  <si>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</si>
  <si>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</si>
  <si>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</si>
  <si>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</si>
  <si>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</si>
  <si>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</si>
  <si>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</si>
  <si>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</si>
  <si>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</si>
  <si>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</si>
  <si>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</si>
  <si>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</si>
  <si>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</si>
  <si>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</si>
  <si>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</si>
  <si>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</si>
  <si>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</si>
  <si>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</si>
  <si>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</si>
  <si>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</si>
  <si>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</si>
  <si>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</si>
  <si>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</si>
  <si>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</si>
  <si>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</si>
  <si>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</si>
  <si>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</si>
  <si>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</si>
  <si>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</si>
  <si>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</si>
  <si>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</si>
  <si>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</si>
  <si>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</si>
  <si>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</si>
  <si>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</si>
  <si>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</si>
  <si>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</si>
  <si>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</si>
  <si>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</si>
  <si>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</si>
  <si>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</si>
  <si>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</si>
  <si>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</si>
  <si>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</si>
  <si>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</si>
  <si>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</si>
  <si>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</si>
  <si>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</si>
  <si>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</si>
  <si>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</si>
  <si>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</si>
  <si>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</si>
  <si>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</si>
  <si>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</si>
  <si>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</si>
  <si>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</si>
  <si>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</si>
  <si>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</si>
  <si>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</si>
  <si>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</si>
  <si>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</si>
  <si>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</si>
  <si>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</si>
  <si>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</si>
  <si>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</si>
  <si>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</si>
  <si>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</si>
  <si>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</si>
  <si>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</si>
  <si>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</si>
  <si>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</si>
  <si>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</si>
  <si>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</si>
  <si>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</si>
  <si>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</si>
  <si>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</si>
  <si>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</si>
  <si>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</si>
  <si>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</si>
  <si>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</si>
  <si>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</si>
  <si>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</si>
  <si>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</si>
  <si>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</si>
  <si>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</si>
  <si>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</si>
  <si>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</si>
  <si>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</si>
  <si>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</si>
  <si>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</si>
  <si>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</si>
  <si>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</si>
  <si>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</si>
  <si>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</si>
  <si>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</si>
  <si>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</si>
  <si>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</si>
  <si>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</si>
  <si>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</si>
  <si>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</si>
  <si>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</si>
  <si>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</si>
  <si>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</si>
  <si>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</si>
  <si>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</si>
  <si>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</si>
  <si>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</si>
  <si>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</si>
  <si>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</si>
  <si>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</si>
  <si>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</si>
  <si>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</si>
  <si>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</si>
  <si>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</si>
  <si>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</si>
  <si>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</si>
  <si>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</si>
  <si>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</si>
  <si>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</si>
  <si>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</si>
  <si>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</si>
  <si>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</si>
  <si>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</si>
  <si>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</si>
  <si>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</si>
  <si>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</si>
  <si>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</si>
  <si>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</si>
  <si>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</si>
  <si>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</si>
  <si>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</si>
  <si>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</si>
  <si>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</si>
  <si>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</si>
  <si>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</si>
  <si>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</si>
  <si>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</si>
  <si>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</si>
  <si>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</si>
  <si>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</si>
  <si>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</si>
  <si>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</si>
  <si>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</si>
  <si>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</si>
  <si>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</si>
  <si>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</si>
  <si>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</si>
  <si>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</si>
  <si>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</si>
  <si>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</si>
  <si>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</si>
  <si>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</si>
  <si>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</si>
  <si>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</si>
  <si>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</si>
  <si>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</si>
  <si>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</si>
  <si>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</si>
  <si>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</si>
  <si>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</si>
  <si>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</si>
  <si>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</si>
  <si>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</si>
  <si>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</si>
  <si>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</si>
  <si>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</si>
  <si>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</si>
  <si>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</si>
  <si>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</si>
  <si>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</si>
  <si>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</si>
  <si>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</si>
  <si>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</si>
  <si>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</si>
  <si>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</si>
  <si>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</si>
  <si>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</si>
  <si>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</si>
  <si>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</si>
  <si>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</si>
  <si>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</si>
  <si>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</si>
  <si>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</si>
  <si>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</si>
  <si>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</si>
  <si>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</si>
  <si>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</si>
  <si>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</si>
  <si>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</si>
  <si>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</si>
  <si>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</si>
  <si>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</si>
  <si>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</si>
  <si>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</si>
  <si>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</si>
  <si>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</si>
  <si>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</si>
  <si>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</si>
  <si>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</si>
  <si>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</si>
  <si>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</si>
  <si>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</si>
  <si>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</si>
  <si>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</si>
  <si>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</si>
  <si>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</si>
  <si>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</si>
  <si>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</si>
  <si>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</si>
  <si>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</si>
  <si>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</si>
  <si>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</si>
  <si>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</si>
  <si>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</si>
  <si>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</si>
  <si>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</si>
  <si>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</si>
  <si>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</si>
  <si>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</si>
  <si>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</si>
  <si>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</si>
  <si>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</si>
  <si>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</si>
  <si>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</si>
  <si>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</si>
  <si>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</si>
  <si>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</si>
  <si>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</si>
  <si>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</si>
  <si>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</si>
  <si>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</si>
  <si>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</si>
  <si>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</si>
  <si>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</si>
  <si>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</si>
  <si>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</si>
  <si>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</si>
  <si>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</si>
  <si>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</si>
  <si>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</si>
  <si>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</si>
  <si>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</si>
  <si>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</si>
  <si>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</si>
  <si>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</si>
  <si>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</si>
  <si>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</si>
  <si>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</si>
  <si>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</si>
  <si>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</si>
  <si>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</si>
  <si>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</si>
  <si>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</si>
  <si>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</si>
  <si>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</si>
  <si>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</si>
  <si>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</si>
  <si>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</si>
  <si>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</si>
  <si>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</si>
  <si>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</si>
  <si>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</si>
  <si>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</si>
  <si>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</si>
  <si>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</si>
  <si>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</si>
  <si>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</si>
  <si>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</si>
  <si>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</si>
  <si>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</si>
  <si>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</si>
  <si>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</si>
  <si>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</si>
  <si>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</si>
  <si>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</si>
  <si>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</si>
  <si>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</si>
  <si>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</si>
  <si>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</si>
  <si>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</si>
  <si>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</si>
  <si>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</si>
  <si>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</si>
  <si>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</si>
  <si>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</si>
  <si>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</si>
  <si>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</si>
  <si>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</si>
  <si>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</si>
  <si>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</si>
  <si>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</si>
  <si>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</si>
  <si>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</si>
  <si>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</si>
  <si>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</si>
  <si>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</si>
  <si>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</si>
  <si>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</si>
  <si>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</si>
  <si>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</si>
  <si>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</si>
  <si>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</si>
  <si>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</si>
  <si>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</si>
  <si>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</si>
  <si>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</si>
  <si>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</si>
  <si>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</si>
  <si>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</si>
  <si>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</si>
  <si>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</si>
  <si>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</si>
  <si>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</si>
  <si>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</si>
  <si>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</si>
  <si>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</si>
  <si>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</si>
  <si>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</si>
  <si>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</si>
  <si>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</si>
  <si>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</si>
  <si>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</si>
  <si>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</si>
  <si>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</si>
  <si>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</si>
  <si>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</si>
  <si>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</si>
  <si>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</si>
  <si>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</si>
  <si>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</si>
  <si>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</si>
  <si>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</si>
  <si>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</si>
  <si>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</si>
  <si>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</si>
  <si>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</si>
  <si>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</si>
  <si>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</si>
  <si>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</si>
  <si>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</si>
  <si>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</si>
  <si>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</si>
  <si>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</si>
  <si>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</si>
  <si>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</si>
  <si>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</si>
  <si>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</si>
  <si>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</si>
  <si>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</si>
  <si>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</si>
  <si>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</si>
  <si>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</si>
  <si>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</si>
  <si>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</si>
  <si>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</si>
  <si>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</si>
  <si>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</si>
  <si>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</si>
  <si>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</si>
  <si>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</si>
  <si>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</si>
  <si>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</si>
  <si>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</si>
  <si>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</si>
  <si>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</si>
  <si>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</si>
  <si>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</si>
  <si>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</si>
  <si>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</si>
  <si>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</si>
  <si>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</si>
  <si>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</si>
  <si>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</si>
  <si>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</si>
  <si>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</si>
  <si>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</si>
  <si>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</si>
  <si>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</si>
  <si>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</si>
  <si>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</si>
  <si>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</si>
  <si>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</si>
  <si>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</si>
  <si>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</si>
  <si>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</si>
  <si>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</si>
  <si>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</si>
  <si>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</si>
  <si>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</si>
  <si>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</si>
  <si>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</si>
  <si>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</si>
  <si>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</si>
  <si>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</si>
  <si>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</si>
  <si>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</si>
  <si>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</si>
  <si>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</si>
  <si>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</si>
  <si>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</si>
  <si>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</si>
  <si>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</si>
  <si>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</si>
  <si>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</si>
  <si>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</si>
  <si>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</si>
  <si>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</si>
  <si>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</si>
  <si>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</si>
  <si>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</si>
  <si>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</si>
  <si>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</si>
  <si>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</si>
  <si>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</si>
  <si>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</si>
  <si>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</si>
  <si>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</si>
  <si>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</si>
  <si>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</si>
  <si>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</si>
  <si>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</si>
  <si>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</si>
  <si>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</si>
  <si>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</si>
  <si>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</si>
  <si>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</si>
  <si>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</si>
  <si>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</si>
  <si>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</si>
  <si>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</si>
  <si>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</si>
  <si>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</si>
  <si>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</si>
  <si>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</si>
  <si>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</si>
  <si>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</si>
  <si>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</si>
  <si>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</si>
  <si>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</si>
  <si>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</si>
  <si>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</si>
  <si>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</si>
  <si>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</si>
  <si>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</si>
  <si>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</si>
  <si>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</si>
  <si>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</si>
  <si>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</si>
  <si>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</si>
  <si>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</si>
  <si>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</si>
  <si>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</si>
  <si>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</si>
  <si>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</si>
  <si>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</si>
  <si>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</si>
  <si>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</si>
  <si>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</si>
  <si>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</si>
  <si>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</si>
  <si>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</si>
  <si>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</si>
  <si>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</si>
  <si>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</si>
  <si>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</si>
  <si>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</si>
  <si>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</si>
  <si>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</si>
  <si>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</si>
  <si>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</si>
  <si>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</si>
  <si>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</si>
  <si>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</si>
  <si>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</si>
  <si>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</si>
  <si>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</si>
  <si>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</si>
  <si>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</si>
  <si>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</si>
  <si>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</si>
  <si>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</si>
  <si>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</si>
  <si>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</si>
  <si>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</si>
  <si>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</si>
  <si>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</si>
  <si>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</si>
  <si>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</si>
  <si>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</si>
  <si>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</si>
  <si>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</si>
  <si>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</si>
  <si>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</si>
  <si>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</si>
  <si>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</si>
  <si>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</si>
  <si>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</si>
  <si>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</si>
  <si>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</si>
  <si>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</si>
  <si>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</si>
  <si>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</si>
  <si>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</si>
  <si>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</si>
  <si>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</si>
  <si>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</si>
  <si>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</si>
  <si>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</si>
  <si>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</si>
  <si>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</si>
  <si>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</si>
  <si>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</si>
  <si>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</si>
  <si>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</si>
  <si>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</si>
  <si>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</si>
  <si>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</si>
  <si>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</si>
  <si>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</si>
  <si>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</si>
  <si>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</si>
  <si>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</si>
  <si>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</si>
  <si>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</si>
  <si>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</si>
  <si>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</si>
  <si>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</si>
  <si>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</si>
  <si>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</si>
  <si>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</si>
  <si>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</si>
  <si>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</si>
  <si>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</si>
  <si>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</si>
  <si>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</si>
  <si>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</si>
  <si>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</si>
  <si>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</si>
  <si>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</si>
  <si>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</si>
  <si>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</si>
  <si>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</si>
  <si>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</si>
  <si>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</si>
  <si>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</si>
  <si>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</si>
  <si>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</si>
  <si>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</si>
  <si>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</si>
  <si>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</si>
  <si>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</si>
  <si>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</si>
  <si>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</si>
  <si>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</si>
  <si>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</si>
  <si>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</si>
  <si>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</si>
  <si>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</si>
  <si>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</si>
  <si>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</si>
  <si>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</si>
  <si>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</si>
  <si>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</si>
  <si>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</si>
  <si>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</si>
  <si>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</si>
  <si>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</si>
  <si>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</si>
  <si>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</si>
  <si>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</si>
  <si>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</si>
  <si>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</si>
  <si>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</si>
  <si>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</si>
  <si>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</si>
  <si>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</si>
  <si>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</si>
  <si>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</si>
  <si>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</si>
  <si>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</si>
  <si>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</si>
  <si>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</si>
  <si>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</si>
  <si>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</si>
  <si>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</si>
  <si>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</si>
  <si>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</si>
  <si>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</si>
  <si>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</si>
  <si>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</si>
  <si>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</si>
  <si>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</si>
  <si>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</si>
  <si>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</si>
  <si>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</si>
  <si>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</si>
  <si>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</si>
  <si>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</si>
  <si>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</si>
  <si>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</si>
  <si>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</si>
  <si>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</si>
  <si>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</si>
  <si>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</si>
  <si>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</si>
  <si>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</si>
  <si>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</si>
  <si>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</si>
  <si>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</si>
  <si>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</si>
  <si>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</si>
  <si>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</si>
  <si>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</si>
  <si>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</si>
  <si>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</si>
  <si>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</si>
  <si>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</si>
  <si>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</si>
  <si>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</si>
  <si>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</si>
  <si>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</si>
  <si>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</si>
  <si>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</si>
  <si>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</si>
  <si>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</si>
  <si>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</si>
  <si>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</si>
  <si>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</si>
  <si>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</si>
  <si>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</si>
  <si>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</si>
  <si>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</si>
  <si>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</si>
  <si>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</si>
  <si>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</si>
  <si>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</si>
  <si>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</si>
  <si>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</si>
  <si>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</si>
  <si>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</si>
  <si>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</si>
  <si>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</si>
  <si>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</si>
  <si>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</si>
  <si>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</si>
  <si>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</si>
  <si>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</si>
  <si>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</si>
  <si>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</si>
  <si>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</si>
  <si>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</si>
  <si>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</si>
  <si>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</si>
  <si>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</si>
  <si>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</si>
  <si>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</si>
  <si>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</si>
  <si>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</si>
  <si>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</si>
  <si>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</si>
  <si>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</si>
  <si>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</si>
  <si>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</si>
  <si>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</si>
  <si>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</si>
  <si>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</si>
  <si>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</si>
  <si>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</si>
  <si>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</si>
  <si>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</si>
  <si>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</si>
  <si>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</si>
  <si>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</si>
  <si>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</si>
  <si>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</si>
  <si>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</si>
  <si>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</si>
  <si>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</si>
  <si>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</si>
  <si>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</si>
  <si>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</si>
  <si>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</si>
  <si>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</si>
  <si>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</si>
  <si>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</si>
  <si>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</si>
  <si>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</si>
  <si>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</si>
  <si>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</si>
  <si>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</si>
  <si>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</si>
  <si>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</si>
  <si>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</si>
  <si>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</si>
  <si>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</si>
  <si>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</si>
  <si>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</si>
  <si>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</si>
  <si>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</si>
  <si>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</si>
  <si>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</si>
  <si>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</si>
  <si>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</si>
  <si>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</si>
  <si>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</si>
  <si>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</si>
  <si>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</si>
  <si>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</si>
  <si>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</si>
  <si>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</si>
  <si>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</si>
  <si>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</si>
  <si>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</si>
  <si>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</si>
  <si>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</si>
  <si>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</si>
  <si>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</si>
  <si>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</si>
  <si>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</si>
  <si>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</si>
  <si>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</si>
  <si>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</si>
  <si>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</si>
  <si>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</si>
  <si>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</si>
  <si>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</si>
  <si>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</si>
  <si>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</si>
  <si>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</si>
  <si>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</si>
  <si>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</si>
  <si>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</si>
  <si>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</si>
  <si>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</si>
  <si>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</si>
  <si>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</si>
  <si>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</si>
  <si>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</si>
  <si>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</si>
  <si>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</si>
  <si>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</si>
  <si>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</si>
  <si>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</si>
  <si>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</si>
  <si>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</si>
  <si>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</si>
  <si>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</si>
  <si>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</si>
  <si>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</si>
  <si>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</si>
  <si>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</si>
  <si>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</si>
  <si>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</si>
  <si>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</si>
  <si>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</si>
  <si>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</si>
  <si>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</si>
  <si>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</si>
  <si>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</si>
  <si>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</si>
  <si>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</si>
  <si>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</si>
  <si>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</si>
  <si>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</si>
  <si>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</si>
  <si>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</si>
  <si>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</si>
  <si>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</si>
  <si>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</si>
  <si>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</si>
  <si>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</si>
  <si>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</si>
  <si>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</si>
  <si>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</si>
  <si>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</si>
  <si>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</si>
  <si>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</si>
  <si>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</si>
  <si>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</si>
  <si>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</si>
  <si>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</si>
  <si>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</si>
  <si>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</si>
  <si>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</si>
  <si>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</si>
  <si>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</si>
  <si>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</si>
  <si>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</si>
  <si>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</si>
  <si>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</si>
  <si>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</si>
  <si>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</si>
  <si>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</si>
  <si>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</si>
  <si>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</si>
  <si>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</si>
  <si>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</si>
  <si>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</si>
  <si>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</si>
  <si>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</si>
  <si>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</si>
  <si>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</si>
  <si>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</si>
  <si>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</si>
  <si>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</si>
  <si>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</si>
  <si>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</si>
  <si>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</si>
  <si>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</si>
  <si>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</si>
  <si>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</si>
  <si>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</si>
  <si>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</si>
  <si>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</si>
  <si>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</si>
  <si>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</si>
  <si>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</si>
  <si>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</si>
  <si>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</si>
  <si>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</si>
  <si>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</si>
  <si>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</si>
  <si>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</si>
  <si>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</si>
  <si>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</si>
  <si>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</si>
  <si>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</si>
  <si>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</si>
  <si>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</si>
  <si>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</si>
  <si>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</si>
  <si>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</si>
  <si>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</si>
  <si>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</si>
  <si>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</si>
  <si>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</si>
  <si>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</si>
  <si>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</si>
  <si>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</si>
  <si>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</si>
  <si>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</si>
  <si>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</si>
  <si>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</si>
  <si>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</si>
  <si>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</si>
  <si>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</si>
  <si>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</si>
  <si>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</si>
  <si>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</si>
  <si>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</si>
  <si>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</si>
  <si>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</si>
  <si>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</si>
  <si>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</si>
  <si>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</si>
  <si>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</si>
  <si>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</si>
  <si>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</si>
  <si>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</si>
  <si>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</si>
  <si>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</si>
  <si>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</si>
  <si>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</si>
  <si>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</si>
  <si>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</si>
  <si>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</si>
  <si>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</si>
  <si>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</si>
  <si>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</si>
  <si>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</si>
  <si>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</si>
  <si>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</si>
  <si>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</si>
  <si>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</si>
  <si>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</si>
  <si>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15,7</t>
  </si>
  <si>
    <t>9,7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</si>
  <si>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</si>
  <si>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</si>
  <si>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</si>
  <si>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</si>
  <si>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</si>
  <si>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</si>
  <si>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</si>
  <si>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</si>
  <si>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</si>
  <si>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</si>
  <si>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</si>
  <si>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</si>
  <si>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</si>
  <si>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</si>
  <si>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</si>
  <si>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</si>
  <si>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</si>
  <si>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</si>
  <si>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</si>
  <si>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</si>
  <si>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</si>
  <si>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</si>
  <si>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</si>
  <si>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</si>
  <si>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</si>
  <si>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</si>
  <si>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</si>
  <si>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</si>
  <si>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</si>
  <si>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</si>
  <si>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</si>
  <si>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</si>
  <si>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</si>
  <si>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</si>
  <si>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</si>
  <si>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</si>
  <si>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</si>
  <si>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</si>
  <si>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</si>
  <si>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</si>
  <si>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</si>
  <si>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</si>
  <si>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</si>
  <si>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</si>
  <si>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</si>
  <si>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</si>
  <si>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</si>
  <si>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</si>
  <si>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</si>
  <si>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</si>
  <si>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</si>
  <si>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</si>
  <si>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</si>
  <si>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</si>
  <si>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</si>
  <si>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</si>
  <si>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</si>
  <si>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</si>
  <si>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</si>
  <si>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</si>
  <si>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</si>
  <si>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</si>
  <si>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</si>
  <si>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</si>
  <si>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</si>
  <si>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</si>
  <si>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</si>
  <si>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</si>
  <si>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</si>
  <si>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</si>
  <si>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</si>
  <si>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</si>
  <si>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</si>
  <si>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</si>
  <si>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</si>
  <si>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</si>
  <si>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</si>
  <si>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</si>
  <si>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</si>
  <si>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</si>
  <si>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</si>
  <si>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</si>
  <si>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</si>
  <si>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</si>
  <si>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</si>
  <si>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</si>
  <si>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</si>
  <si>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</si>
  <si>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</si>
  <si>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</si>
  <si>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</si>
  <si>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</si>
  <si>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</si>
  <si>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</si>
  <si>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</si>
  <si>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</si>
  <si>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</si>
  <si>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</si>
  <si>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</si>
  <si>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</si>
  <si>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</si>
  <si>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</si>
  <si>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</si>
  <si>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</si>
  <si>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</si>
  <si>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</si>
  <si>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</si>
  <si>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</si>
  <si>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</si>
  <si>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</si>
  <si>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</si>
  <si>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</si>
  <si>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</si>
  <si>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</si>
  <si>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</si>
  <si>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</si>
  <si>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</si>
  <si>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</si>
  <si>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</si>
  <si>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</si>
  <si>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</si>
  <si>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</si>
  <si>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</si>
  <si>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</si>
  <si>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</si>
  <si>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</si>
  <si>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</si>
  <si>
    <t>отвод_и1_17375</t>
  </si>
  <si>
    <t>УголУ4</t>
  </si>
  <si>
    <t>21,3</t>
  </si>
  <si>
    <t>0,04</t>
  </si>
  <si>
    <t>26,9</t>
  </si>
  <si>
    <t>0,06</t>
  </si>
  <si>
    <t>33,7</t>
  </si>
  <si>
    <t>0,05</t>
  </si>
  <si>
    <t>0,08</t>
  </si>
  <si>
    <t>0,09</t>
  </si>
  <si>
    <t>0,07</t>
  </si>
  <si>
    <t>0,12</t>
  </si>
  <si>
    <t>0,16</t>
  </si>
  <si>
    <t>0,012</t>
  </si>
  <si>
    <t>0,13</t>
  </si>
  <si>
    <t>0,17</t>
  </si>
  <si>
    <t>0,23</t>
  </si>
  <si>
    <t>48,3</t>
  </si>
  <si>
    <t>0,19</t>
  </si>
  <si>
    <t>60,3</t>
  </si>
  <si>
    <t>0,42</t>
  </si>
  <si>
    <t>76,1</t>
  </si>
  <si>
    <t>0,47</t>
  </si>
  <si>
    <t>88,9</t>
  </si>
  <si>
    <t>0,60</t>
  </si>
  <si>
    <t>114,3</t>
  </si>
  <si>
    <t>139,7</t>
  </si>
  <si>
    <t>168,3</t>
  </si>
  <si>
    <t>219,1</t>
  </si>
  <si>
    <t>323,9</t>
  </si>
  <si>
    <t>355,6</t>
  </si>
  <si>
    <t>406,4</t>
  </si>
  <si>
    <t>255,6</t>
  </si>
  <si>
    <t>переход_и1_17378</t>
  </si>
  <si>
    <t>Переход3</t>
  </si>
  <si>
    <t>0,11</t>
  </si>
  <si>
    <t>0,26</t>
  </si>
  <si>
    <t>0,35</t>
  </si>
  <si>
    <t>0,36</t>
  </si>
  <si>
    <t>0,165</t>
  </si>
  <si>
    <t>0,241</t>
  </si>
  <si>
    <t>0,353</t>
  </si>
  <si>
    <t>0,561</t>
  </si>
  <si>
    <t>0,871</t>
  </si>
  <si>
    <t>2,16</t>
  </si>
  <si>
    <t>12,1</t>
  </si>
  <si>
    <t>13,6</t>
  </si>
  <si>
    <t>35,64</t>
  </si>
  <si>
    <r>
      <rPr>
        <sz val="7"/>
        <color rgb="FF000000"/>
        <rFont val="Arial"/>
        <family val="2"/>
        <charset val="204"/>
      </rPr>
      <t>0,138</t>
    </r>
  </si>
  <si>
    <r>
      <rPr>
        <sz val="7"/>
        <color rgb="FF000000"/>
        <rFont val="Arial"/>
        <family val="2"/>
        <charset val="204"/>
      </rPr>
      <t>0,213</t>
    </r>
  </si>
  <si>
    <r>
      <rPr>
        <sz val="7"/>
        <color rgb="FF000000"/>
        <rFont val="Arial"/>
        <family val="2"/>
        <charset val="204"/>
      </rPr>
      <t>0,345</t>
    </r>
  </si>
  <si>
    <r>
      <rPr>
        <sz val="7"/>
        <color rgb="FF000000"/>
        <rFont val="Arial"/>
        <family val="2"/>
        <charset val="204"/>
      </rPr>
      <t>0,530</t>
    </r>
  </si>
  <si>
    <r>
      <rPr>
        <sz val="7"/>
        <color rgb="FF000000"/>
        <rFont val="Arial"/>
        <family val="2"/>
        <charset val="204"/>
      </rPr>
      <t>0,823</t>
    </r>
  </si>
  <si>
    <r>
      <rPr>
        <sz val="7"/>
        <color rgb="FF000000"/>
        <rFont val="Arial"/>
        <family val="2"/>
        <charset val="204"/>
      </rPr>
      <t>500 00 025 2</t>
    </r>
  </si>
  <si>
    <r>
      <rPr>
        <sz val="7"/>
        <color rgb="FF000000"/>
        <rFont val="Arial"/>
        <family val="2"/>
        <charset val="204"/>
      </rPr>
      <t>500 00 032 2</t>
    </r>
  </si>
  <si>
    <r>
      <rPr>
        <sz val="7"/>
        <color rgb="FF000000"/>
        <rFont val="Arial"/>
        <family val="2"/>
        <charset val="204"/>
      </rPr>
      <t>500 00 040 2</t>
    </r>
  </si>
  <si>
    <r>
      <rPr>
        <sz val="7"/>
        <color rgb="FF000000"/>
        <rFont val="Arial"/>
        <family val="2"/>
        <charset val="204"/>
      </rPr>
      <t>500 00 050 2</t>
    </r>
  </si>
  <si>
    <r>
      <rPr>
        <sz val="7"/>
        <color rgb="FF000000"/>
        <rFont val="Arial"/>
        <family val="2"/>
        <charset val="204"/>
      </rPr>
      <t>500 00 063 2</t>
    </r>
  </si>
  <si>
    <r>
      <rPr>
        <sz val="7"/>
        <color rgb="FF000000"/>
        <rFont val="Arial"/>
        <family val="2"/>
        <charset val="204"/>
      </rPr>
      <t>500 00 075 2</t>
    </r>
  </si>
  <si>
    <r>
      <rPr>
        <sz val="7"/>
        <color rgb="FF000000"/>
        <rFont val="Arial"/>
        <family val="2"/>
        <charset val="204"/>
      </rPr>
      <t>500 00 090 2</t>
    </r>
  </si>
  <si>
    <r>
      <rPr>
        <sz val="7"/>
        <color rgb="FF000000"/>
        <rFont val="Arial"/>
        <family val="2"/>
        <charset val="204"/>
      </rPr>
      <t>500 00 110 2</t>
    </r>
  </si>
  <si>
    <r>
      <rPr>
        <sz val="7"/>
        <color rgb="FF000000"/>
        <rFont val="Arial"/>
        <family val="2"/>
        <charset val="204"/>
      </rPr>
      <t>500 00 125 2</t>
    </r>
  </si>
  <si>
    <r>
      <rPr>
        <sz val="7"/>
        <color rgb="FF000000"/>
        <rFont val="Arial"/>
        <family val="2"/>
        <charset val="204"/>
      </rPr>
      <t>500 00 140 2</t>
    </r>
  </si>
  <si>
    <r>
      <rPr>
        <sz val="7"/>
        <color rgb="FF000000"/>
        <rFont val="Arial"/>
        <family val="2"/>
        <charset val="204"/>
      </rPr>
      <t>500 00 160 2</t>
    </r>
  </si>
  <si>
    <r>
      <rPr>
        <sz val="7"/>
        <color rgb="FF000000"/>
        <rFont val="Arial"/>
        <family val="2"/>
        <charset val="204"/>
      </rPr>
      <t>500 00 200 2</t>
    </r>
  </si>
  <si>
    <r>
      <rPr>
        <sz val="7"/>
        <color rgb="FF000000"/>
        <rFont val="Arial"/>
        <family val="2"/>
        <charset val="204"/>
      </rPr>
      <t>500 00 225 2</t>
    </r>
  </si>
  <si>
    <r>
      <rPr>
        <sz val="7"/>
        <color rgb="FF000000"/>
        <rFont val="Arial"/>
        <family val="2"/>
        <charset val="204"/>
      </rPr>
      <t>500 00 250 4</t>
    </r>
  </si>
  <si>
    <r>
      <rPr>
        <sz val="7"/>
        <color rgb="FF000000"/>
        <rFont val="Arial"/>
        <family val="2"/>
        <charset val="204"/>
      </rPr>
      <t>500 00 280 4</t>
    </r>
  </si>
  <si>
    <r>
      <rPr>
        <sz val="7"/>
        <color rgb="FF000000"/>
        <rFont val="Arial"/>
        <family val="2"/>
        <charset val="204"/>
      </rPr>
      <t>500 00 315 4</t>
    </r>
  </si>
  <si>
    <r>
      <rPr>
        <sz val="7"/>
        <color rgb="FF000000"/>
        <rFont val="Arial"/>
        <family val="2"/>
        <charset val="204"/>
      </rPr>
      <t>500 00 355 4</t>
    </r>
  </si>
  <si>
    <r>
      <rPr>
        <sz val="7"/>
        <color rgb="FF000000"/>
        <rFont val="Arial"/>
        <family val="2"/>
        <charset val="204"/>
      </rPr>
      <t>500 00 400 4</t>
    </r>
  </si>
  <si>
    <r>
      <rPr>
        <sz val="7"/>
        <color rgb="FF000000"/>
        <rFont val="Arial"/>
        <family val="2"/>
        <charset val="204"/>
      </rPr>
      <t>0,01</t>
    </r>
  </si>
  <si>
    <r>
      <rPr>
        <sz val="7"/>
        <color rgb="FF000000"/>
        <rFont val="Arial"/>
        <family val="2"/>
        <charset val="204"/>
      </rPr>
      <t>0,02</t>
    </r>
  </si>
  <si>
    <r>
      <rPr>
        <sz val="7"/>
        <color rgb="FF000000"/>
        <rFont val="Arial"/>
        <family val="2"/>
        <charset val="204"/>
      </rPr>
      <t>0,05</t>
    </r>
  </si>
  <si>
    <r>
      <rPr>
        <sz val="7"/>
        <color rgb="FF000000"/>
        <rFont val="Arial"/>
        <family val="2"/>
        <charset val="204"/>
      </rPr>
      <t>0,09</t>
    </r>
  </si>
  <si>
    <r>
      <rPr>
        <sz val="7"/>
        <color rgb="FF000000"/>
        <rFont val="Arial"/>
        <family val="2"/>
        <charset val="204"/>
      </rPr>
      <t>0,18</t>
    </r>
  </si>
  <si>
    <r>
      <rPr>
        <sz val="7"/>
        <color rgb="FF000000"/>
        <rFont val="Arial"/>
        <family val="2"/>
        <charset val="204"/>
      </rPr>
      <t>0,31</t>
    </r>
  </si>
  <si>
    <r>
      <rPr>
        <sz val="7"/>
        <color rgb="FF000000"/>
        <rFont val="Arial"/>
        <family val="2"/>
        <charset val="204"/>
      </rPr>
      <t>0,42</t>
    </r>
  </si>
  <si>
    <r>
      <rPr>
        <sz val="7"/>
        <color rgb="FF000000"/>
        <rFont val="Arial"/>
        <family val="2"/>
        <charset val="204"/>
      </rPr>
      <t>0,75</t>
    </r>
  </si>
  <si>
    <t>art</t>
  </si>
  <si>
    <r>
      <rPr>
        <sz val="7"/>
        <color rgb="FF000000"/>
        <rFont val="Arial"/>
        <family val="2"/>
        <charset val="204"/>
      </rPr>
      <t>502 00 020 2</t>
    </r>
  </si>
  <si>
    <r>
      <rPr>
        <sz val="7"/>
        <color rgb="FF000000"/>
        <rFont val="Arial"/>
        <family val="2"/>
        <charset val="204"/>
      </rPr>
      <t>502 00 025 2</t>
    </r>
  </si>
  <si>
    <r>
      <rPr>
        <sz val="7"/>
        <color rgb="FF000000"/>
        <rFont val="Arial"/>
        <family val="2"/>
        <charset val="204"/>
      </rPr>
      <t>502 00 032 2</t>
    </r>
  </si>
  <si>
    <r>
      <rPr>
        <sz val="7"/>
        <color rgb="FF000000"/>
        <rFont val="Arial"/>
        <family val="2"/>
        <charset val="204"/>
      </rPr>
      <t>502 00 040 2</t>
    </r>
  </si>
  <si>
    <r>
      <rPr>
        <sz val="7"/>
        <color rgb="FF000000"/>
        <rFont val="Arial"/>
        <family val="2"/>
        <charset val="204"/>
      </rPr>
      <t>502 00 050 2</t>
    </r>
  </si>
  <si>
    <r>
      <rPr>
        <sz val="7"/>
        <color rgb="FF000000"/>
        <rFont val="Arial"/>
        <family val="2"/>
        <charset val="204"/>
      </rPr>
      <t>502 00 063 2</t>
    </r>
  </si>
  <si>
    <r>
      <rPr>
        <sz val="7"/>
        <color rgb="FF000000"/>
        <rFont val="Arial"/>
        <family val="2"/>
        <charset val="204"/>
      </rPr>
      <t>502 00 075 2</t>
    </r>
  </si>
  <si>
    <r>
      <rPr>
        <sz val="7"/>
        <color rgb="FF000000"/>
        <rFont val="Arial"/>
        <family val="2"/>
        <charset val="204"/>
      </rPr>
      <t>502 00 090 2</t>
    </r>
  </si>
  <si>
    <r>
      <rPr>
        <sz val="7"/>
        <color rgb="FF000000"/>
        <rFont val="Arial"/>
        <family val="2"/>
        <charset val="204"/>
      </rPr>
      <t>502 00 110 2</t>
    </r>
  </si>
  <si>
    <r>
      <rPr>
        <sz val="7"/>
        <color rgb="FF000000"/>
        <rFont val="Arial"/>
        <family val="2"/>
        <charset val="204"/>
      </rPr>
      <t>502 00 125 2</t>
    </r>
  </si>
  <si>
    <r>
      <rPr>
        <sz val="7"/>
        <color rgb="FF000000"/>
        <rFont val="Arial"/>
        <family val="2"/>
        <charset val="204"/>
      </rPr>
      <t>502 00 140 2</t>
    </r>
  </si>
  <si>
    <r>
      <rPr>
        <sz val="7"/>
        <color rgb="FF000000"/>
        <rFont val="Arial"/>
        <family val="2"/>
        <charset val="204"/>
      </rPr>
      <t>502 00 160 2</t>
    </r>
  </si>
  <si>
    <r>
      <rPr>
        <sz val="7"/>
        <color rgb="FF000000"/>
        <rFont val="Arial"/>
        <family val="2"/>
        <charset val="204"/>
      </rPr>
      <t>502 00 200 2</t>
    </r>
  </si>
  <si>
    <r>
      <rPr>
        <sz val="7"/>
        <color rgb="FF000000"/>
        <rFont val="Arial"/>
        <family val="2"/>
        <charset val="204"/>
      </rPr>
      <t>502 00 225 2</t>
    </r>
  </si>
  <si>
    <r>
      <rPr>
        <sz val="7"/>
        <color rgb="FF000000"/>
        <rFont val="Arial"/>
        <family val="2"/>
        <charset val="204"/>
      </rPr>
      <t>502 00 250 4</t>
    </r>
  </si>
  <si>
    <r>
      <rPr>
        <sz val="7"/>
        <color rgb="FF000000"/>
        <rFont val="Arial"/>
        <family val="2"/>
        <charset val="204"/>
      </rPr>
      <t>502 00 315 4</t>
    </r>
  </si>
  <si>
    <r>
      <rPr>
        <sz val="7"/>
        <color rgb="FF000000"/>
        <rFont val="Arial"/>
        <family val="2"/>
        <charset val="204"/>
      </rPr>
      <t>502 00 355 5</t>
    </r>
  </si>
  <si>
    <r>
      <rPr>
        <sz val="7"/>
        <color rgb="FF000000"/>
        <rFont val="Arial"/>
        <family val="2"/>
        <charset val="204"/>
      </rPr>
      <t>502 00 400 4</t>
    </r>
  </si>
  <si>
    <r>
      <rPr>
        <sz val="7"/>
        <color rgb="FF000000"/>
        <rFont val="Arial"/>
        <family val="2"/>
        <charset val="204"/>
      </rPr>
      <t>0,04</t>
    </r>
  </si>
  <si>
    <r>
      <rPr>
        <sz val="7"/>
        <color rgb="FF000000"/>
        <rFont val="Arial"/>
        <family val="2"/>
        <charset val="204"/>
      </rPr>
      <t>0,07</t>
    </r>
  </si>
  <si>
    <r>
      <rPr>
        <sz val="7"/>
        <color rgb="FF000000"/>
        <rFont val="Arial"/>
        <family val="2"/>
        <charset val="204"/>
      </rPr>
      <t>0,13</t>
    </r>
  </si>
  <si>
    <r>
      <rPr>
        <sz val="7"/>
        <color rgb="FF000000"/>
        <rFont val="Arial"/>
        <family val="2"/>
        <charset val="204"/>
      </rPr>
      <t>0,20</t>
    </r>
  </si>
  <si>
    <r>
      <rPr>
        <sz val="7"/>
        <color rgb="FF000000"/>
        <rFont val="Arial"/>
        <family val="2"/>
        <charset val="204"/>
      </rPr>
      <t>0,34</t>
    </r>
  </si>
  <si>
    <r>
      <rPr>
        <sz val="7"/>
        <color rgb="FF000000"/>
        <rFont val="Arial"/>
        <family val="2"/>
        <charset val="204"/>
      </rPr>
      <t>0,63</t>
    </r>
  </si>
  <si>
    <r>
      <rPr>
        <sz val="7"/>
        <color rgb="FF000000"/>
        <rFont val="Arial"/>
        <family val="2"/>
        <charset val="204"/>
      </rPr>
      <t>0,91</t>
    </r>
  </si>
  <si>
    <t>502 00 280 5</t>
  </si>
  <si>
    <t>500 00 020 2</t>
  </si>
  <si>
    <r>
      <rPr>
        <sz val="7"/>
        <color rgb="FF000000"/>
        <rFont val="Arial"/>
        <family val="2"/>
        <charset val="204"/>
      </rPr>
      <t>0,11</t>
    </r>
  </si>
  <si>
    <r>
      <rPr>
        <sz val="7"/>
        <color rgb="FF000000"/>
        <rFont val="Arial"/>
        <family val="2"/>
        <charset val="204"/>
      </rPr>
      <t>0,12</t>
    </r>
  </si>
  <si>
    <r>
      <rPr>
        <sz val="7"/>
        <color rgb="FF000000"/>
        <rFont val="Arial"/>
        <family val="2"/>
        <charset val="204"/>
      </rPr>
      <t>0,22</t>
    </r>
  </si>
  <si>
    <r>
      <rPr>
        <sz val="7"/>
        <color rgb="FF000000"/>
        <rFont val="Arial"/>
        <family val="2"/>
        <charset val="204"/>
      </rPr>
      <t>0,33</t>
    </r>
  </si>
  <si>
    <r>
      <rPr>
        <sz val="7"/>
        <color rgb="FF000000"/>
        <rFont val="Arial"/>
        <family val="2"/>
        <charset val="204"/>
      </rPr>
      <t>0,60</t>
    </r>
  </si>
  <si>
    <r>
      <rPr>
        <sz val="7"/>
        <color rgb="FF000000"/>
        <rFont val="Arial"/>
        <family val="2"/>
        <charset val="204"/>
      </rPr>
      <t>504 00 020 2</t>
    </r>
  </si>
  <si>
    <r>
      <rPr>
        <sz val="7"/>
        <color rgb="FF000000"/>
        <rFont val="Arial"/>
        <family val="2"/>
        <charset val="204"/>
      </rPr>
      <t>504 00 025 2</t>
    </r>
  </si>
  <si>
    <r>
      <rPr>
        <sz val="7"/>
        <color rgb="FF000000"/>
        <rFont val="Arial"/>
        <family val="2"/>
        <charset val="204"/>
      </rPr>
      <t>504 00 032 2</t>
    </r>
  </si>
  <si>
    <r>
      <rPr>
        <sz val="7"/>
        <color rgb="FF000000"/>
        <rFont val="Arial"/>
        <family val="2"/>
        <charset val="204"/>
      </rPr>
      <t>504 00 040 2</t>
    </r>
  </si>
  <si>
    <r>
      <rPr>
        <sz val="7"/>
        <color rgb="FF000000"/>
        <rFont val="Arial"/>
        <family val="2"/>
        <charset val="204"/>
      </rPr>
      <t>504 00 050 2</t>
    </r>
  </si>
  <si>
    <r>
      <rPr>
        <sz val="7"/>
        <color rgb="FF000000"/>
        <rFont val="Arial"/>
        <family val="2"/>
        <charset val="204"/>
      </rPr>
      <t>504 00 063 2</t>
    </r>
  </si>
  <si>
    <r>
      <rPr>
        <sz val="7"/>
        <color rgb="FF000000"/>
        <rFont val="Arial"/>
        <family val="2"/>
        <charset val="204"/>
      </rPr>
      <t>504 00 075 2</t>
    </r>
  </si>
  <si>
    <r>
      <rPr>
        <sz val="7"/>
        <color rgb="FF000000"/>
        <rFont val="Arial"/>
        <family val="2"/>
        <charset val="204"/>
      </rPr>
      <t>504 00 090 2</t>
    </r>
  </si>
  <si>
    <r>
      <rPr>
        <sz val="7"/>
        <color rgb="FF000000"/>
        <rFont val="Arial"/>
        <family val="2"/>
        <charset val="204"/>
      </rPr>
      <t>504 00 110 2</t>
    </r>
  </si>
  <si>
    <r>
      <rPr>
        <sz val="7"/>
        <color rgb="FF000000"/>
        <rFont val="Arial"/>
        <family val="2"/>
        <charset val="204"/>
      </rPr>
      <t>504 00 125 2</t>
    </r>
  </si>
  <si>
    <r>
      <rPr>
        <sz val="7"/>
        <color rgb="FF000000"/>
        <rFont val="Arial"/>
        <family val="2"/>
        <charset val="204"/>
      </rPr>
      <t>504 00 140 2</t>
    </r>
  </si>
  <si>
    <r>
      <rPr>
        <sz val="7"/>
        <color rgb="FF000000"/>
        <rFont val="Arial"/>
        <family val="2"/>
        <charset val="204"/>
      </rPr>
      <t>504 00 160 2</t>
    </r>
  </si>
  <si>
    <r>
      <rPr>
        <sz val="7"/>
        <color rgb="FF000000"/>
        <rFont val="Arial"/>
        <family val="2"/>
        <charset val="204"/>
      </rPr>
      <t>504 00 200 2</t>
    </r>
  </si>
  <si>
    <r>
      <rPr>
        <sz val="7"/>
        <color rgb="FF000000"/>
        <rFont val="Arial"/>
        <family val="2"/>
        <charset val="204"/>
      </rPr>
      <t>504 00 225 2</t>
    </r>
  </si>
  <si>
    <r>
      <rPr>
        <sz val="7"/>
        <color rgb="FF000000"/>
        <rFont val="Arial"/>
        <family val="2"/>
        <charset val="204"/>
      </rPr>
      <t>504 00 250 4</t>
    </r>
  </si>
  <si>
    <r>
      <rPr>
        <sz val="7"/>
        <color rgb="FF000000"/>
        <rFont val="Arial"/>
        <family val="2"/>
        <charset val="204"/>
      </rPr>
      <t>504 00 280 4</t>
    </r>
  </si>
  <si>
    <r>
      <rPr>
        <sz val="7"/>
        <color rgb="FF000000"/>
        <rFont val="Arial"/>
        <family val="2"/>
        <charset val="204"/>
      </rPr>
      <t>504 00 315 4</t>
    </r>
  </si>
  <si>
    <t>ext</t>
  </si>
  <si>
    <r>
      <rPr>
        <sz val="7"/>
        <color rgb="FF000000"/>
        <rFont val="Arial"/>
      </rPr>
      <t>508 00 032020 2</t>
    </r>
  </si>
  <si>
    <r>
      <rPr>
        <sz val="7"/>
        <color rgb="FF000000"/>
        <rFont val="Arial"/>
      </rPr>
      <t>508 00 032025 2</t>
    </r>
  </si>
  <si>
    <r>
      <rPr>
        <sz val="7"/>
        <color rgb="FF000000"/>
        <rFont val="Arial"/>
      </rPr>
      <t>508 00 032050 2</t>
    </r>
  </si>
  <si>
    <r>
      <rPr>
        <sz val="7"/>
        <color rgb="FF000000"/>
        <rFont val="Arial"/>
      </rPr>
      <t>508 00 040020 2</t>
    </r>
  </si>
  <si>
    <r>
      <rPr>
        <sz val="7"/>
        <color rgb="FF000000"/>
        <rFont val="Arial"/>
      </rPr>
      <t>508 00 040025 2</t>
    </r>
  </si>
  <si>
    <r>
      <rPr>
        <sz val="7"/>
        <color rgb="FF000000"/>
        <rFont val="Arial"/>
      </rPr>
      <t>508 00 040032 2</t>
    </r>
  </si>
  <si>
    <r>
      <rPr>
        <sz val="7"/>
        <color rgb="FF000000"/>
        <rFont val="Arial"/>
      </rPr>
      <t>0,08</t>
    </r>
  </si>
  <si>
    <r>
      <rPr>
        <sz val="7"/>
        <color rgb="FF000000"/>
        <rFont val="Arial"/>
      </rPr>
      <t>0,11</t>
    </r>
  </si>
  <si>
    <r>
      <rPr>
        <sz val="7"/>
        <color rgb="FF000000"/>
        <rFont val="Arial"/>
      </rPr>
      <t>0,13</t>
    </r>
  </si>
  <si>
    <r>
      <rPr>
        <sz val="7"/>
        <color rgb="FF000000"/>
        <rFont val="Arial"/>
      </rPr>
      <t>508 00 050020 2</t>
    </r>
  </si>
  <si>
    <r>
      <rPr>
        <sz val="7"/>
        <color rgb="FF000000"/>
        <rFont val="Arial"/>
      </rPr>
      <t>508 00 050025 2</t>
    </r>
  </si>
  <si>
    <r>
      <rPr>
        <sz val="7"/>
        <color rgb="FF000000"/>
        <rFont val="Arial"/>
      </rPr>
      <t>508 00 050032 2</t>
    </r>
  </si>
  <si>
    <r>
      <rPr>
        <sz val="7"/>
        <color rgb="FF000000"/>
        <rFont val="Arial"/>
      </rPr>
      <t>508 00 050040 2</t>
    </r>
  </si>
  <si>
    <r>
      <rPr>
        <sz val="7"/>
        <color rgb="FF000000"/>
        <rFont val="Arial"/>
      </rPr>
      <t>508 00 063025 2</t>
    </r>
  </si>
  <si>
    <r>
      <rPr>
        <sz val="7"/>
        <color rgb="FF000000"/>
        <rFont val="Arial"/>
      </rPr>
      <t>508 00 063032 2</t>
    </r>
  </si>
  <si>
    <r>
      <rPr>
        <sz val="7"/>
        <color rgb="FF000000"/>
        <rFont val="Arial"/>
      </rPr>
      <t>508 00 063040 2</t>
    </r>
  </si>
  <si>
    <r>
      <rPr>
        <sz val="7"/>
        <color rgb="FF000000"/>
        <rFont val="Arial"/>
      </rPr>
      <t>508 00 063050 2</t>
    </r>
  </si>
  <si>
    <r>
      <rPr>
        <sz val="7"/>
        <color rgb="FF000000"/>
        <rFont val="Arial"/>
      </rPr>
      <t>508 00 075032 2</t>
    </r>
  </si>
  <si>
    <r>
      <rPr>
        <sz val="7"/>
        <color rgb="FF000000"/>
        <rFont val="Arial"/>
      </rPr>
      <t>508 00 075063 2</t>
    </r>
  </si>
  <si>
    <r>
      <rPr>
        <sz val="7"/>
        <color rgb="FF000000"/>
        <rFont val="Arial"/>
      </rPr>
      <t>508 00 090063 2</t>
    </r>
  </si>
  <si>
    <r>
      <rPr>
        <sz val="7"/>
        <color rgb="FF000000"/>
        <rFont val="Arial"/>
      </rPr>
      <t>508 00 090075 2</t>
    </r>
  </si>
  <si>
    <r>
      <rPr>
        <sz val="7"/>
        <color rgb="FF000000"/>
        <rFont val="Arial"/>
      </rPr>
      <t>508 00 110050 2</t>
    </r>
  </si>
  <si>
    <r>
      <rPr>
        <sz val="7"/>
        <color rgb="FF000000"/>
        <rFont val="Arial"/>
      </rPr>
      <t>508 00 110063 2</t>
    </r>
  </si>
  <si>
    <r>
      <rPr>
        <sz val="7"/>
        <color rgb="FF000000"/>
        <rFont val="Arial"/>
      </rPr>
      <t>508 00 110075 2</t>
    </r>
  </si>
  <si>
    <r>
      <rPr>
        <sz val="7"/>
        <color rgb="FF000000"/>
        <rFont val="Arial"/>
      </rPr>
      <t>508 00 110090 2</t>
    </r>
  </si>
  <si>
    <r>
      <rPr>
        <sz val="7"/>
        <color rgb="FF000000"/>
        <rFont val="Arial"/>
      </rPr>
      <t>508 00 125063 2</t>
    </r>
  </si>
  <si>
    <r>
      <rPr>
        <sz val="7"/>
        <color rgb="FF000000"/>
        <rFont val="Arial"/>
      </rPr>
      <t>508 00 125090 2</t>
    </r>
  </si>
  <si>
    <r>
      <rPr>
        <sz val="7"/>
        <color rgb="FF000000"/>
        <rFont val="Arial"/>
      </rPr>
      <t>508 00 125110 2</t>
    </r>
  </si>
  <si>
    <r>
      <rPr>
        <sz val="7"/>
        <color rgb="FF000000"/>
        <rFont val="Arial"/>
      </rPr>
      <t>508 00 140110 2</t>
    </r>
  </si>
  <si>
    <r>
      <rPr>
        <sz val="7"/>
        <color rgb="FF000000"/>
        <rFont val="Arial"/>
      </rPr>
      <t>508 00 160110 2</t>
    </r>
  </si>
  <si>
    <r>
      <rPr>
        <sz val="7"/>
        <color rgb="FF000000"/>
        <rFont val="Arial"/>
      </rPr>
      <t>508 00 200110 2</t>
    </r>
  </si>
  <si>
    <r>
      <rPr>
        <sz val="7"/>
        <color rgb="FF000000"/>
        <rFont val="Arial"/>
      </rPr>
      <t>508 00 200160 2</t>
    </r>
  </si>
  <si>
    <r>
      <rPr>
        <sz val="7"/>
        <color rgb="FF000000"/>
        <rFont val="Arial"/>
      </rPr>
      <t>508 00 225110 2</t>
    </r>
  </si>
  <si>
    <r>
      <rPr>
        <sz val="7"/>
        <color rgb="FF000000"/>
        <rFont val="Arial"/>
      </rPr>
      <t>508 00 225160 2</t>
    </r>
  </si>
  <si>
    <r>
      <rPr>
        <sz val="7"/>
        <color rgb="FF000000"/>
        <rFont val="Arial"/>
      </rPr>
      <t>508 00 250110 2</t>
    </r>
  </si>
  <si>
    <r>
      <rPr>
        <sz val="7"/>
        <color rgb="FF000000"/>
        <rFont val="Arial"/>
      </rPr>
      <t>508 00 250160 2</t>
    </r>
  </si>
  <si>
    <r>
      <rPr>
        <sz val="7"/>
        <color rgb="FF000000"/>
        <rFont val="Arial"/>
      </rPr>
      <t>508 00 250200 2</t>
    </r>
  </si>
  <si>
    <r>
      <rPr>
        <sz val="7"/>
        <color rgb="FF000000"/>
        <rFont val="Arial"/>
      </rPr>
      <t>508 00 280110 5</t>
    </r>
  </si>
  <si>
    <r>
      <rPr>
        <sz val="7"/>
        <color rgb="FF000000"/>
        <rFont val="Arial"/>
      </rPr>
      <t>508 00 280160 5</t>
    </r>
  </si>
  <si>
    <r>
      <rPr>
        <sz val="7"/>
        <color rgb="FF000000"/>
        <rFont val="Arial"/>
      </rPr>
      <t>508 00 280225 5</t>
    </r>
  </si>
  <si>
    <r>
      <rPr>
        <sz val="7"/>
        <color rgb="FF000000"/>
        <rFont val="Arial"/>
      </rPr>
      <t>508 00 315110 5</t>
    </r>
  </si>
  <si>
    <r>
      <rPr>
        <sz val="7"/>
        <color rgb="FF000000"/>
        <rFont val="Arial"/>
      </rPr>
      <t>508 00 315160 2</t>
    </r>
  </si>
  <si>
    <r>
      <rPr>
        <sz val="7"/>
        <color rgb="FF000000"/>
        <rFont val="Arial"/>
      </rPr>
      <t>508 00 315225 2</t>
    </r>
  </si>
  <si>
    <r>
      <rPr>
        <sz val="7"/>
        <color rgb="FF000000"/>
        <rFont val="Arial"/>
      </rPr>
      <t>0,14</t>
    </r>
  </si>
  <si>
    <r>
      <rPr>
        <sz val="7"/>
        <color rgb="FF000000"/>
        <rFont val="Arial"/>
      </rPr>
      <t>0,24</t>
    </r>
  </si>
  <si>
    <r>
      <rPr>
        <sz val="7"/>
        <color rgb="FF000000"/>
        <rFont val="Arial"/>
      </rPr>
      <t>0,25</t>
    </r>
  </si>
  <si>
    <r>
      <rPr>
        <sz val="7"/>
        <color rgb="FF000000"/>
        <rFont val="Arial"/>
      </rPr>
      <t>0,29</t>
    </r>
  </si>
  <si>
    <r>
      <rPr>
        <sz val="7"/>
        <color rgb="FF000000"/>
        <rFont val="Arial"/>
      </rPr>
      <t>0,45</t>
    </r>
  </si>
  <si>
    <r>
      <rPr>
        <sz val="7"/>
        <color rgb="FF000000"/>
        <rFont val="Arial"/>
      </rPr>
      <t>0,64</t>
    </r>
  </si>
  <si>
    <r>
      <rPr>
        <sz val="7"/>
        <color rgb="FF000000"/>
        <rFont val="Arial"/>
      </rPr>
      <t>0,66</t>
    </r>
  </si>
  <si>
    <r>
      <rPr>
        <sz val="7"/>
        <color rgb="FF000000"/>
        <rFont val="Arial"/>
      </rPr>
      <t>0,75</t>
    </r>
  </si>
  <si>
    <r>
      <rPr>
        <sz val="7"/>
        <color rgb="FF000000"/>
        <rFont val="Arial"/>
      </rPr>
      <t>0,93</t>
    </r>
  </si>
  <si>
    <r>
      <rPr>
        <sz val="7"/>
        <color rgb="FF000000"/>
        <rFont val="Arial"/>
      </rPr>
      <t>0,98</t>
    </r>
  </si>
  <si>
    <t>504 00 355 4</t>
  </si>
  <si>
    <t>504 00 400 4</t>
  </si>
  <si>
    <t>13.5</t>
  </si>
  <si>
    <t>14.1</t>
  </si>
  <si>
    <t>22.3</t>
  </si>
  <si>
    <t>19.9</t>
  </si>
  <si>
    <t>30.1</t>
  </si>
  <si>
    <t>46.5</t>
  </si>
  <si>
    <t>508 00 315160 2</t>
  </si>
  <si>
    <t>508 00 315225 2</t>
  </si>
  <si>
    <t>508 00 315250 2</t>
  </si>
  <si>
    <t>508 00 315280 2</t>
  </si>
  <si>
    <t>508 00 355280 5</t>
  </si>
  <si>
    <t>508 00 355315 5</t>
  </si>
  <si>
    <t>508 00 400280 5</t>
  </si>
  <si>
    <t>508 00 400315 5</t>
  </si>
  <si>
    <t>508 00 400355 5</t>
  </si>
  <si>
    <r>
      <rPr>
        <sz val="6"/>
        <color rgb="FF211E1F"/>
        <rFont val="Calibri"/>
      </rPr>
      <t>0.008</t>
    </r>
  </si>
  <si>
    <r>
      <rPr>
        <sz val="6"/>
        <color rgb="FF211E1F"/>
        <rFont val="Calibri"/>
      </rPr>
      <t>0.01</t>
    </r>
  </si>
  <si>
    <r>
      <rPr>
        <sz val="6"/>
        <color rgb="FF211E1F"/>
        <rFont val="Calibri"/>
      </rPr>
      <t>0.02</t>
    </r>
  </si>
  <si>
    <r>
      <rPr>
        <sz val="6"/>
        <color rgb="FF211E1F"/>
        <rFont val="Calibri"/>
      </rPr>
      <t>0.04</t>
    </r>
  </si>
  <si>
    <r>
      <rPr>
        <sz val="6"/>
        <color rgb="FF211E1F"/>
        <rFont val="Calibri"/>
      </rPr>
      <t>0.05</t>
    </r>
  </si>
  <si>
    <r>
      <rPr>
        <sz val="6"/>
        <color rgb="FF211E1F"/>
        <rFont val="Calibri"/>
      </rPr>
      <t>0.08</t>
    </r>
  </si>
  <si>
    <r>
      <rPr>
        <sz val="6"/>
        <color rgb="FF211E1F"/>
        <rFont val="Calibri"/>
      </rPr>
      <t>0.17</t>
    </r>
  </si>
  <si>
    <r>
      <rPr>
        <sz val="6"/>
        <color rgb="FF211E1F"/>
        <rFont val="Calibri"/>
      </rPr>
      <t>0.34</t>
    </r>
  </si>
  <si>
    <r>
      <rPr>
        <sz val="6"/>
        <color rgb="FF211E1F"/>
        <rFont val="Calibri"/>
      </rPr>
      <t>0.46</t>
    </r>
  </si>
  <si>
    <r>
      <rPr>
        <sz val="6"/>
        <color rgb="FF211E1F"/>
        <rFont val="Calibri"/>
      </rPr>
      <t>0.82</t>
    </r>
  </si>
  <si>
    <r>
      <rPr>
        <sz val="6"/>
        <color rgb="FF211E1F"/>
        <rFont val="Calibri"/>
      </rPr>
      <t>1.16</t>
    </r>
  </si>
  <si>
    <r>
      <rPr>
        <sz val="6"/>
        <color rgb="FF211E1F"/>
        <rFont val="Calibri"/>
      </rPr>
      <t>1.46</t>
    </r>
  </si>
  <si>
    <r>
      <rPr>
        <sz val="6"/>
        <color rgb="FF211E1F"/>
        <rFont val="Calibri"/>
      </rPr>
      <t>2.31</t>
    </r>
  </si>
  <si>
    <r>
      <rPr>
        <sz val="6"/>
        <color rgb="FF211E1F"/>
        <rFont val="Calibri"/>
      </rPr>
      <t>2.87</t>
    </r>
  </si>
  <si>
    <r>
      <rPr>
        <sz val="6"/>
        <color rgb="FF211E1F"/>
        <rFont val="Calibri"/>
      </rPr>
      <t>4.81</t>
    </r>
  </si>
  <si>
    <r>
      <rPr>
        <sz val="6"/>
        <color rgb="FF211E1F"/>
        <rFont val="Calibri"/>
      </rPr>
      <t>5.87</t>
    </r>
  </si>
  <si>
    <r>
      <rPr>
        <sz val="6"/>
        <color rgb="FF211E1F"/>
        <rFont val="Calibri"/>
      </rPr>
      <t>9.30</t>
    </r>
  </si>
  <si>
    <r>
      <rPr>
        <sz val="6"/>
        <color rgb="FF211E1F"/>
        <rFont val="Calibri"/>
      </rPr>
      <t>16.2</t>
    </r>
  </si>
  <si>
    <r>
      <rPr>
        <b/>
        <sz val="6"/>
        <color rgb="FF211E1F"/>
        <rFont val="Calibri"/>
      </rPr>
      <t>516 00 020 2</t>
    </r>
  </si>
  <si>
    <r>
      <rPr>
        <b/>
        <sz val="6"/>
        <color rgb="FF211E1F"/>
        <rFont val="Calibri"/>
      </rPr>
      <t>516 00 025 2</t>
    </r>
  </si>
  <si>
    <r>
      <rPr>
        <b/>
        <sz val="6"/>
        <color rgb="FF211E1F"/>
        <rFont val="Calibri"/>
      </rPr>
      <t>516 00 032 2</t>
    </r>
  </si>
  <si>
    <r>
      <rPr>
        <b/>
        <sz val="6"/>
        <color rgb="FF211E1F"/>
        <rFont val="Calibri"/>
      </rPr>
      <t>516 00 040 2</t>
    </r>
  </si>
  <si>
    <r>
      <rPr>
        <b/>
        <sz val="6"/>
        <color rgb="FF211E1F"/>
        <rFont val="Calibri"/>
      </rPr>
      <t>516 00 050 2</t>
    </r>
  </si>
  <si>
    <r>
      <rPr>
        <b/>
        <sz val="6"/>
        <color rgb="FF211E1F"/>
        <rFont val="Calibri"/>
      </rPr>
      <t>516 00 063 2</t>
    </r>
  </si>
  <si>
    <r>
      <rPr>
        <b/>
        <sz val="6"/>
        <color rgb="FF211E1F"/>
        <rFont val="Calibri"/>
      </rPr>
      <t>516 00 075 2</t>
    </r>
  </si>
  <si>
    <r>
      <rPr>
        <b/>
        <sz val="6"/>
        <color rgb="FF211E1F"/>
        <rFont val="Calibri"/>
      </rPr>
      <t>516 00 090 2</t>
    </r>
  </si>
  <si>
    <r>
      <rPr>
        <b/>
        <sz val="6"/>
        <color rgb="FF211E1F"/>
        <rFont val="Calibri"/>
      </rPr>
      <t>516 00 110 2</t>
    </r>
  </si>
  <si>
    <r>
      <rPr>
        <b/>
        <sz val="6"/>
        <color rgb="FF211E1F"/>
        <rFont val="Calibri"/>
      </rPr>
      <t>516 00 125 2</t>
    </r>
  </si>
  <si>
    <r>
      <rPr>
        <b/>
        <sz val="6"/>
        <color rgb="FF211E1F"/>
        <rFont val="Calibri"/>
      </rPr>
      <t>516 00 140 2</t>
    </r>
  </si>
  <si>
    <r>
      <rPr>
        <b/>
        <sz val="6"/>
        <color rgb="FF211E1F"/>
        <rFont val="Calibri"/>
      </rPr>
      <t>516 00 160 2</t>
    </r>
  </si>
  <si>
    <r>
      <rPr>
        <b/>
        <sz val="6"/>
        <color rgb="FF211E1F"/>
        <rFont val="Calibri"/>
      </rPr>
      <t>516 00 200 2</t>
    </r>
  </si>
  <si>
    <r>
      <rPr>
        <b/>
        <sz val="6"/>
        <color rgb="FF211E1F"/>
        <rFont val="Calibri"/>
      </rPr>
      <t>516 00 225 2</t>
    </r>
  </si>
  <si>
    <r>
      <rPr>
        <b/>
        <sz val="6"/>
        <color rgb="FF211E1F"/>
        <rFont val="Calibri"/>
      </rPr>
      <t>516 00 250 2</t>
    </r>
  </si>
  <si>
    <r>
      <rPr>
        <b/>
        <sz val="6"/>
        <color rgb="FF211E1F"/>
        <rFont val="Calibri"/>
      </rPr>
      <t>516 00 280 2</t>
    </r>
  </si>
  <si>
    <r>
      <rPr>
        <b/>
        <sz val="6"/>
        <color rgb="FF211E1F"/>
        <rFont val="Calibri"/>
      </rPr>
      <t>516 00 315 2</t>
    </r>
  </si>
  <si>
    <r>
      <rPr>
        <b/>
        <sz val="6"/>
        <color rgb="FF211E1F"/>
        <rFont val="Calibri"/>
      </rPr>
      <t>516 00 355 4</t>
    </r>
  </si>
  <si>
    <r>
      <rPr>
        <b/>
        <sz val="6"/>
        <color rgb="FF211E1F"/>
        <rFont val="Calibri"/>
      </rPr>
      <t>516 00 400 4</t>
    </r>
  </si>
  <si>
    <r>
      <rPr>
        <sz val="6"/>
        <color rgb="FF211E1F"/>
        <rFont val="Calibri"/>
      </rPr>
      <t>18.5</t>
    </r>
  </si>
  <si>
    <r>
      <rPr>
        <sz val="6"/>
        <color rgb="FF211E1F"/>
        <rFont val="Calibri"/>
      </rPr>
      <t>43.5</t>
    </r>
  </si>
  <si>
    <r>
      <rPr>
        <sz val="6"/>
        <color rgb="FF211E1F"/>
        <rFont val="Calibri"/>
      </rPr>
      <t>68.5</t>
    </r>
  </si>
  <si>
    <r>
      <rPr>
        <sz val="6"/>
        <color rgb="FF211E1F"/>
        <rFont val="Calibri"/>
      </rPr>
      <t>118.5</t>
    </r>
  </si>
  <si>
    <r>
      <rPr>
        <sz val="6"/>
        <color rgb="FF211E1F"/>
        <rFont val="Calibri"/>
      </rPr>
      <t>163.5</t>
    </r>
  </si>
  <si>
    <r>
      <rPr>
        <sz val="6"/>
        <color rgb="FF211E1F"/>
        <rFont val="Calibri"/>
      </rPr>
      <t>183.5</t>
    </r>
  </si>
  <si>
    <t>t</t>
  </si>
  <si>
    <r>
      <rPr>
        <sz val="6"/>
        <color rgb="FF211E1F"/>
        <rFont val="Calibri"/>
      </rPr>
      <t>5.5</t>
    </r>
  </si>
  <si>
    <r>
      <rPr>
        <sz val="6"/>
        <color rgb="FF211E1F"/>
        <rFont val="Calibri"/>
      </rPr>
      <t>8.5</t>
    </r>
  </si>
  <si>
    <r>
      <rPr>
        <sz val="6"/>
        <color rgb="FF211E1F"/>
        <rFont val="Calibri"/>
        <family val="2"/>
        <charset val="204"/>
      </rPr>
      <t>0.40</t>
    </r>
  </si>
  <si>
    <r>
      <rPr>
        <sz val="6"/>
        <color rgb="FF211E1F"/>
        <rFont val="Calibri"/>
        <family val="2"/>
        <charset val="204"/>
      </rPr>
      <t>43.5</t>
    </r>
  </si>
  <si>
    <r>
      <rPr>
        <b/>
        <sz val="6"/>
        <color rgb="FF211E1F"/>
        <rFont val="Calibri"/>
        <family val="2"/>
        <charset val="204"/>
      </rPr>
      <t>512 00 016 2</t>
    </r>
  </si>
  <si>
    <r>
      <rPr>
        <b/>
        <sz val="6"/>
        <color rgb="FF211E1F"/>
        <rFont val="Calibri"/>
        <family val="2"/>
        <charset val="204"/>
      </rPr>
      <t>512 00 020 2</t>
    </r>
  </si>
  <si>
    <r>
      <rPr>
        <b/>
        <sz val="6"/>
        <color rgb="FF211E1F"/>
        <rFont val="Calibri"/>
        <family val="2"/>
        <charset val="204"/>
      </rPr>
      <t>512 00 025 2</t>
    </r>
  </si>
  <si>
    <r>
      <rPr>
        <b/>
        <sz val="6"/>
        <color rgb="FF211E1F"/>
        <rFont val="Calibri"/>
        <family val="2"/>
        <charset val="204"/>
      </rPr>
      <t>512 00 032 2</t>
    </r>
  </si>
  <si>
    <r>
      <rPr>
        <b/>
        <sz val="6"/>
        <color rgb="FF211E1F"/>
        <rFont val="Calibri"/>
        <family val="2"/>
        <charset val="204"/>
      </rPr>
      <t>512 00 040 2</t>
    </r>
  </si>
  <si>
    <r>
      <rPr>
        <b/>
        <sz val="6"/>
        <color rgb="FF211E1F"/>
        <rFont val="Calibri"/>
        <family val="2"/>
        <charset val="204"/>
      </rPr>
      <t>512 00 050 2</t>
    </r>
  </si>
  <si>
    <r>
      <rPr>
        <sz val="6"/>
        <color rgb="FF211E1F"/>
        <rFont val="Calibri"/>
        <family val="2"/>
        <charset val="204"/>
      </rPr>
      <t>0.012</t>
    </r>
  </si>
  <si>
    <r>
      <rPr>
        <sz val="6"/>
        <color rgb="FF211E1F"/>
        <rFont val="Calibri"/>
        <family val="2"/>
        <charset val="204"/>
      </rPr>
      <t>0.009</t>
    </r>
  </si>
  <si>
    <r>
      <rPr>
        <sz val="6"/>
        <color rgb="FF211E1F"/>
        <rFont val="Calibri"/>
        <family val="2"/>
        <charset val="204"/>
      </rPr>
      <t>0.01</t>
    </r>
  </si>
  <si>
    <r>
      <rPr>
        <sz val="6"/>
        <color rgb="FF211E1F"/>
        <rFont val="Calibri"/>
        <family val="2"/>
        <charset val="204"/>
      </rPr>
      <t>0.02</t>
    </r>
  </si>
  <si>
    <r>
      <rPr>
        <sz val="6"/>
        <color rgb="FF211E1F"/>
        <rFont val="Calibri"/>
        <family val="2"/>
        <charset val="204"/>
      </rPr>
      <t>0.04</t>
    </r>
  </si>
  <si>
    <r>
      <rPr>
        <sz val="6"/>
        <color rgb="FF211E1F"/>
        <rFont val="Calibri"/>
        <family val="2"/>
        <charset val="204"/>
      </rPr>
      <t>0.06</t>
    </r>
  </si>
  <si>
    <t>Dnar</t>
  </si>
  <si>
    <t>Dvn</t>
  </si>
  <si>
    <r>
      <rPr>
        <sz val="6"/>
        <color rgb="FF211E1F"/>
        <rFont val="Calibri"/>
        <family val="2"/>
        <charset val="204"/>
      </rPr>
      <t>34.0</t>
    </r>
  </si>
  <si>
    <r>
      <rPr>
        <sz val="6"/>
        <color rgb="FF211E1F"/>
        <rFont val="Calibri"/>
        <family val="2"/>
        <charset val="204"/>
      </rPr>
      <t>41.0</t>
    </r>
  </si>
  <si>
    <r>
      <rPr>
        <sz val="6"/>
        <color rgb="FF211E1F"/>
        <rFont val="Calibri"/>
        <family val="2"/>
        <charset val="204"/>
      </rPr>
      <t>50.0</t>
    </r>
  </si>
  <si>
    <r>
      <rPr>
        <sz val="6"/>
        <color rgb="FF211E1F"/>
        <rFont val="Calibri"/>
        <family val="2"/>
        <charset val="204"/>
      </rPr>
      <t>61.0</t>
    </r>
  </si>
  <si>
    <r>
      <rPr>
        <sz val="6"/>
        <color rgb="FF211E1F"/>
        <rFont val="Calibri"/>
        <family val="2"/>
        <charset val="204"/>
      </rPr>
      <t>73.0</t>
    </r>
  </si>
  <si>
    <t>Db</t>
  </si>
  <si>
    <r>
      <rPr>
        <sz val="6"/>
        <color rgb="FF211E1F"/>
        <rFont val="Calibri"/>
        <family val="2"/>
        <charset val="204"/>
      </rPr>
      <t>14.0</t>
    </r>
  </si>
  <si>
    <r>
      <rPr>
        <sz val="6"/>
        <color rgb="FF211E1F"/>
        <rFont val="Calibri"/>
        <family val="2"/>
        <charset val="204"/>
      </rPr>
      <t>16.0</t>
    </r>
  </si>
  <si>
    <r>
      <rPr>
        <sz val="6"/>
        <color rgb="FF211E1F"/>
        <rFont val="Calibri"/>
        <family val="2"/>
        <charset val="204"/>
      </rPr>
      <t>19.0</t>
    </r>
  </si>
  <si>
    <r>
      <rPr>
        <sz val="6"/>
        <color rgb="FF211E1F"/>
        <rFont val="Calibri"/>
        <family val="2"/>
        <charset val="204"/>
      </rPr>
      <t>22.0</t>
    </r>
  </si>
  <si>
    <r>
      <rPr>
        <sz val="6"/>
        <color rgb="FF211E1F"/>
        <rFont val="Calibri"/>
        <family val="2"/>
        <charset val="204"/>
      </rPr>
      <t>26.0</t>
    </r>
  </si>
  <si>
    <r>
      <rPr>
        <sz val="6"/>
        <color rgb="FF211E1F"/>
        <rFont val="Calibri"/>
        <family val="2"/>
        <charset val="204"/>
      </rPr>
      <t>31.0</t>
    </r>
  </si>
  <si>
    <r>
      <rPr>
        <sz val="6"/>
        <color rgb="FF211E1F"/>
        <rFont val="Calibri"/>
        <family val="2"/>
        <charset val="204"/>
      </rPr>
      <t>0.09</t>
    </r>
  </si>
  <si>
    <r>
      <rPr>
        <sz val="6"/>
        <color rgb="FF211E1F"/>
        <rFont val="Calibri"/>
        <family val="2"/>
        <charset val="204"/>
      </rPr>
      <t>0.16</t>
    </r>
  </si>
  <si>
    <r>
      <rPr>
        <sz val="6"/>
        <color rgb="FF211E1F"/>
        <rFont val="Calibri"/>
        <family val="2"/>
        <charset val="204"/>
      </rPr>
      <t>0.23</t>
    </r>
  </si>
  <si>
    <r>
      <rPr>
        <sz val="6"/>
        <color rgb="FF211E1F"/>
        <rFont val="Calibri"/>
        <family val="2"/>
        <charset val="204"/>
      </rPr>
      <t>0.41</t>
    </r>
  </si>
  <si>
    <r>
      <rPr>
        <sz val="6"/>
        <color rgb="FF211E1F"/>
        <rFont val="Calibri"/>
        <family val="2"/>
        <charset val="204"/>
      </rPr>
      <t>0.60</t>
    </r>
  </si>
  <si>
    <r>
      <rPr>
        <sz val="6"/>
        <color rgb="FF211E1F"/>
        <rFont val="Calibri"/>
        <family val="2"/>
        <charset val="204"/>
      </rPr>
      <t>0.78</t>
    </r>
  </si>
  <si>
    <r>
      <rPr>
        <sz val="6"/>
        <color rgb="FF211E1F"/>
        <rFont val="Calibri"/>
        <family val="2"/>
        <charset val="204"/>
      </rPr>
      <t>1.10</t>
    </r>
  </si>
  <si>
    <r>
      <rPr>
        <sz val="6"/>
        <color rgb="FF211E1F"/>
        <rFont val="Calibri"/>
        <family val="2"/>
        <charset val="204"/>
      </rPr>
      <t>1.45</t>
    </r>
  </si>
  <si>
    <r>
      <rPr>
        <sz val="6"/>
        <color rgb="FF211E1F"/>
        <rFont val="Calibri"/>
        <family val="2"/>
        <charset val="204"/>
      </rPr>
      <t>2.06</t>
    </r>
  </si>
  <si>
    <r>
      <rPr>
        <sz val="6"/>
        <color rgb="FF211E1F"/>
        <rFont val="Calibri"/>
        <family val="2"/>
        <charset val="204"/>
      </rPr>
      <t>2.75</t>
    </r>
  </si>
  <si>
    <r>
      <rPr>
        <sz val="6"/>
        <color rgb="FF211E1F"/>
        <rFont val="Calibri"/>
        <family val="2"/>
        <charset val="204"/>
      </rPr>
      <t>3.05</t>
    </r>
  </si>
  <si>
    <r>
      <rPr>
        <sz val="6"/>
        <color rgb="FF211E1F"/>
        <rFont val="Calibri"/>
        <family val="2"/>
        <charset val="204"/>
      </rPr>
      <t>3.95</t>
    </r>
  </si>
  <si>
    <r>
      <rPr>
        <sz val="6"/>
        <color rgb="FF211E1F"/>
        <rFont val="Calibri"/>
        <family val="2"/>
        <charset val="204"/>
      </rPr>
      <t>5.7</t>
    </r>
  </si>
  <si>
    <r>
      <rPr>
        <sz val="6"/>
        <color rgb="FF211E1F"/>
        <rFont val="Calibri"/>
        <family val="2"/>
        <charset val="204"/>
      </rPr>
      <t>7.05</t>
    </r>
  </si>
  <si>
    <r>
      <rPr>
        <b/>
        <sz val="6"/>
        <color rgb="FF211E1F"/>
        <rFont val="Calibri"/>
        <family val="2"/>
        <charset val="204"/>
      </rPr>
      <t>512 00 063 2</t>
    </r>
  </si>
  <si>
    <r>
      <rPr>
        <b/>
        <sz val="6"/>
        <color rgb="FF211E1F"/>
        <rFont val="Calibri"/>
        <family val="2"/>
        <charset val="204"/>
      </rPr>
      <t>512 00 075 2</t>
    </r>
  </si>
  <si>
    <r>
      <rPr>
        <b/>
        <sz val="6"/>
        <color rgb="FF211E1F"/>
        <rFont val="Calibri"/>
        <family val="2"/>
        <charset val="204"/>
      </rPr>
      <t>512 00 090 2</t>
    </r>
  </si>
  <si>
    <r>
      <rPr>
        <b/>
        <sz val="6"/>
        <color rgb="FF211E1F"/>
        <rFont val="Calibri"/>
        <family val="2"/>
        <charset val="204"/>
      </rPr>
      <t>512 00 110 2</t>
    </r>
  </si>
  <si>
    <r>
      <rPr>
        <b/>
        <sz val="6"/>
        <color rgb="FF211E1F"/>
        <rFont val="Calibri"/>
        <family val="2"/>
        <charset val="204"/>
      </rPr>
      <t>512 00 125 2</t>
    </r>
  </si>
  <si>
    <r>
      <rPr>
        <b/>
        <sz val="6"/>
        <color rgb="FF211E1F"/>
        <rFont val="Calibri"/>
        <family val="2"/>
        <charset val="204"/>
      </rPr>
      <t>512 00 140 2</t>
    </r>
  </si>
  <si>
    <r>
      <rPr>
        <b/>
        <sz val="6"/>
        <color rgb="FF211E1F"/>
        <rFont val="Calibri"/>
        <family val="2"/>
        <charset val="204"/>
      </rPr>
      <t>512 00 160 2</t>
    </r>
  </si>
  <si>
    <r>
      <rPr>
        <b/>
        <sz val="6"/>
        <color rgb="FF211E1F"/>
        <rFont val="Calibri"/>
        <family val="2"/>
        <charset val="204"/>
      </rPr>
      <t>512 00 200 2</t>
    </r>
  </si>
  <si>
    <r>
      <rPr>
        <b/>
        <sz val="6"/>
        <color rgb="FF211E1F"/>
        <rFont val="Calibri"/>
        <family val="2"/>
        <charset val="204"/>
      </rPr>
      <t>512 00 225 2</t>
    </r>
  </si>
  <si>
    <r>
      <rPr>
        <b/>
        <sz val="6"/>
        <color rgb="FF211E1F"/>
        <rFont val="Calibri"/>
        <family val="2"/>
        <charset val="204"/>
      </rPr>
      <t>512 00 250 2</t>
    </r>
  </si>
  <si>
    <r>
      <rPr>
        <b/>
        <sz val="6"/>
        <color rgb="FF211E1F"/>
        <rFont val="Calibri"/>
        <family val="2"/>
        <charset val="204"/>
      </rPr>
      <t>512 00 280 2</t>
    </r>
  </si>
  <si>
    <r>
      <rPr>
        <b/>
        <sz val="6"/>
        <color rgb="FF211E1F"/>
        <rFont val="Calibri"/>
        <family val="2"/>
        <charset val="204"/>
      </rPr>
      <t>512 00 315 2</t>
    </r>
  </si>
  <si>
    <r>
      <rPr>
        <b/>
        <sz val="6"/>
        <color rgb="FF211E1F"/>
        <rFont val="Calibri"/>
        <family val="2"/>
        <charset val="204"/>
      </rPr>
      <t>512 00 355 5</t>
    </r>
  </si>
  <si>
    <r>
      <rPr>
        <b/>
        <sz val="6"/>
        <color rgb="FF211E1F"/>
        <rFont val="Calibri"/>
        <family val="2"/>
        <charset val="204"/>
      </rPr>
      <t>512 00 400 4</t>
    </r>
  </si>
  <si>
    <r>
      <rPr>
        <sz val="6"/>
        <color rgb="FF211E1F"/>
        <rFont val="Calibri"/>
        <family val="2"/>
        <charset val="204"/>
      </rPr>
      <t>38.0</t>
    </r>
  </si>
  <si>
    <r>
      <rPr>
        <sz val="6"/>
        <color rgb="FF211E1F"/>
        <rFont val="Calibri"/>
        <family val="2"/>
        <charset val="204"/>
      </rPr>
      <t>51.0</t>
    </r>
  </si>
  <si>
    <r>
      <rPr>
        <sz val="6"/>
        <color rgb="FF211E1F"/>
        <rFont val="Calibri"/>
        <family val="2"/>
        <charset val="204"/>
      </rPr>
      <t>69.0</t>
    </r>
  </si>
  <si>
    <r>
      <rPr>
        <sz val="6"/>
        <color rgb="FF211E1F"/>
        <rFont val="Calibri"/>
        <family val="2"/>
        <charset val="204"/>
      </rPr>
      <t>76.0</t>
    </r>
  </si>
  <si>
    <r>
      <rPr>
        <sz val="6"/>
        <color rgb="FF211E1F"/>
        <rFont val="Calibri"/>
        <family val="2"/>
        <charset val="204"/>
      </rPr>
      <t>86.0</t>
    </r>
  </si>
  <si>
    <r>
      <rPr>
        <sz val="6"/>
        <color rgb="FF211E1F"/>
        <rFont val="Calibri"/>
        <family val="2"/>
        <charset val="204"/>
      </rPr>
      <t>106.0</t>
    </r>
  </si>
  <si>
    <r>
      <rPr>
        <sz val="6"/>
        <color rgb="FF211E1F"/>
        <rFont val="Calibri"/>
        <family val="2"/>
        <charset val="204"/>
      </rPr>
      <t>120.0</t>
    </r>
  </si>
  <si>
    <r>
      <rPr>
        <sz val="6"/>
        <color rgb="FF211E1F"/>
        <rFont val="Calibri"/>
        <family val="2"/>
        <charset val="204"/>
      </rPr>
      <t>131.0</t>
    </r>
  </si>
  <si>
    <r>
      <rPr>
        <sz val="6"/>
        <color rgb="FF211E1F"/>
        <rFont val="Calibri"/>
        <family val="2"/>
        <charset val="204"/>
      </rPr>
      <t>146.0</t>
    </r>
  </si>
  <si>
    <r>
      <rPr>
        <sz val="6"/>
        <color rgb="FF211E1F"/>
        <rFont val="Calibri"/>
        <family val="2"/>
        <charset val="204"/>
      </rPr>
      <t>164.0</t>
    </r>
  </si>
  <si>
    <r>
      <rPr>
        <sz val="6"/>
        <color rgb="FF211E1F"/>
        <rFont val="Calibri"/>
        <family val="2"/>
        <charset val="204"/>
      </rPr>
      <t>184.0</t>
    </r>
  </si>
  <si>
    <r>
      <rPr>
        <sz val="6"/>
        <color rgb="FF211E1F"/>
        <rFont val="Calibri"/>
        <family val="2"/>
        <charset val="204"/>
      </rPr>
      <t>206.0</t>
    </r>
  </si>
  <si>
    <r>
      <rPr>
        <sz val="6"/>
        <color rgb="FF211E1F"/>
        <rFont val="Calibri"/>
        <family val="2"/>
        <charset val="204"/>
      </rPr>
      <t>91.0</t>
    </r>
  </si>
  <si>
    <r>
      <rPr>
        <sz val="6"/>
        <color rgb="FF211E1F"/>
        <rFont val="Calibri"/>
        <family val="2"/>
        <charset val="204"/>
      </rPr>
      <t>125.0</t>
    </r>
  </si>
  <si>
    <r>
      <rPr>
        <sz val="6"/>
        <color rgb="FF211E1F"/>
        <rFont val="Calibri"/>
        <family val="2"/>
        <charset val="204"/>
      </rPr>
      <t>150.0</t>
    </r>
  </si>
  <si>
    <r>
      <rPr>
        <sz val="6"/>
        <color rgb="FF211E1F"/>
        <rFont val="Calibri"/>
        <family val="2"/>
        <charset val="204"/>
      </rPr>
      <t>170.0</t>
    </r>
  </si>
  <si>
    <r>
      <rPr>
        <sz val="6"/>
        <color rgb="FF211E1F"/>
        <rFont val="Calibri"/>
        <family val="2"/>
        <charset val="204"/>
      </rPr>
      <t>188.0</t>
    </r>
  </si>
  <si>
    <r>
      <rPr>
        <sz val="6"/>
        <color rgb="FF211E1F"/>
        <rFont val="Calibri"/>
        <family val="2"/>
        <charset val="204"/>
      </rPr>
      <t>213.0</t>
    </r>
  </si>
  <si>
    <r>
      <rPr>
        <sz val="6"/>
        <color rgb="FF211E1F"/>
        <rFont val="Calibri"/>
        <family val="2"/>
        <charset val="204"/>
      </rPr>
      <t>255.0</t>
    </r>
  </si>
  <si>
    <r>
      <rPr>
        <sz val="6"/>
        <color rgb="FF211E1F"/>
        <rFont val="Calibri"/>
        <family val="2"/>
        <charset val="204"/>
      </rPr>
      <t>274.0</t>
    </r>
  </si>
  <si>
    <r>
      <rPr>
        <sz val="6"/>
        <color rgb="FF211E1F"/>
        <rFont val="Calibri"/>
        <family val="2"/>
        <charset val="204"/>
      </rPr>
      <t>303.0</t>
    </r>
  </si>
  <si>
    <r>
      <rPr>
        <sz val="6"/>
        <color rgb="FF211E1F"/>
        <rFont val="Calibri"/>
        <family val="2"/>
        <charset val="204"/>
      </rPr>
      <t>329.0</t>
    </r>
  </si>
  <si>
    <r>
      <rPr>
        <sz val="6"/>
        <color rgb="FF211E1F"/>
        <rFont val="Calibri"/>
        <family val="2"/>
        <charset val="204"/>
      </rPr>
      <t>346.0</t>
    </r>
  </si>
  <si>
    <r>
      <rPr>
        <sz val="6"/>
        <color rgb="FF211E1F"/>
        <rFont val="Calibri"/>
        <family val="2"/>
        <charset val="204"/>
      </rPr>
      <t>430.0</t>
    </r>
  </si>
  <si>
    <r>
      <rPr>
        <sz val="6"/>
        <color rgb="FF211E1F"/>
        <rFont val="Calibri"/>
        <family val="2"/>
        <charset val="204"/>
      </rPr>
      <t>482.0</t>
    </r>
  </si>
  <si>
    <r>
      <rPr>
        <b/>
        <sz val="6"/>
        <color rgb="FF211E1F"/>
        <rFont val="Calibri"/>
        <family val="2"/>
        <charset val="204"/>
      </rPr>
      <t>513 00 020 2</t>
    </r>
  </si>
  <si>
    <r>
      <rPr>
        <b/>
        <sz val="6"/>
        <color rgb="FF211E1F"/>
        <rFont val="Calibri"/>
        <family val="2"/>
        <charset val="204"/>
      </rPr>
      <t>513 00 025 2</t>
    </r>
  </si>
  <si>
    <r>
      <rPr>
        <b/>
        <sz val="6"/>
        <color rgb="FF211E1F"/>
        <rFont val="Calibri"/>
        <family val="2"/>
        <charset val="204"/>
      </rPr>
      <t>513 00 032 2</t>
    </r>
  </si>
  <si>
    <r>
      <rPr>
        <b/>
        <sz val="6"/>
        <color rgb="FF211E1F"/>
        <rFont val="Calibri"/>
        <family val="2"/>
        <charset val="204"/>
      </rPr>
      <t>513 00 040 2</t>
    </r>
  </si>
  <si>
    <r>
      <rPr>
        <b/>
        <sz val="6"/>
        <color rgb="FF211E1F"/>
        <rFont val="Calibri"/>
        <family val="2"/>
        <charset val="204"/>
      </rPr>
      <t>513 00 050 2</t>
    </r>
  </si>
  <si>
    <r>
      <rPr>
        <b/>
        <sz val="6"/>
        <color rgb="FF211E1F"/>
        <rFont val="Calibri"/>
        <family val="2"/>
        <charset val="204"/>
      </rPr>
      <t>513 00 063 2</t>
    </r>
  </si>
  <si>
    <r>
      <rPr>
        <b/>
        <sz val="6"/>
        <color rgb="FF211E1F"/>
        <rFont val="Calibri"/>
        <family val="2"/>
        <charset val="204"/>
      </rPr>
      <t>513 00 075 2</t>
    </r>
  </si>
  <si>
    <r>
      <rPr>
        <b/>
        <sz val="6"/>
        <color rgb="FF211E1F"/>
        <rFont val="Calibri"/>
        <family val="2"/>
        <charset val="204"/>
      </rPr>
      <t>513 00 090 2</t>
    </r>
  </si>
  <si>
    <r>
      <rPr>
        <b/>
        <sz val="6"/>
        <color rgb="FF211E1F"/>
        <rFont val="Calibri"/>
        <family val="2"/>
        <charset val="204"/>
      </rPr>
      <t>513 00 110 2</t>
    </r>
  </si>
  <si>
    <r>
      <rPr>
        <b/>
        <sz val="6"/>
        <color rgb="FF211E1F"/>
        <rFont val="Calibri"/>
        <family val="2"/>
        <charset val="204"/>
      </rPr>
      <t>513 00 125 2</t>
    </r>
  </si>
  <si>
    <r>
      <rPr>
        <b/>
        <sz val="6"/>
        <color rgb="FF211E1F"/>
        <rFont val="Calibri"/>
        <family val="2"/>
        <charset val="204"/>
      </rPr>
      <t>513 00 140 2</t>
    </r>
  </si>
  <si>
    <r>
      <rPr>
        <b/>
        <sz val="6"/>
        <color rgb="FF211E1F"/>
        <rFont val="Calibri"/>
        <family val="2"/>
        <charset val="204"/>
      </rPr>
      <t>513 00 160 2</t>
    </r>
  </si>
  <si>
    <r>
      <rPr>
        <b/>
        <sz val="6"/>
        <color rgb="FF211E1F"/>
        <rFont val="Calibri"/>
        <family val="2"/>
        <charset val="204"/>
      </rPr>
      <t>513 00 200 2</t>
    </r>
  </si>
  <si>
    <r>
      <rPr>
        <b/>
        <sz val="6"/>
        <color rgb="FF211E1F"/>
        <rFont val="Calibri"/>
        <family val="2"/>
        <charset val="204"/>
      </rPr>
      <t>513 00 225 2</t>
    </r>
  </si>
  <si>
    <r>
      <rPr>
        <b/>
        <sz val="6"/>
        <color rgb="FF211E1F"/>
        <rFont val="Calibri"/>
        <family val="2"/>
        <charset val="204"/>
      </rPr>
      <t>513 00 250 2</t>
    </r>
  </si>
  <si>
    <r>
      <rPr>
        <b/>
        <sz val="6"/>
        <color rgb="FF211E1F"/>
        <rFont val="Calibri"/>
        <family val="2"/>
        <charset val="204"/>
      </rPr>
      <t>513 00 280 2</t>
    </r>
  </si>
  <si>
    <r>
      <rPr>
        <b/>
        <sz val="6"/>
        <color rgb="FF211E1F"/>
        <rFont val="Calibri"/>
        <family val="2"/>
        <charset val="204"/>
      </rPr>
      <t>513 00 315 2</t>
    </r>
  </si>
  <si>
    <r>
      <rPr>
        <b/>
        <sz val="6"/>
        <color rgb="FF211E1F"/>
        <rFont val="Calibri"/>
        <family val="2"/>
        <charset val="204"/>
      </rPr>
      <t>513 00 355 4</t>
    </r>
  </si>
  <si>
    <r>
      <rPr>
        <b/>
        <sz val="6"/>
        <color rgb="FF211E1F"/>
        <rFont val="Calibri"/>
        <family val="2"/>
        <charset val="204"/>
      </rPr>
      <t>513 00 400 4</t>
    </r>
  </si>
  <si>
    <r>
      <rPr>
        <sz val="6"/>
        <color rgb="FF211E1F"/>
        <rFont val="Calibri"/>
        <family val="2"/>
        <charset val="204"/>
      </rPr>
      <t>0.10</t>
    </r>
  </si>
  <si>
    <r>
      <rPr>
        <sz val="6"/>
        <color rgb="FF211E1F"/>
        <rFont val="Calibri"/>
        <family val="2"/>
        <charset val="204"/>
      </rPr>
      <t>0.12</t>
    </r>
  </si>
  <si>
    <r>
      <rPr>
        <sz val="6"/>
        <color rgb="FF211E1F"/>
        <rFont val="Calibri"/>
        <family val="2"/>
        <charset val="204"/>
      </rPr>
      <t>0.18</t>
    </r>
  </si>
  <si>
    <r>
      <rPr>
        <sz val="6"/>
        <color rgb="FF211E1F"/>
        <rFont val="Calibri"/>
        <family val="2"/>
        <charset val="204"/>
      </rPr>
      <t>0.29</t>
    </r>
  </si>
  <si>
    <r>
      <rPr>
        <sz val="6"/>
        <color rgb="FF211E1F"/>
        <rFont val="Calibri"/>
        <family val="2"/>
        <charset val="204"/>
      </rPr>
      <t>0.30</t>
    </r>
  </si>
  <si>
    <r>
      <rPr>
        <sz val="6"/>
        <color rgb="FF211E1F"/>
        <rFont val="Calibri"/>
        <family val="2"/>
        <charset val="204"/>
      </rPr>
      <t>0.46</t>
    </r>
  </si>
  <si>
    <r>
      <rPr>
        <sz val="6"/>
        <color rgb="FF211E1F"/>
        <rFont val="Calibri"/>
        <family val="2"/>
        <charset val="204"/>
      </rPr>
      <t>0.53</t>
    </r>
  </si>
  <si>
    <r>
      <rPr>
        <sz val="6"/>
        <color rgb="FF211E1F"/>
        <rFont val="Calibri"/>
        <family val="2"/>
        <charset val="204"/>
      </rPr>
      <t>0.74</t>
    </r>
  </si>
  <si>
    <r>
      <rPr>
        <sz val="6"/>
        <color rgb="FF211E1F"/>
        <rFont val="Calibri"/>
        <family val="2"/>
        <charset val="204"/>
      </rPr>
      <t>0.81</t>
    </r>
  </si>
  <si>
    <r>
      <rPr>
        <sz val="6"/>
        <color rgb="FF211E1F"/>
        <rFont val="Calibri"/>
        <family val="2"/>
        <charset val="204"/>
      </rPr>
      <t>1.67</t>
    </r>
  </si>
  <si>
    <r>
      <rPr>
        <sz val="6"/>
        <color rgb="FF211E1F"/>
        <rFont val="Calibri"/>
        <family val="2"/>
        <charset val="204"/>
      </rPr>
      <t>1.23</t>
    </r>
  </si>
  <si>
    <r>
      <rPr>
        <sz val="6"/>
        <color rgb="FF211E1F"/>
        <rFont val="Calibri"/>
        <family val="2"/>
        <charset val="204"/>
      </rPr>
      <t>2.19</t>
    </r>
  </si>
  <si>
    <r>
      <rPr>
        <sz val="6"/>
        <color rgb="FF211E1F"/>
        <rFont val="Calibri"/>
        <family val="2"/>
        <charset val="204"/>
      </rPr>
      <t>1.58</t>
    </r>
  </si>
  <si>
    <r>
      <rPr>
        <sz val="6"/>
        <color rgb="FF211E1F"/>
        <rFont val="Calibri"/>
        <family val="2"/>
        <charset val="204"/>
      </rPr>
      <t>2.96</t>
    </r>
  </si>
  <si>
    <t>PVC-U-PIN</t>
  </si>
  <si>
    <t>ду_PVC-U_Pin</t>
  </si>
  <si>
    <t>отвод_PVC_U_Pin</t>
  </si>
  <si>
    <t>трой_PVC_U_Pin</t>
  </si>
  <si>
    <t>фл_PVC_U_Pin</t>
  </si>
  <si>
    <t>бурт_PVC_U_Pin</t>
  </si>
  <si>
    <t>заглушка_PVC_U_Pin</t>
  </si>
  <si>
    <t>переход_PVC_U_Pin</t>
  </si>
  <si>
    <t>ду_ПЭ100</t>
  </si>
  <si>
    <t>ПЭ</t>
  </si>
  <si>
    <t>PPR</t>
  </si>
  <si>
    <t>ду_PPR</t>
  </si>
  <si>
    <t>VG</t>
  </si>
  <si>
    <t>Медь</t>
  </si>
  <si>
    <t>9,52</t>
  </si>
  <si>
    <t>19,05</t>
  </si>
  <si>
    <t>22,23</t>
  </si>
  <si>
    <t>0,76</t>
  </si>
  <si>
    <t>0,81</t>
  </si>
  <si>
    <t>1,14</t>
  </si>
  <si>
    <t>0,107</t>
  </si>
  <si>
    <t>0,164</t>
  </si>
  <si>
    <t>0,261</t>
  </si>
  <si>
    <t>0,172</t>
  </si>
  <si>
    <t>0,266</t>
  </si>
  <si>
    <t>0,434</t>
  </si>
  <si>
    <t>18,3</t>
  </si>
  <si>
    <t>20,8</t>
  </si>
  <si>
    <t>28,57</t>
  </si>
  <si>
    <t>34,92</t>
  </si>
  <si>
    <t>41,28</t>
  </si>
  <si>
    <t>53,97</t>
  </si>
  <si>
    <t>66,68</t>
  </si>
  <si>
    <t>79,38</t>
  </si>
  <si>
    <t>104,78</t>
  </si>
  <si>
    <t>92,08</t>
  </si>
  <si>
    <t>2,29</t>
  </si>
  <si>
    <t>2,03</t>
  </si>
  <si>
    <t>1,78</t>
  </si>
  <si>
    <t>2,25</t>
  </si>
  <si>
    <t>1,41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</si>
</sst>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7"/>
      <color rgb="FF000000"/>
      <name val="Arial"/>
      <family val="2"/>
      <charset val="204"/>
    </font>
    <font>
      <sz val="7"/>
      <color rgb="FF000000"/>
      <name val="Arial"/>
    </font>
    <font>
      <b/>
      <sz val="6"/>
      <color rgb="FF211E1F"/>
      <name val="Calibri"/>
    </font>
    <font>
      <sz val="6"/>
      <color rgb="FF000000"/>
      <name val="Calibri"/>
    </font>
    <font>
      <sz val="6"/>
      <color rgb="FF211E1F"/>
      <name val="Calibri"/>
    </font>
    <font>
      <sz val="6"/>
      <color rgb="FF211E1F"/>
      <name val="Calibri"/>
      <family val="2"/>
      <charset val="204"/>
    </font>
    <font>
      <b/>
      <sz val="6"/>
      <color rgb="FF211E1F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D6D6D5"/>
      </patternFill>
    </fill>
    <fill>
      <patternFill patternType="solid">
        <fgColor rgb="FFE3E4E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211E1F"/>
      </left>
      <right style="thin">
        <color rgb="FF211E1F"/>
      </right>
      <top/>
      <bottom/>
      <diagonal/>
    </border>
    <border>
      <left/>
      <right style="thin">
        <color rgb="FF211E1F"/>
      </right>
      <top/>
      <bottom/>
      <diagonal/>
    </border>
    <border>
      <left style="thin">
        <color rgb="FF211E1F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211E1F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 indent="3"/>
    </xf>
    <xf numFmtId="0" fontId="4" fillId="3" borderId="0" xfId="0" applyFont="1" applyFill="1" applyAlignment="1">
      <alignment horizontal="left" vertical="center" wrapText="1" indent="1"/>
    </xf>
    <xf numFmtId="0" fontId="4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0" fontId="4" fillId="3" borderId="16" xfId="0" applyFont="1" applyFill="1" applyBorder="1" applyAlignment="1">
      <alignment horizontal="left" vertical="center" wrapText="1" indent="4"/>
    </xf>
    <xf numFmtId="0" fontId="4" fillId="3" borderId="17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2" fontId="0" fillId="0" borderId="0" xfId="0" applyNumberFormat="1"/>
    <xf numFmtId="2" fontId="4" fillId="3" borderId="15" xfId="0" applyNumberFormat="1" applyFont="1" applyFill="1" applyBorder="1" applyAlignment="1">
      <alignment vertical="center" wrapText="1"/>
    </xf>
    <xf numFmtId="0" fontId="4" fillId="3" borderId="17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left" vertical="center" wrapText="1" indent="2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2"/>
    </xf>
    <xf numFmtId="0" fontId="5" fillId="3" borderId="17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left" vertical="center" wrapText="1"/>
    </xf>
    <xf numFmtId="0" fontId="5" fillId="3" borderId="16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wrapText="1" indent="1"/>
    </xf>
    <xf numFmtId="0" fontId="7" fillId="0" borderId="19" xfId="0" applyFont="1" applyBorder="1" applyAlignment="1">
      <alignment horizontal="left" vertical="center" wrapText="1" indent="1"/>
    </xf>
    <xf numFmtId="0" fontId="8" fillId="4" borderId="19" xfId="0" applyFont="1" applyFill="1" applyBorder="1" applyAlignment="1">
      <alignment horizontal="left" vertical="center" wrapText="1" indent="1"/>
    </xf>
    <xf numFmtId="0" fontId="8" fillId="0" borderId="19" xfId="0" applyFont="1" applyBorder="1" applyAlignment="1">
      <alignment horizontal="left" vertical="center" wrapText="1" indent="1"/>
    </xf>
    <xf numFmtId="0" fontId="8" fillId="0" borderId="18" xfId="0" applyFont="1" applyBorder="1" applyAlignment="1">
      <alignment horizontal="left" vertical="center" wrapText="1" indent="1"/>
    </xf>
    <xf numFmtId="0" fontId="8" fillId="4" borderId="18" xfId="0" applyFont="1" applyFill="1" applyBorder="1" applyAlignment="1">
      <alignment horizontal="left" vertical="center" wrapText="1" indent="1"/>
    </xf>
    <xf numFmtId="0" fontId="8" fillId="0" borderId="20" xfId="0" applyFont="1" applyBorder="1" applyAlignment="1">
      <alignment vertical="center" wrapText="1"/>
    </xf>
    <xf numFmtId="0" fontId="8" fillId="4" borderId="2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horizontal="right" vertical="center" wrapText="1"/>
    </xf>
    <xf numFmtId="0" fontId="8" fillId="4" borderId="18" xfId="0" applyFont="1" applyFill="1" applyBorder="1" applyAlignment="1">
      <alignment horizontal="right" vertical="center" wrapText="1"/>
    </xf>
    <xf numFmtId="0" fontId="8" fillId="0" borderId="21" xfId="0" applyFont="1" applyBorder="1" applyAlignment="1">
      <alignment horizontal="left" vertical="center" wrapText="1" indent="1"/>
    </xf>
    <xf numFmtId="0" fontId="8" fillId="4" borderId="21" xfId="0" applyFont="1" applyFill="1" applyBorder="1" applyAlignment="1">
      <alignment horizontal="left" vertical="center" wrapText="1" indent="1"/>
    </xf>
    <xf numFmtId="0" fontId="8" fillId="0" borderId="22" xfId="0" applyFont="1" applyBorder="1" applyAlignment="1">
      <alignment horizontal="left" vertical="center" wrapText="1" indent="1"/>
    </xf>
    <xf numFmtId="0" fontId="8" fillId="4" borderId="22" xfId="0" applyFont="1" applyFill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8" fillId="0" borderId="12" xfId="0" applyFont="1" applyBorder="1" applyAlignment="1">
      <alignment horizontal="left" vertical="center" wrapText="1" indent="1"/>
    </xf>
    <xf numFmtId="0" fontId="8" fillId="4" borderId="12" xfId="0" applyFont="1" applyFill="1" applyBorder="1" applyAlignment="1">
      <alignment horizontal="left" vertical="center" wrapText="1" indent="1"/>
    </xf>
    <xf numFmtId="0" fontId="8" fillId="0" borderId="23" xfId="0" applyFont="1" applyBorder="1" applyAlignment="1">
      <alignment vertical="center" wrapText="1"/>
    </xf>
    <xf numFmtId="0" fontId="8" fillId="4" borderId="23" xfId="0" applyFont="1" applyFill="1" applyBorder="1" applyAlignment="1">
      <alignment horizontal="left" vertical="center" wrapText="1" indent="1"/>
    </xf>
    <xf numFmtId="0" fontId="8" fillId="4" borderId="23" xfId="0" applyFont="1" applyFill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 indent="2"/>
    </xf>
    <xf numFmtId="0" fontId="8" fillId="0" borderId="22" xfId="0" applyFont="1" applyBorder="1" applyAlignment="1">
      <alignment horizontal="left" vertical="center" wrapText="1" indent="2"/>
    </xf>
    <xf numFmtId="0" fontId="9" fillId="4" borderId="19" xfId="0" applyFont="1" applyFill="1" applyBorder="1" applyAlignment="1">
      <alignment horizontal="left" vertical="center" wrapText="1" indent="1"/>
    </xf>
    <xf numFmtId="0" fontId="9" fillId="0" borderId="19" xfId="0" applyFont="1" applyBorder="1" applyAlignment="1">
      <alignment horizontal="left" vertical="center" wrapText="1" indent="1"/>
    </xf>
    <xf numFmtId="0" fontId="9" fillId="4" borderId="18" xfId="0" applyFont="1" applyFill="1" applyBorder="1" applyAlignment="1">
      <alignment horizontal="left" vertical="center" wrapText="1" indent="1"/>
    </xf>
    <xf numFmtId="0" fontId="9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 indent="2"/>
    </xf>
    <xf numFmtId="0" fontId="9" fillId="0" borderId="18" xfId="0" applyFont="1" applyBorder="1" applyAlignment="1">
      <alignment horizontal="left" vertical="center" wrapText="1" indent="2"/>
    </xf>
    <xf numFmtId="0" fontId="9" fillId="4" borderId="20" xfId="0" applyFont="1" applyFill="1" applyBorder="1" applyAlignment="1">
      <alignment horizontal="left" vertical="center" wrapText="1" indent="1"/>
    </xf>
    <xf numFmtId="0" fontId="9" fillId="0" borderId="20" xfId="0" applyFont="1" applyBorder="1" applyAlignment="1">
      <alignment vertical="center" wrapText="1"/>
    </xf>
    <xf numFmtId="0" fontId="9" fillId="4" borderId="20" xfId="0" applyFont="1" applyFill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 indent="1"/>
    </xf>
    <xf numFmtId="0" fontId="9" fillId="4" borderId="21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 indent="1"/>
    </xf>
    <xf numFmtId="0" fontId="9" fillId="4" borderId="12" xfId="0" applyFont="1" applyFill="1" applyBorder="1" applyAlignment="1">
      <alignment horizontal="left" vertical="center" wrapText="1" indent="1"/>
    </xf>
    <xf numFmtId="0" fontId="10" fillId="0" borderId="12" xfId="0" applyFont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9" fillId="0" borderId="22" xfId="0" applyFont="1" applyBorder="1" applyAlignment="1">
      <alignment horizontal="left" vertical="center" wrapText="1" indent="2"/>
    </xf>
    <xf numFmtId="0" fontId="9" fillId="4" borderId="22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right" vertical="center" wrapText="1"/>
    </xf>
    <xf numFmtId="0" fontId="9" fillId="0" borderId="12" xfId="0" applyFont="1" applyBorder="1" applyAlignment="1">
      <alignment horizontal="right" vertical="center" wrapText="1"/>
    </xf>
    <xf numFmtId="0" fontId="9" fillId="0" borderId="22" xfId="0" applyFont="1" applyBorder="1" applyAlignment="1">
      <alignment horizontal="left" vertical="center" wrapText="1" indent="1"/>
    </xf>
    <xf numFmtId="0" fontId="9" fillId="4" borderId="22" xfId="0" applyFont="1" applyFill="1" applyBorder="1" applyAlignment="1">
      <alignment horizontal="left" vertical="center" wrapText="1" indent="1"/>
    </xf>
    <xf numFmtId="0" fontId="10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4" borderId="18" xfId="0" applyFont="1" applyFill="1" applyBorder="1" applyAlignment="1">
      <alignment vertical="center" wrapText="1"/>
    </xf>
    <xf numFmtId="0" fontId="9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/>
    </xf>
    <xf numFmtId="0" fontId="9" fillId="4" borderId="18" xfId="0" applyFont="1" applyFill="1" applyBorder="1" applyAlignment="1">
      <alignment horizontal="right" vertical="center" wrapText="1"/>
    </xf>
    <xf numFmtId="0" fontId="9" fillId="0" borderId="18" xfId="0" applyFont="1" applyBorder="1" applyAlignment="1">
      <alignment horizontal="right" vertical="center" wrapText="1"/>
    </xf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B27B883C-0591-43E3-BFCA-3A0B016BA2FD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792DADE1-A913-41CC-AB23-E3F994E416E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6A855F0D-136B-4989-A3FF-DC56DA57D38F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3FC0681A-E74D-4324-B289-21643AF39151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6F735CDD-F945-4932-9DC4-8A0CF9FE32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6501A6FD-A7E9-4BEF-888E-3E95E6027E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3C1B753F-7741-465D-8ECF-611541F20B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2D1D088-430D-480B-AEB8-3163ADB81A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BA5C2B24-AB47-42D4-9A5F-6DA48688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17639B9B-3979-4031-8FF7-887DEC85D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932DF75-B216-4673-AED9-034857DD05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8D87754-D202-42A8-8D0E-F95D853D1E5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ACAFB3F4-D41A-4171-90C2-5C9E890B38F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A9CA399-2401-4A73-8728-C92CB50A8A0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5CD6E7DA-7A9F-4852-A1A9-EB498BE6A16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1CEC8E-7CC7-4D6A-983B-DB50E98F4FE5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448FF38D-1327-4FDF-A366-7E8E1F80579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3F7BDEA9-D563-4489-B664-AC822D118F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93E1F001-A131-4366-A27B-C9F0F0C13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A3D1C27-C2DE-45C1-B358-2B27984CB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8A001035-653A-4B12-B053-464260BEB39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8FBE8D54-CDF6-4967-9980-396235631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8387C9B-96AC-46EE-9343-9E3F5D2718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8E4676C4-AA7A-4D23-9FAB-FE7C8D5299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F1E7B41B-91A5-4BFE-9AED-11F515CD56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EBC83D8B-CD9B-4517-B1B9-59A2F8FDE4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4C24594D-4022-44B8-9B1B-07E33C17DB45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6A673C38-1F2F-4E6A-93C8-D60B597B9C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9795C57E-3B7D-46A4-B6AC-15A34ACD0E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3118A560-CE9B-433F-904F-83B08569D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81F4ACB-3520-4B86-93A2-620024F90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5DA8DE01-C207-4CF3-97C2-892F7EAF5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8DE96C10-8708-4A6F-BFCC-C7356EC6DE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0B82A089-32CD-4676-9FFF-E299700FE543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2DE71539-1C42-47D9-9BF4-DFD47AB72B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1022F4EC-A91E-4BBD-B3C5-698A40A2F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7F1E46D2-03F9-42DE-B688-5DFDE57727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F3564195-B95B-4CE2-9E28-6FD949AEB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A8D2BE80-4E3D-4656-A07D-809E305A8E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51424515-2063-43F0-A10C-B4AB3682CA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891C490E-01A7-4F71-AF89-32EDEBFA7DC1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AC7D5661-ED91-4FDD-BC6D-DFDA84A0D7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B7BECEC9-97E8-466F-B9E3-B04FF47F3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382628A8-E865-457A-AD07-3E908D97F8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35540FB-8A58-433F-B65A-4394B06E11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605328D6-34BB-4D28-8ED0-5587CE1B2C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F4BC9CC7-F8B0-4DF5-8FE0-093E84435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2EEEFDAE-C5F3-4C3B-BACB-7AE9D6E8C0D7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06146576-2066-4E76-B9D8-E4BCDB124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7CD8E983-9E45-4074-B4CC-6A00A9684B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140290D0-B2E9-49F4-A6B5-C20E065BD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53BB4F65-1D89-4CB9-A6DF-C64792C4F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5B5BCBD5-5F46-4CFE-A43A-1525283382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89A2CF3C-9C7E-443D-886E-40A4F3BA26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1146FFD-A5CE-45C4-895F-D0071C6FF43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845BBDF9-54B1-45BA-A02F-4E2A38CB8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4B935749-5495-42D9-A060-F774DA1363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72E6E9E7-84D7-4AEB-99CC-F6516A3219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2FDF99E1-2E60-428C-AF5E-2B0A0E22CD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8AC163C7-1981-4123-A84E-189C14A9B8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B9F08C0-1937-4A4A-A696-D2F481FA4A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D78B0D79-8E38-4BA2-A36D-1B9B362937A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610A127E-5293-4869-9A9B-B560C3CD9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F3885073-F5D6-4C6F-A435-387E779B61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67D2BEB5-A419-4D38-AD3C-27F63E5D6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4CE0CF27-D2CA-4625-A52C-D3D4FDDF67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73A0175D-4860-4ABF-9D5E-6C5D0F189D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6FA4C572-D530-4110-BD5A-483E6F692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CB42A67F-F01A-45FF-AF6E-0422EDD81C5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ED4FCA14-52F4-472E-B493-F3212BBD4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2A8DC87C-45E0-4802-8701-D3535DE523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B8039B8F-9F7F-4ADC-8D5D-961483280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68DEEA19-541A-47DE-989A-B4525E0895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0515C1C3-FE0D-4FBD-9AE7-01DB11D88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87E590A1-8A84-4EE4-A0A7-0A4AF2FF38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C5A3F8A3-370F-49D3-9DA8-BEBB198156E2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E1785F6C-04D7-463C-A74C-182C0F1B68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3743FAE1-8DB4-4913-816F-CC4F886917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3850BC1-DEE7-4E7E-B2AA-98D7DCC423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341F8C1D-1E89-4E19-B7B7-0BEA9BC6B0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CDC9A077-AB59-471A-ADDB-8D0919C7E1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3F0FFB7B-5F30-47AE-B925-9CBA09FC30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ADF41E67-69A2-443E-B903-1CF7A75F61BB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F41C0664-8E5A-4FE7-AC4A-B8018A4B85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BDE39EB8-58F1-4DC5-8301-E8C93CEEA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F864E2CD-76C3-4208-9A7A-83669BFB4E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1A6D87BB-98ED-41A1-8031-9E8D4B30F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1B048F53-C9C9-49D3-9504-E6E677A309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26969E1E-B63C-4399-A9AB-D79EF86C2B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B7AF22DF-371A-41D3-9826-3CEF9F6AA44B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9F0CA857-1941-41C4-9C80-2AAD790C27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133FD91E-3700-451C-96C1-CD231D2AE3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60916498-3A43-4D93-BFBA-2D514A98E6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AA90742-9AD7-492A-9785-0F92043F96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B5E9FC43-7941-4856-819A-E4C41FFD26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DFF76133-3973-45AF-9578-81F68FE65A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26C55599-6D7B-4D8B-9F4F-BFCC0668202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36C8C6BF-F7BA-4961-97CB-5F71663613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ACFCC0C3-EAEF-4236-9FD7-D3A6805C2D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1678ACB1-B812-4B0D-A6DB-1ACAE13890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24A7E212-BC63-4F5B-8F7F-9FD8AD1C2D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FBB19015-E0B1-4BAA-B8A8-A5028AC44F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EEC436A8-463A-42D5-9AEC-A528172C6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D6F695AC-2502-4790-B832-7B144717C0DF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2890D39-4A37-4EA8-9F37-B8BFF2819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F47BED46-EBA1-4C35-B2FC-8A2C6D0BD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5D9F31B9-7E2F-44CB-BB48-ED4DEA6E6E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79A48AC4-C590-448A-BD9F-5D94A4AFFF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39840FF4-71A6-4568-AD37-E33966BBF3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DD31E454-DE38-4E2C-914D-C3010A9B3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1036A6EA-95E0-4A4C-B9AB-C7A5E103A05D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28F38EA9-6CB1-4A44-A7DE-49009A0E8E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7178EE78-03A9-457B-8691-16FC2E8CAE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BEF0BEDF-4207-49AC-9CA2-E45F9970C6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50B58471-4FA7-4D5E-A511-4A3145E0FC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A5E2DB6B-705A-4DF4-8E10-897F491240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FC7F791D-385F-4669-8E56-4E2B1B792E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705CBDB6-A41E-428E-9E79-1B026D903561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FCAD3E32-2D7D-478D-9EB3-5F3A55FD0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BAD88246-38CC-4CB0-B167-367D00BAD5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6EA4EA38-65CC-40CA-A153-20B69A83FC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338B72B8-767C-4BE0-920A-2F164B685E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38A27042-DFA2-468D-ABD7-9F99EDA96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A4982EA6-AF68-4BC1-AA37-5F14D9B47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1A4AC11-41A6-43E9-8F02-493C4677D2B8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7452EE8-BC61-476D-A860-9C8543DCAA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B1D39D81-BF40-44D6-AB81-A4140B972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EF5462D1-7A29-4C66-8779-D2503CF03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E137BA99-65D4-4E14-B793-CDF8E7588D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AC2A6570-C957-4346-A61E-679B29B3A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9AAE18C2-B356-4684-B00E-BCD6AAC219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F93E9615-C5E7-4D0F-A39C-F02BA9A9FE61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F23B6FD1-B6F1-4266-8F03-4FD66966F8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064DA0CE-B233-40AA-9A43-9210227061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4BD85CD0-CF23-4510-B68F-9B60893799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C5F14805-1974-4DFC-A104-2AACA722C0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D596D87F-5638-48A2-B0F6-A1D37F4EE5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A36DC97F-802C-4D15-B74F-BA3259BE6E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3A7423DC-B6FC-400A-86BE-0B9D4C6DD94A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969C248D-699E-453A-83FA-F783FFEBA7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BC14F082-93E6-4EAC-BDB8-DA3D4A6921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84A5AD4A-B9B4-4EAE-BC89-58AA026A07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7504ACAE-299F-4F18-8679-4D89CCCBF7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51131906-09CE-4F1D-BD6D-AAA23E608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AF44A6A-9E92-4B83-9006-A09940DF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68E2D7E3-244E-45B8-ADC6-23E22A4FA7D1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7CE94865-E21A-44F5-9FBD-7B44E3247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672D59E5-158C-4D7B-BCBE-367E552B7D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00BFAEF0-3EAD-4F35-BCF1-99C824E16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D2B50403-2E33-4241-A87D-ACF84541C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3E78F258-04FC-4975-B149-9F60F322E1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448ABAA9-6794-4C08-B48E-EDDB0B2D7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07B87C5-9B11-45A0-A85E-8FDC430CA389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0EEF2AB5-056B-4EA7-9ADB-08443B935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054F0B1-E091-48C7-93F1-71407637C1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449CD5E-DC0E-41C4-97E4-6168220DBF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3A037CE7-9B03-4AAE-845E-37A7C8807C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D382A0E-8524-4EB8-8724-3A1D824E9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50A83732-A262-4B44-92A7-531D352311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BE8FFE3-FB13-4648-8DF4-06BF5394A156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584C7D3D-6443-472D-BAF9-082054D1EF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C7B3813-467A-4423-A318-C81A9FECA5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B98CC82B-0B1F-4714-99BB-F05B87DF0A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028EF24D-855A-4858-9A12-E4793B94AA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CF6DF6E7-DFEA-457D-BB55-2CB31AECCE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973EC7E0-88E1-4368-B112-BDA6F28D3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98DBEB4F-160C-4D60-9FB2-96988CDB1B7C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852FE406-8547-42DD-A766-FEC52F4E0F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17997D80-6FAC-4BAF-892B-F10BA3A9B0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0A39755B-3895-4981-B22F-23B531DFDE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317E01E3-0A8F-40CE-97BC-664C31BB75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1932D0EB-2EFE-4835-9A7C-8B7E9D650D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BCB001AB-E043-41CE-93D8-B25435C26972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4D2AF519-B4E9-4B2A-BCEF-B90ECB74C4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EF2092B4-F468-4F56-BF66-CAD76AE99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CFA51445-FCBA-4C9A-8876-5FD7DA9CBE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8FD5C2AC-682E-4400-93E3-D2D8B4F310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9E59CEFB-59A9-45C4-AA29-77C1A8D93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3224AE30-8B97-4B5A-BB48-0D28A72078F0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3BF5AD9E-1B66-4E21-AE5C-741A93C3D6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CA949451-A1B2-426D-9858-B4EEEB5841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524FED53-50C4-4108-8C85-53BA2698B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113ABA93-364A-4801-A1AA-236E32E784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089DDC55-6088-4D97-BD4F-9CDEA9D059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F432D065-B301-444D-80A0-E5A99C064262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1EB3A40-79E7-4157-AEC9-C6EBBF5A2C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52026E03-56E4-4BD9-B7FE-EB078BBCDC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F094654-1F6E-47DD-9FC7-96B4091EA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877BFC77-26CA-4EA4-9940-D49CA1DF50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7E0BC19E-A6C3-4886-88EC-2655336372F2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FA0FC69-82A3-4279-9BD1-D609C384DF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691E65FA-3D7A-4630-8F08-9241893A65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5722D61B-C2D4-49B0-82ED-E00A66626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BA2683ED-A17A-4E64-B095-091AF73003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E46850FD-A3E5-4A67-9E49-1ED591166D29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8A6D9A37-BE87-4AA6-AB84-F026AEA49E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45BC99D0-CD80-430A-9DA2-9F0207C070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1CFE45FF-4E85-4786-BCF7-5589B170BC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45B5B55C-70E1-4D6C-8C77-6F81B95D466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BD75301B-0124-47F5-AD38-4F0B85BDF0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0E5CBB43-9C81-489C-B54D-8A4A9A9781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D7B9483-86C8-42F7-9E67-9F31DCB0B1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06338493-96C6-46AA-856F-B7BF1169DE72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CF5A7C3E-417A-453E-A895-6CAE89BBA3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5339F019-B36E-4FA7-8A14-7A079F2E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36FE9520-17AB-40E4-986C-549326BF1278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08CC2CC0-2578-4F3D-AED8-6DCDAC9521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46AADB70-31C5-4BAF-8C69-596A5670C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F2F2482C-B32D-48B9-9016-2D51BEAE46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A112AA55-F287-4133-B99C-7CA54DADF18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4CEB4787-EC18-4193-8FEF-82E8302075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142393CC-E9D7-40CB-888B-6AE71691FD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99A5E162-3DD8-4E20-88EC-D85F729041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8" name="AutoShape 19">
          <a:extLst>
            <a:ext uri="{FF2B5EF4-FFF2-40B4-BE49-F238E27FC236}">
              <a16:creationId xmlns:a16="http://schemas.microsoft.com/office/drawing/2014/main" id="{A9E526B4-CD9E-4D16-B307-8661ABC90C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A5F5A954-A2FD-4CEB-BF2B-AE85343273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0" name="AutoShape 22">
          <a:extLst>
            <a:ext uri="{FF2B5EF4-FFF2-40B4-BE49-F238E27FC236}">
              <a16:creationId xmlns:a16="http://schemas.microsoft.com/office/drawing/2014/main" id="{2C0C8BCB-1AA7-442D-884B-CCDD320360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1" name="AutoShape 23">
          <a:extLst>
            <a:ext uri="{FF2B5EF4-FFF2-40B4-BE49-F238E27FC236}">
              <a16:creationId xmlns:a16="http://schemas.microsoft.com/office/drawing/2014/main" id="{2F0269DB-F8E2-49F1-8FB7-7C95CB383E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2" name="AutoShape 24">
          <a:extLst>
            <a:ext uri="{FF2B5EF4-FFF2-40B4-BE49-F238E27FC236}">
              <a16:creationId xmlns:a16="http://schemas.microsoft.com/office/drawing/2014/main" id="{6395E4D0-EE8E-43EC-87B9-0518B21A1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" name="AutoShape 25">
          <a:extLst>
            <a:ext uri="{FF2B5EF4-FFF2-40B4-BE49-F238E27FC236}">
              <a16:creationId xmlns:a16="http://schemas.microsoft.com/office/drawing/2014/main" id="{5FB8C511-C4FB-4251-9431-2EF5DB3486CF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" name="AutoShape 26">
          <a:extLst>
            <a:ext uri="{FF2B5EF4-FFF2-40B4-BE49-F238E27FC236}">
              <a16:creationId xmlns:a16="http://schemas.microsoft.com/office/drawing/2014/main" id="{475F97BD-FDA8-4806-8C45-543D923B3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5" name="AutoShape 27">
          <a:extLst>
            <a:ext uri="{FF2B5EF4-FFF2-40B4-BE49-F238E27FC236}">
              <a16:creationId xmlns:a16="http://schemas.microsoft.com/office/drawing/2014/main" id="{1BA0A1BF-0951-4341-8A9A-0C54F1CCCB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6" name="AutoShape 28">
          <a:extLst>
            <a:ext uri="{FF2B5EF4-FFF2-40B4-BE49-F238E27FC236}">
              <a16:creationId xmlns:a16="http://schemas.microsoft.com/office/drawing/2014/main" id="{0F00421A-1A5A-4504-9263-59DB851E8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7" name="AutoShape 29">
          <a:extLst>
            <a:ext uri="{FF2B5EF4-FFF2-40B4-BE49-F238E27FC236}">
              <a16:creationId xmlns:a16="http://schemas.microsoft.com/office/drawing/2014/main" id="{EA405CDF-542C-4B25-B75C-0AA4D888C5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8" name="AutoShape 30">
          <a:extLst>
            <a:ext uri="{FF2B5EF4-FFF2-40B4-BE49-F238E27FC236}">
              <a16:creationId xmlns:a16="http://schemas.microsoft.com/office/drawing/2014/main" id="{F474AC4D-C6D6-43F4-AA3D-CD4AF741F5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9" name="AutoShape 31">
          <a:extLst>
            <a:ext uri="{FF2B5EF4-FFF2-40B4-BE49-F238E27FC236}">
              <a16:creationId xmlns:a16="http://schemas.microsoft.com/office/drawing/2014/main" id="{792A9736-0E23-4D72-81AD-8B80A92852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0" name="AutoShape 32">
          <a:extLst>
            <a:ext uri="{FF2B5EF4-FFF2-40B4-BE49-F238E27FC236}">
              <a16:creationId xmlns:a16="http://schemas.microsoft.com/office/drawing/2014/main" id="{8873F1D2-51DA-4D05-ADA9-94FB2257088E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1" name="AutoShape 33">
          <a:extLst>
            <a:ext uri="{FF2B5EF4-FFF2-40B4-BE49-F238E27FC236}">
              <a16:creationId xmlns:a16="http://schemas.microsoft.com/office/drawing/2014/main" id="{93E11F4D-B21F-474A-A1F9-1E757867E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2" name="AutoShape 34">
          <a:extLst>
            <a:ext uri="{FF2B5EF4-FFF2-40B4-BE49-F238E27FC236}">
              <a16:creationId xmlns:a16="http://schemas.microsoft.com/office/drawing/2014/main" id="{B7C2FB5F-E520-4CE1-A22F-A19CE2E297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3" name="AutoShape 35">
          <a:extLst>
            <a:ext uri="{FF2B5EF4-FFF2-40B4-BE49-F238E27FC236}">
              <a16:creationId xmlns:a16="http://schemas.microsoft.com/office/drawing/2014/main" id="{F62B4022-0D55-4A4F-9FFC-EE1DA8DABD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4" name="AutoShape 36">
          <a:extLst>
            <a:ext uri="{FF2B5EF4-FFF2-40B4-BE49-F238E27FC236}">
              <a16:creationId xmlns:a16="http://schemas.microsoft.com/office/drawing/2014/main" id="{6809A5FF-3E05-4B31-938D-33895880C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5" name="AutoShape 37">
          <a:extLst>
            <a:ext uri="{FF2B5EF4-FFF2-40B4-BE49-F238E27FC236}">
              <a16:creationId xmlns:a16="http://schemas.microsoft.com/office/drawing/2014/main" id="{D3485805-1C29-4C70-8DA8-2A46CC24F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6" name="AutoShape 39">
          <a:extLst>
            <a:ext uri="{FF2B5EF4-FFF2-40B4-BE49-F238E27FC236}">
              <a16:creationId xmlns:a16="http://schemas.microsoft.com/office/drawing/2014/main" id="{E2FE31B3-1669-4805-9828-48CB1DB99101}"/>
            </a:ext>
          </a:extLst>
        </xdr:cNvPr>
        <xdr:cNvSpPr>
          <a:spLocks noChangeAspect="1" noChangeArrowheads="1"/>
        </xdr:cNvSpPr>
      </xdr:nvSpPr>
      <xdr:spPr bwMode="auto">
        <a:xfrm>
          <a:off x="0" y="476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7" name="AutoShape 40">
          <a:extLst>
            <a:ext uri="{FF2B5EF4-FFF2-40B4-BE49-F238E27FC236}">
              <a16:creationId xmlns:a16="http://schemas.microsoft.com/office/drawing/2014/main" id="{18288174-6985-4EB4-BB0E-8713FE1AF2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8" name="AutoShape 41">
          <a:extLst>
            <a:ext uri="{FF2B5EF4-FFF2-40B4-BE49-F238E27FC236}">
              <a16:creationId xmlns:a16="http://schemas.microsoft.com/office/drawing/2014/main" id="{9413937B-8930-4B9F-AA0E-9C17E90B20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9" name="AutoShape 42">
          <a:extLst>
            <a:ext uri="{FF2B5EF4-FFF2-40B4-BE49-F238E27FC236}">
              <a16:creationId xmlns:a16="http://schemas.microsoft.com/office/drawing/2014/main" id="{20D7D59C-0C4F-4C02-9917-5B0EE65DD8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0" name="AutoShape 43">
          <a:extLst>
            <a:ext uri="{FF2B5EF4-FFF2-40B4-BE49-F238E27FC236}">
              <a16:creationId xmlns:a16="http://schemas.microsoft.com/office/drawing/2014/main" id="{820C66A1-6D19-4E56-8A82-4EE12D096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1" name="AutoShape 44">
          <a:extLst>
            <a:ext uri="{FF2B5EF4-FFF2-40B4-BE49-F238E27FC236}">
              <a16:creationId xmlns:a16="http://schemas.microsoft.com/office/drawing/2014/main" id="{85ED2E73-0F79-48E6-B145-7B097A1F97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2" name="AutoShape 45">
          <a:extLst>
            <a:ext uri="{FF2B5EF4-FFF2-40B4-BE49-F238E27FC236}">
              <a16:creationId xmlns:a16="http://schemas.microsoft.com/office/drawing/2014/main" id="{974A68F2-F401-4745-A383-736F98FEC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3" name="AutoShape 46">
          <a:extLst>
            <a:ext uri="{FF2B5EF4-FFF2-40B4-BE49-F238E27FC236}">
              <a16:creationId xmlns:a16="http://schemas.microsoft.com/office/drawing/2014/main" id="{2A40B6A7-E25D-4648-915C-598E228A2FA4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4" name="AutoShape 47">
          <a:extLst>
            <a:ext uri="{FF2B5EF4-FFF2-40B4-BE49-F238E27FC236}">
              <a16:creationId xmlns:a16="http://schemas.microsoft.com/office/drawing/2014/main" id="{B0596FA1-45F3-4781-B7AA-BDB21D591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5" name="AutoShape 48">
          <a:extLst>
            <a:ext uri="{FF2B5EF4-FFF2-40B4-BE49-F238E27FC236}">
              <a16:creationId xmlns:a16="http://schemas.microsoft.com/office/drawing/2014/main" id="{EA9952A5-B6ED-40BD-8D0F-BA0D7B9A68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6" name="AutoShape 49">
          <a:extLst>
            <a:ext uri="{FF2B5EF4-FFF2-40B4-BE49-F238E27FC236}">
              <a16:creationId xmlns:a16="http://schemas.microsoft.com/office/drawing/2014/main" id="{D1CC7CF9-1713-448E-9883-B8AF7231AA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7" name="AutoShape 50">
          <a:extLst>
            <a:ext uri="{FF2B5EF4-FFF2-40B4-BE49-F238E27FC236}">
              <a16:creationId xmlns:a16="http://schemas.microsoft.com/office/drawing/2014/main" id="{BD660B74-5C11-486F-B7AD-B10AA1A314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8" name="AutoShape 51">
          <a:extLst>
            <a:ext uri="{FF2B5EF4-FFF2-40B4-BE49-F238E27FC236}">
              <a16:creationId xmlns:a16="http://schemas.microsoft.com/office/drawing/2014/main" id="{7DB63338-A2BA-47A8-B81D-51EC6DF07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9" name="AutoShape 52">
          <a:extLst>
            <a:ext uri="{FF2B5EF4-FFF2-40B4-BE49-F238E27FC236}">
              <a16:creationId xmlns:a16="http://schemas.microsoft.com/office/drawing/2014/main" id="{4148F016-0A1A-43BF-A7B3-A7EA09C93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0" name="AutoShape 53">
          <a:extLst>
            <a:ext uri="{FF2B5EF4-FFF2-40B4-BE49-F238E27FC236}">
              <a16:creationId xmlns:a16="http://schemas.microsoft.com/office/drawing/2014/main" id="{15C2F007-9BF7-4ABA-A37C-A90C937141D9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1" name="AutoShape 54">
          <a:extLst>
            <a:ext uri="{FF2B5EF4-FFF2-40B4-BE49-F238E27FC236}">
              <a16:creationId xmlns:a16="http://schemas.microsoft.com/office/drawing/2014/main" id="{89E3A701-BC11-42CE-AE26-C168606839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2" name="AutoShape 55">
          <a:extLst>
            <a:ext uri="{FF2B5EF4-FFF2-40B4-BE49-F238E27FC236}">
              <a16:creationId xmlns:a16="http://schemas.microsoft.com/office/drawing/2014/main" id="{C685F890-5924-40BE-B705-E1D7537ED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3" name="AutoShape 56">
          <a:extLst>
            <a:ext uri="{FF2B5EF4-FFF2-40B4-BE49-F238E27FC236}">
              <a16:creationId xmlns:a16="http://schemas.microsoft.com/office/drawing/2014/main" id="{64810035-7833-4479-8CA2-93628391E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" name="AutoShape 57">
          <a:extLst>
            <a:ext uri="{FF2B5EF4-FFF2-40B4-BE49-F238E27FC236}">
              <a16:creationId xmlns:a16="http://schemas.microsoft.com/office/drawing/2014/main" id="{3CCF5AD5-46B4-4FAD-93B2-04435BEBC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5" name="AutoShape 58">
          <a:extLst>
            <a:ext uri="{FF2B5EF4-FFF2-40B4-BE49-F238E27FC236}">
              <a16:creationId xmlns:a16="http://schemas.microsoft.com/office/drawing/2014/main" id="{430C053D-9537-45AA-9DCF-0DBF77227C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6" name="AutoShape 59">
          <a:extLst>
            <a:ext uri="{FF2B5EF4-FFF2-40B4-BE49-F238E27FC236}">
              <a16:creationId xmlns:a16="http://schemas.microsoft.com/office/drawing/2014/main" id="{43207733-9CBC-4ACD-BC32-438566889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7" name="AutoShape 60">
          <a:extLst>
            <a:ext uri="{FF2B5EF4-FFF2-40B4-BE49-F238E27FC236}">
              <a16:creationId xmlns:a16="http://schemas.microsoft.com/office/drawing/2014/main" id="{3E2815C8-F244-42B9-AB0A-B9D32057E40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8" name="AutoShape 61">
          <a:extLst>
            <a:ext uri="{FF2B5EF4-FFF2-40B4-BE49-F238E27FC236}">
              <a16:creationId xmlns:a16="http://schemas.microsoft.com/office/drawing/2014/main" id="{DECCEF3A-6323-4D0F-955D-D867B9E61C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9" name="AutoShape 62">
          <a:extLst>
            <a:ext uri="{FF2B5EF4-FFF2-40B4-BE49-F238E27FC236}">
              <a16:creationId xmlns:a16="http://schemas.microsoft.com/office/drawing/2014/main" id="{ABF5E1D9-6C55-4971-97BB-AC0ECB23D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0" name="AutoShape 63">
          <a:extLst>
            <a:ext uri="{FF2B5EF4-FFF2-40B4-BE49-F238E27FC236}">
              <a16:creationId xmlns:a16="http://schemas.microsoft.com/office/drawing/2014/main" id="{F0CE85F9-564F-43CC-9AC3-086D95E049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" name="AutoShape 64">
          <a:extLst>
            <a:ext uri="{FF2B5EF4-FFF2-40B4-BE49-F238E27FC236}">
              <a16:creationId xmlns:a16="http://schemas.microsoft.com/office/drawing/2014/main" id="{95D8DC37-2E55-47F5-B856-BFC2AB8F1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2" name="AutoShape 65">
          <a:extLst>
            <a:ext uri="{FF2B5EF4-FFF2-40B4-BE49-F238E27FC236}">
              <a16:creationId xmlns:a16="http://schemas.microsoft.com/office/drawing/2014/main" id="{E4E057FF-6498-4A88-A6DD-27460629ED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3" name="AutoShape 66">
          <a:extLst>
            <a:ext uri="{FF2B5EF4-FFF2-40B4-BE49-F238E27FC236}">
              <a16:creationId xmlns:a16="http://schemas.microsoft.com/office/drawing/2014/main" id="{43721016-2D70-4A62-A955-CD0B7A3537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4" name="AutoShape 67">
          <a:extLst>
            <a:ext uri="{FF2B5EF4-FFF2-40B4-BE49-F238E27FC236}">
              <a16:creationId xmlns:a16="http://schemas.microsoft.com/office/drawing/2014/main" id="{46341230-8293-45F1-86C7-C68232F80EA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5" name="AutoShape 68">
          <a:extLst>
            <a:ext uri="{FF2B5EF4-FFF2-40B4-BE49-F238E27FC236}">
              <a16:creationId xmlns:a16="http://schemas.microsoft.com/office/drawing/2014/main" id="{AB092A20-ACD4-47BC-8A2D-B67C85843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6" name="AutoShape 69">
          <a:extLst>
            <a:ext uri="{FF2B5EF4-FFF2-40B4-BE49-F238E27FC236}">
              <a16:creationId xmlns:a16="http://schemas.microsoft.com/office/drawing/2014/main" id="{72F17891-A1E3-43F8-BF86-982D8AA125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7" name="AutoShape 70">
          <a:extLst>
            <a:ext uri="{FF2B5EF4-FFF2-40B4-BE49-F238E27FC236}">
              <a16:creationId xmlns:a16="http://schemas.microsoft.com/office/drawing/2014/main" id="{11D46967-49C0-4D80-A9A6-9F337C4FF3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8" name="AutoShape 71">
          <a:extLst>
            <a:ext uri="{FF2B5EF4-FFF2-40B4-BE49-F238E27FC236}">
              <a16:creationId xmlns:a16="http://schemas.microsoft.com/office/drawing/2014/main" id="{42023861-AFA8-42BA-901C-31C597801B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9" name="AutoShape 72">
          <a:extLst>
            <a:ext uri="{FF2B5EF4-FFF2-40B4-BE49-F238E27FC236}">
              <a16:creationId xmlns:a16="http://schemas.microsoft.com/office/drawing/2014/main" id="{8A655A76-72B9-4973-BF33-CCA080CD00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0" name="AutoShape 73">
          <a:extLst>
            <a:ext uri="{FF2B5EF4-FFF2-40B4-BE49-F238E27FC236}">
              <a16:creationId xmlns:a16="http://schemas.microsoft.com/office/drawing/2014/main" id="{A188F522-0AF7-49AF-9627-0B16C76E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1" name="AutoShape 74">
          <a:extLst>
            <a:ext uri="{FF2B5EF4-FFF2-40B4-BE49-F238E27FC236}">
              <a16:creationId xmlns:a16="http://schemas.microsoft.com/office/drawing/2014/main" id="{0855CE38-8A3A-4DE6-9172-DA63324E433A}"/>
            </a:ext>
          </a:extLst>
        </xdr:cNvPr>
        <xdr:cNvSpPr>
          <a:spLocks noChangeAspect="1" noChangeArrowheads="1"/>
        </xdr:cNvSpPr>
      </xdr:nvSpPr>
      <xdr:spPr bwMode="auto">
        <a:xfrm>
          <a:off x="0" y="1047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2" name="AutoShape 75">
          <a:extLst>
            <a:ext uri="{FF2B5EF4-FFF2-40B4-BE49-F238E27FC236}">
              <a16:creationId xmlns:a16="http://schemas.microsoft.com/office/drawing/2014/main" id="{466CD870-A4D5-45E8-88E2-F47C8601B4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3" name="AutoShape 76">
          <a:extLst>
            <a:ext uri="{FF2B5EF4-FFF2-40B4-BE49-F238E27FC236}">
              <a16:creationId xmlns:a16="http://schemas.microsoft.com/office/drawing/2014/main" id="{5E0349EE-361C-4D12-A7B0-84103DED5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4" name="AutoShape 77">
          <a:extLst>
            <a:ext uri="{FF2B5EF4-FFF2-40B4-BE49-F238E27FC236}">
              <a16:creationId xmlns:a16="http://schemas.microsoft.com/office/drawing/2014/main" id="{2F974F19-17F1-4594-87FC-28EA7E79FF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5" name="AutoShape 78">
          <a:extLst>
            <a:ext uri="{FF2B5EF4-FFF2-40B4-BE49-F238E27FC236}">
              <a16:creationId xmlns:a16="http://schemas.microsoft.com/office/drawing/2014/main" id="{67B7B478-51F0-4C4D-A6D3-A489C233FC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6" name="AutoShape 79">
          <a:extLst>
            <a:ext uri="{FF2B5EF4-FFF2-40B4-BE49-F238E27FC236}">
              <a16:creationId xmlns:a16="http://schemas.microsoft.com/office/drawing/2014/main" id="{484244FE-D6E5-4025-83E2-560287598B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7" name="AutoShape 80">
          <a:extLst>
            <a:ext uri="{FF2B5EF4-FFF2-40B4-BE49-F238E27FC236}">
              <a16:creationId xmlns:a16="http://schemas.microsoft.com/office/drawing/2014/main" id="{AA24ED46-7C13-401E-B511-165FAC574C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8" name="AutoShape 81">
          <a:extLst>
            <a:ext uri="{FF2B5EF4-FFF2-40B4-BE49-F238E27FC236}">
              <a16:creationId xmlns:a16="http://schemas.microsoft.com/office/drawing/2014/main" id="{1FA1B348-3D9A-43E5-9866-0977B25F41FB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9" name="AutoShape 82">
          <a:extLst>
            <a:ext uri="{FF2B5EF4-FFF2-40B4-BE49-F238E27FC236}">
              <a16:creationId xmlns:a16="http://schemas.microsoft.com/office/drawing/2014/main" id="{FB2329DF-7FBE-4C2D-8EDA-04686D762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0" name="AutoShape 83">
          <a:extLst>
            <a:ext uri="{FF2B5EF4-FFF2-40B4-BE49-F238E27FC236}">
              <a16:creationId xmlns:a16="http://schemas.microsoft.com/office/drawing/2014/main" id="{DCF51219-D351-4C6B-BBCD-BE30E49C47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1" name="AutoShape 84">
          <a:extLst>
            <a:ext uri="{FF2B5EF4-FFF2-40B4-BE49-F238E27FC236}">
              <a16:creationId xmlns:a16="http://schemas.microsoft.com/office/drawing/2014/main" id="{8A8D85CF-A2ED-4209-B202-ACE3EDC54A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2" name="AutoShape 85">
          <a:extLst>
            <a:ext uri="{FF2B5EF4-FFF2-40B4-BE49-F238E27FC236}">
              <a16:creationId xmlns:a16="http://schemas.microsoft.com/office/drawing/2014/main" id="{F9C7D738-B2C5-400B-BCC0-5E4E9FCC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3" name="AutoShape 86">
          <a:extLst>
            <a:ext uri="{FF2B5EF4-FFF2-40B4-BE49-F238E27FC236}">
              <a16:creationId xmlns:a16="http://schemas.microsoft.com/office/drawing/2014/main" id="{D25DE5F9-B6B4-4765-A582-A7B426244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4" name="AutoShape 87">
          <a:extLst>
            <a:ext uri="{FF2B5EF4-FFF2-40B4-BE49-F238E27FC236}">
              <a16:creationId xmlns:a16="http://schemas.microsoft.com/office/drawing/2014/main" id="{F2077484-82B6-4890-9281-38E05EC43A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5" name="AutoShape 88">
          <a:extLst>
            <a:ext uri="{FF2B5EF4-FFF2-40B4-BE49-F238E27FC236}">
              <a16:creationId xmlns:a16="http://schemas.microsoft.com/office/drawing/2014/main" id="{1D95E933-B72E-45B2-98B5-52AB9DDC751B}"/>
            </a:ext>
          </a:extLst>
        </xdr:cNvPr>
        <xdr:cNvSpPr>
          <a:spLocks noChangeAspect="1" noChangeArrowheads="1"/>
        </xdr:cNvSpPr>
      </xdr:nvSpPr>
      <xdr:spPr bwMode="auto">
        <a:xfrm>
          <a:off x="0" y="1504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6" name="AutoShape 89">
          <a:extLst>
            <a:ext uri="{FF2B5EF4-FFF2-40B4-BE49-F238E27FC236}">
              <a16:creationId xmlns:a16="http://schemas.microsoft.com/office/drawing/2014/main" id="{CC328692-75FD-4447-AE0F-54E2B23C1B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7" name="AutoShape 90">
          <a:extLst>
            <a:ext uri="{FF2B5EF4-FFF2-40B4-BE49-F238E27FC236}">
              <a16:creationId xmlns:a16="http://schemas.microsoft.com/office/drawing/2014/main" id="{50780E3C-AEAF-4FC7-B174-D77A5367FB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8" name="AutoShape 91">
          <a:extLst>
            <a:ext uri="{FF2B5EF4-FFF2-40B4-BE49-F238E27FC236}">
              <a16:creationId xmlns:a16="http://schemas.microsoft.com/office/drawing/2014/main" id="{BFD57336-53F1-4270-8E5E-2D2EA8D905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9" name="AutoShape 92">
          <a:extLst>
            <a:ext uri="{FF2B5EF4-FFF2-40B4-BE49-F238E27FC236}">
              <a16:creationId xmlns:a16="http://schemas.microsoft.com/office/drawing/2014/main" id="{FC1691C3-9C45-4E52-B00C-C06D34B727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0" name="AutoShape 93">
          <a:extLst>
            <a:ext uri="{FF2B5EF4-FFF2-40B4-BE49-F238E27FC236}">
              <a16:creationId xmlns:a16="http://schemas.microsoft.com/office/drawing/2014/main" id="{83203AD3-7D06-46B4-B111-0BFBFB53E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1" name="AutoShape 94">
          <a:extLst>
            <a:ext uri="{FF2B5EF4-FFF2-40B4-BE49-F238E27FC236}">
              <a16:creationId xmlns:a16="http://schemas.microsoft.com/office/drawing/2014/main" id="{70CB4FFD-FF15-40AA-A878-2DF081E829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2" name="AutoShape 95">
          <a:extLst>
            <a:ext uri="{FF2B5EF4-FFF2-40B4-BE49-F238E27FC236}">
              <a16:creationId xmlns:a16="http://schemas.microsoft.com/office/drawing/2014/main" id="{E29C808B-D883-4CE3-A6AA-9FE0B80E5C04}"/>
            </a:ext>
          </a:extLst>
        </xdr:cNvPr>
        <xdr:cNvSpPr>
          <a:spLocks noChangeAspect="1" noChangeArrowheads="1"/>
        </xdr:cNvSpPr>
      </xdr:nvSpPr>
      <xdr:spPr bwMode="auto">
        <a:xfrm>
          <a:off x="0" y="184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3" name="AutoShape 96">
          <a:extLst>
            <a:ext uri="{FF2B5EF4-FFF2-40B4-BE49-F238E27FC236}">
              <a16:creationId xmlns:a16="http://schemas.microsoft.com/office/drawing/2014/main" id="{75A5E746-BE5B-4838-A658-4CF7221922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4" name="AutoShape 97">
          <a:extLst>
            <a:ext uri="{FF2B5EF4-FFF2-40B4-BE49-F238E27FC236}">
              <a16:creationId xmlns:a16="http://schemas.microsoft.com/office/drawing/2014/main" id="{6CCD5595-855F-496D-8155-8E1FF154FF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5" name="AutoShape 98">
          <a:extLst>
            <a:ext uri="{FF2B5EF4-FFF2-40B4-BE49-F238E27FC236}">
              <a16:creationId xmlns:a16="http://schemas.microsoft.com/office/drawing/2014/main" id="{28C5841D-799D-4F86-9C45-78979FFC5F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6" name="AutoShape 99">
          <a:extLst>
            <a:ext uri="{FF2B5EF4-FFF2-40B4-BE49-F238E27FC236}">
              <a16:creationId xmlns:a16="http://schemas.microsoft.com/office/drawing/2014/main" id="{580DBDF1-4247-4AB8-87E0-205EC65BF7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7" name="AutoShape 100">
          <a:extLst>
            <a:ext uri="{FF2B5EF4-FFF2-40B4-BE49-F238E27FC236}">
              <a16:creationId xmlns:a16="http://schemas.microsoft.com/office/drawing/2014/main" id="{66505CC3-3662-438B-BA56-6DDC0238BA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8" name="AutoShape 101">
          <a:extLst>
            <a:ext uri="{FF2B5EF4-FFF2-40B4-BE49-F238E27FC236}">
              <a16:creationId xmlns:a16="http://schemas.microsoft.com/office/drawing/2014/main" id="{7FF37A8D-AF6A-4078-A671-42DDD94CC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9" name="AutoShape 102">
          <a:extLst>
            <a:ext uri="{FF2B5EF4-FFF2-40B4-BE49-F238E27FC236}">
              <a16:creationId xmlns:a16="http://schemas.microsoft.com/office/drawing/2014/main" id="{4D3C51F1-3B21-45F2-B228-49465FAB75A0}"/>
            </a:ext>
          </a:extLst>
        </xdr:cNvPr>
        <xdr:cNvSpPr>
          <a:spLocks noChangeAspect="1" noChangeArrowheads="1"/>
        </xdr:cNvSpPr>
      </xdr:nvSpPr>
      <xdr:spPr bwMode="auto">
        <a:xfrm>
          <a:off x="0" y="196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0" name="AutoShape 103">
          <a:extLst>
            <a:ext uri="{FF2B5EF4-FFF2-40B4-BE49-F238E27FC236}">
              <a16:creationId xmlns:a16="http://schemas.microsoft.com/office/drawing/2014/main" id="{139A92EF-0C40-42CB-A560-01106285F3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1" name="AutoShape 104">
          <a:extLst>
            <a:ext uri="{FF2B5EF4-FFF2-40B4-BE49-F238E27FC236}">
              <a16:creationId xmlns:a16="http://schemas.microsoft.com/office/drawing/2014/main" id="{1D876D1F-8F1D-4012-BD52-ECADE28521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2" name="AutoShape 105">
          <a:extLst>
            <a:ext uri="{FF2B5EF4-FFF2-40B4-BE49-F238E27FC236}">
              <a16:creationId xmlns:a16="http://schemas.microsoft.com/office/drawing/2014/main" id="{30C1EDF5-A018-4486-990F-C0D866AF3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3" name="AutoShape 106">
          <a:extLst>
            <a:ext uri="{FF2B5EF4-FFF2-40B4-BE49-F238E27FC236}">
              <a16:creationId xmlns:a16="http://schemas.microsoft.com/office/drawing/2014/main" id="{B6664689-20F1-4EBC-B7D1-28E4FF3347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4" name="AutoShape 107">
          <a:extLst>
            <a:ext uri="{FF2B5EF4-FFF2-40B4-BE49-F238E27FC236}">
              <a16:creationId xmlns:a16="http://schemas.microsoft.com/office/drawing/2014/main" id="{B19F4714-219D-4F0B-BE7A-B712842240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5" name="AutoShape 108">
          <a:extLst>
            <a:ext uri="{FF2B5EF4-FFF2-40B4-BE49-F238E27FC236}">
              <a16:creationId xmlns:a16="http://schemas.microsoft.com/office/drawing/2014/main" id="{BE954D16-8705-4192-9B50-A57819BE60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6" name="AutoShape 109">
          <a:extLst>
            <a:ext uri="{FF2B5EF4-FFF2-40B4-BE49-F238E27FC236}">
              <a16:creationId xmlns:a16="http://schemas.microsoft.com/office/drawing/2014/main" id="{538E0546-CA17-43D7-8831-9A36F6E1349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7" name="AutoShape 110">
          <a:extLst>
            <a:ext uri="{FF2B5EF4-FFF2-40B4-BE49-F238E27FC236}">
              <a16:creationId xmlns:a16="http://schemas.microsoft.com/office/drawing/2014/main" id="{3EFF62D9-9891-4CE3-9488-A19642953F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8" name="AutoShape 111">
          <a:extLst>
            <a:ext uri="{FF2B5EF4-FFF2-40B4-BE49-F238E27FC236}">
              <a16:creationId xmlns:a16="http://schemas.microsoft.com/office/drawing/2014/main" id="{D4AEB0C5-B140-4CA3-A91C-7ACFEC361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9" name="AutoShape 112">
          <a:extLst>
            <a:ext uri="{FF2B5EF4-FFF2-40B4-BE49-F238E27FC236}">
              <a16:creationId xmlns:a16="http://schemas.microsoft.com/office/drawing/2014/main" id="{FBF33856-E616-4D6B-9292-3B915831D3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0" name="AutoShape 113">
          <a:extLst>
            <a:ext uri="{FF2B5EF4-FFF2-40B4-BE49-F238E27FC236}">
              <a16:creationId xmlns:a16="http://schemas.microsoft.com/office/drawing/2014/main" id="{35C6E817-2A4D-48C4-A5B1-911EF0FC36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1" name="AutoShape 114">
          <a:extLst>
            <a:ext uri="{FF2B5EF4-FFF2-40B4-BE49-F238E27FC236}">
              <a16:creationId xmlns:a16="http://schemas.microsoft.com/office/drawing/2014/main" id="{CD9908F2-746D-4E5F-8872-025CB9FB1D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2" name="AutoShape 115">
          <a:extLst>
            <a:ext uri="{FF2B5EF4-FFF2-40B4-BE49-F238E27FC236}">
              <a16:creationId xmlns:a16="http://schemas.microsoft.com/office/drawing/2014/main" id="{2B18A443-3636-40FB-A066-7A61DF5472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3" name="AutoShape 116">
          <a:extLst>
            <a:ext uri="{FF2B5EF4-FFF2-40B4-BE49-F238E27FC236}">
              <a16:creationId xmlns:a16="http://schemas.microsoft.com/office/drawing/2014/main" id="{9BEC2164-0A4F-436E-8C9A-DFE638696F7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4" name="AutoShape 117">
          <a:extLst>
            <a:ext uri="{FF2B5EF4-FFF2-40B4-BE49-F238E27FC236}">
              <a16:creationId xmlns:a16="http://schemas.microsoft.com/office/drawing/2014/main" id="{019B2A10-1889-4718-92E9-4FC1D95F5A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5" name="AutoShape 118">
          <a:extLst>
            <a:ext uri="{FF2B5EF4-FFF2-40B4-BE49-F238E27FC236}">
              <a16:creationId xmlns:a16="http://schemas.microsoft.com/office/drawing/2014/main" id="{864BE408-1575-4368-9B6C-09CB3B52BE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6" name="AutoShape 119">
          <a:extLst>
            <a:ext uri="{FF2B5EF4-FFF2-40B4-BE49-F238E27FC236}">
              <a16:creationId xmlns:a16="http://schemas.microsoft.com/office/drawing/2014/main" id="{DC0DF579-467B-4227-B84C-25CEA0DC9F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7" name="AutoShape 120">
          <a:extLst>
            <a:ext uri="{FF2B5EF4-FFF2-40B4-BE49-F238E27FC236}">
              <a16:creationId xmlns:a16="http://schemas.microsoft.com/office/drawing/2014/main" id="{1C225CC9-50F7-4DFB-B640-A5E5174BDF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8" name="AutoShape 121">
          <a:extLst>
            <a:ext uri="{FF2B5EF4-FFF2-40B4-BE49-F238E27FC236}">
              <a16:creationId xmlns:a16="http://schemas.microsoft.com/office/drawing/2014/main" id="{B7F4BA03-B50D-4585-8B4A-F2DAC5810D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9" name="AutoShape 122">
          <a:extLst>
            <a:ext uri="{FF2B5EF4-FFF2-40B4-BE49-F238E27FC236}">
              <a16:creationId xmlns:a16="http://schemas.microsoft.com/office/drawing/2014/main" id="{68350C84-5035-4045-A084-D5157E2CD3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0" name="AutoShape 123">
          <a:extLst>
            <a:ext uri="{FF2B5EF4-FFF2-40B4-BE49-F238E27FC236}">
              <a16:creationId xmlns:a16="http://schemas.microsoft.com/office/drawing/2014/main" id="{AA1758E4-8118-444F-84B9-7E6382FF8F05}"/>
            </a:ext>
          </a:extLst>
        </xdr:cNvPr>
        <xdr:cNvSpPr>
          <a:spLocks noChangeAspect="1" noChangeArrowheads="1"/>
        </xdr:cNvSpPr>
      </xdr:nvSpPr>
      <xdr:spPr bwMode="auto">
        <a:xfrm>
          <a:off x="0" y="2305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1" name="AutoShape 124">
          <a:extLst>
            <a:ext uri="{FF2B5EF4-FFF2-40B4-BE49-F238E27FC236}">
              <a16:creationId xmlns:a16="http://schemas.microsoft.com/office/drawing/2014/main" id="{82D0FE86-CA7E-471C-9D3B-7DE4EAA883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2" name="AutoShape 125">
          <a:extLst>
            <a:ext uri="{FF2B5EF4-FFF2-40B4-BE49-F238E27FC236}">
              <a16:creationId xmlns:a16="http://schemas.microsoft.com/office/drawing/2014/main" id="{C600A79F-1052-4E85-B519-6FE43FF5B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3" name="AutoShape 126">
          <a:extLst>
            <a:ext uri="{FF2B5EF4-FFF2-40B4-BE49-F238E27FC236}">
              <a16:creationId xmlns:a16="http://schemas.microsoft.com/office/drawing/2014/main" id="{92438D77-C344-4965-ACAC-DF8E6754BD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4" name="AutoShape 127">
          <a:extLst>
            <a:ext uri="{FF2B5EF4-FFF2-40B4-BE49-F238E27FC236}">
              <a16:creationId xmlns:a16="http://schemas.microsoft.com/office/drawing/2014/main" id="{8B7DF8B6-E0C5-4E35-845B-991FDFAEDE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5" name="AutoShape 128">
          <a:extLst>
            <a:ext uri="{FF2B5EF4-FFF2-40B4-BE49-F238E27FC236}">
              <a16:creationId xmlns:a16="http://schemas.microsoft.com/office/drawing/2014/main" id="{3D1610F9-D415-4442-8667-2CE014F00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6" name="AutoShape 129">
          <a:extLst>
            <a:ext uri="{FF2B5EF4-FFF2-40B4-BE49-F238E27FC236}">
              <a16:creationId xmlns:a16="http://schemas.microsoft.com/office/drawing/2014/main" id="{065C1AD0-6B47-443C-ABA2-C0FE274897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7" name="AutoShape 130">
          <a:extLst>
            <a:ext uri="{FF2B5EF4-FFF2-40B4-BE49-F238E27FC236}">
              <a16:creationId xmlns:a16="http://schemas.microsoft.com/office/drawing/2014/main" id="{C02648DA-2CCB-434A-BBE3-4F678AFA00D7}"/>
            </a:ext>
          </a:extLst>
        </xdr:cNvPr>
        <xdr:cNvSpPr>
          <a:spLocks noChangeAspect="1" noChangeArrowheads="1"/>
        </xdr:cNvSpPr>
      </xdr:nvSpPr>
      <xdr:spPr bwMode="auto">
        <a:xfrm>
          <a:off x="0" y="2419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8" name="AutoShape 131">
          <a:extLst>
            <a:ext uri="{FF2B5EF4-FFF2-40B4-BE49-F238E27FC236}">
              <a16:creationId xmlns:a16="http://schemas.microsoft.com/office/drawing/2014/main" id="{81CE5546-1086-47C0-9F74-E32EAA65DF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9" name="AutoShape 132">
          <a:extLst>
            <a:ext uri="{FF2B5EF4-FFF2-40B4-BE49-F238E27FC236}">
              <a16:creationId xmlns:a16="http://schemas.microsoft.com/office/drawing/2014/main" id="{DC3FD4B5-BB68-4964-9AA5-66D4419A8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0" name="AutoShape 133">
          <a:extLst>
            <a:ext uri="{FF2B5EF4-FFF2-40B4-BE49-F238E27FC236}">
              <a16:creationId xmlns:a16="http://schemas.microsoft.com/office/drawing/2014/main" id="{6791F146-0EC9-48F3-940B-EA0205CFA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1" name="AutoShape 134">
          <a:extLst>
            <a:ext uri="{FF2B5EF4-FFF2-40B4-BE49-F238E27FC236}">
              <a16:creationId xmlns:a16="http://schemas.microsoft.com/office/drawing/2014/main" id="{DD87F13F-2C89-445C-BD9F-185F8A15AF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2" name="AutoShape 135">
          <a:extLst>
            <a:ext uri="{FF2B5EF4-FFF2-40B4-BE49-F238E27FC236}">
              <a16:creationId xmlns:a16="http://schemas.microsoft.com/office/drawing/2014/main" id="{4D213EE8-E911-4593-A4AB-994AB2FA1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3" name="AutoShape 136">
          <a:extLst>
            <a:ext uri="{FF2B5EF4-FFF2-40B4-BE49-F238E27FC236}">
              <a16:creationId xmlns:a16="http://schemas.microsoft.com/office/drawing/2014/main" id="{DBC22CC2-B9E8-4733-8DAF-BD3D92E67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4" name="AutoShape 137">
          <a:extLst>
            <a:ext uri="{FF2B5EF4-FFF2-40B4-BE49-F238E27FC236}">
              <a16:creationId xmlns:a16="http://schemas.microsoft.com/office/drawing/2014/main" id="{09A88D87-4769-4289-9768-B5C2FA0926A5}"/>
            </a:ext>
          </a:extLst>
        </xdr:cNvPr>
        <xdr:cNvSpPr>
          <a:spLocks noChangeAspect="1" noChangeArrowheads="1"/>
        </xdr:cNvSpPr>
      </xdr:nvSpPr>
      <xdr:spPr bwMode="auto">
        <a:xfrm>
          <a:off x="0" y="2533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5" name="AutoShape 138">
          <a:extLst>
            <a:ext uri="{FF2B5EF4-FFF2-40B4-BE49-F238E27FC236}">
              <a16:creationId xmlns:a16="http://schemas.microsoft.com/office/drawing/2014/main" id="{6610490E-7F83-4384-AB23-5D17DA86D6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6" name="AutoShape 139">
          <a:extLst>
            <a:ext uri="{FF2B5EF4-FFF2-40B4-BE49-F238E27FC236}">
              <a16:creationId xmlns:a16="http://schemas.microsoft.com/office/drawing/2014/main" id="{13C6E9F7-F109-4A20-B47B-C355E5C6D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7" name="AutoShape 140">
          <a:extLst>
            <a:ext uri="{FF2B5EF4-FFF2-40B4-BE49-F238E27FC236}">
              <a16:creationId xmlns:a16="http://schemas.microsoft.com/office/drawing/2014/main" id="{DE2C2733-F21F-4F70-A539-9703A0B0F3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8" name="AutoShape 141">
          <a:extLst>
            <a:ext uri="{FF2B5EF4-FFF2-40B4-BE49-F238E27FC236}">
              <a16:creationId xmlns:a16="http://schemas.microsoft.com/office/drawing/2014/main" id="{7DCC34B7-5575-4FA8-8B88-54EC3B3104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9" name="AutoShape 142">
          <a:extLst>
            <a:ext uri="{FF2B5EF4-FFF2-40B4-BE49-F238E27FC236}">
              <a16:creationId xmlns:a16="http://schemas.microsoft.com/office/drawing/2014/main" id="{CC9369E1-DA92-42E0-A1F2-DE77B8E8A5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0" name="AutoShape 143">
          <a:extLst>
            <a:ext uri="{FF2B5EF4-FFF2-40B4-BE49-F238E27FC236}">
              <a16:creationId xmlns:a16="http://schemas.microsoft.com/office/drawing/2014/main" id="{91B9D846-8EBB-4F38-A64C-66556773E0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1" name="AutoShape 144">
          <a:extLst>
            <a:ext uri="{FF2B5EF4-FFF2-40B4-BE49-F238E27FC236}">
              <a16:creationId xmlns:a16="http://schemas.microsoft.com/office/drawing/2014/main" id="{B31423AB-98D9-4EA0-BE68-558C15402345}"/>
            </a:ext>
          </a:extLst>
        </xdr:cNvPr>
        <xdr:cNvSpPr>
          <a:spLocks noChangeAspect="1" noChangeArrowheads="1"/>
        </xdr:cNvSpPr>
      </xdr:nvSpPr>
      <xdr:spPr bwMode="auto">
        <a:xfrm>
          <a:off x="0" y="2647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2" name="AutoShape 145">
          <a:extLst>
            <a:ext uri="{FF2B5EF4-FFF2-40B4-BE49-F238E27FC236}">
              <a16:creationId xmlns:a16="http://schemas.microsoft.com/office/drawing/2014/main" id="{9ADB4491-D4B3-40BC-9A40-98BA3F0D76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3" name="AutoShape 146">
          <a:extLst>
            <a:ext uri="{FF2B5EF4-FFF2-40B4-BE49-F238E27FC236}">
              <a16:creationId xmlns:a16="http://schemas.microsoft.com/office/drawing/2014/main" id="{9913F795-8FBE-41D9-8AE5-DFDEA17A0A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4" name="AutoShape 147">
          <a:extLst>
            <a:ext uri="{FF2B5EF4-FFF2-40B4-BE49-F238E27FC236}">
              <a16:creationId xmlns:a16="http://schemas.microsoft.com/office/drawing/2014/main" id="{FDEB9E46-5973-46B6-BF71-F210800EB3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5" name="AutoShape 148">
          <a:extLst>
            <a:ext uri="{FF2B5EF4-FFF2-40B4-BE49-F238E27FC236}">
              <a16:creationId xmlns:a16="http://schemas.microsoft.com/office/drawing/2014/main" id="{81FD9D12-E98C-46D3-B2AE-21C34376AB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6" name="AutoShape 149">
          <a:extLst>
            <a:ext uri="{FF2B5EF4-FFF2-40B4-BE49-F238E27FC236}">
              <a16:creationId xmlns:a16="http://schemas.microsoft.com/office/drawing/2014/main" id="{3DD08ED8-C7E6-4400-8ABC-5FBDBD5ED7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7" name="AutoShape 150">
          <a:extLst>
            <a:ext uri="{FF2B5EF4-FFF2-40B4-BE49-F238E27FC236}">
              <a16:creationId xmlns:a16="http://schemas.microsoft.com/office/drawing/2014/main" id="{B42515D4-1B04-44A0-B48E-871544F5E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8" name="AutoShape 151">
          <a:extLst>
            <a:ext uri="{FF2B5EF4-FFF2-40B4-BE49-F238E27FC236}">
              <a16:creationId xmlns:a16="http://schemas.microsoft.com/office/drawing/2014/main" id="{C1800C59-A721-438E-B50B-9274E5A85689}"/>
            </a:ext>
          </a:extLst>
        </xdr:cNvPr>
        <xdr:cNvSpPr>
          <a:spLocks noChangeAspect="1" noChangeArrowheads="1"/>
        </xdr:cNvSpPr>
      </xdr:nvSpPr>
      <xdr:spPr bwMode="auto">
        <a:xfrm>
          <a:off x="0" y="2762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9" name="AutoShape 152">
          <a:extLst>
            <a:ext uri="{FF2B5EF4-FFF2-40B4-BE49-F238E27FC236}">
              <a16:creationId xmlns:a16="http://schemas.microsoft.com/office/drawing/2014/main" id="{58D5A099-B1AA-40DD-995A-63C6DA8F5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0" name="AutoShape 153">
          <a:extLst>
            <a:ext uri="{FF2B5EF4-FFF2-40B4-BE49-F238E27FC236}">
              <a16:creationId xmlns:a16="http://schemas.microsoft.com/office/drawing/2014/main" id="{6416A2FB-CCA3-43B8-A0AD-D5FB603EF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1" name="AutoShape 154">
          <a:extLst>
            <a:ext uri="{FF2B5EF4-FFF2-40B4-BE49-F238E27FC236}">
              <a16:creationId xmlns:a16="http://schemas.microsoft.com/office/drawing/2014/main" id="{724EE9D0-314D-4A62-9955-5D03901E38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2" name="AutoShape 155">
          <a:extLst>
            <a:ext uri="{FF2B5EF4-FFF2-40B4-BE49-F238E27FC236}">
              <a16:creationId xmlns:a16="http://schemas.microsoft.com/office/drawing/2014/main" id="{0509EC14-EB72-49C3-8156-62FA375703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3" name="AutoShape 156">
          <a:extLst>
            <a:ext uri="{FF2B5EF4-FFF2-40B4-BE49-F238E27FC236}">
              <a16:creationId xmlns:a16="http://schemas.microsoft.com/office/drawing/2014/main" id="{C057FAF9-03D1-4E71-97A5-7D0B4452A6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4" name="AutoShape 157">
          <a:extLst>
            <a:ext uri="{FF2B5EF4-FFF2-40B4-BE49-F238E27FC236}">
              <a16:creationId xmlns:a16="http://schemas.microsoft.com/office/drawing/2014/main" id="{00CB3E04-12F6-4160-8D31-E2FD1799E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5" name="AutoShape 158">
          <a:extLst>
            <a:ext uri="{FF2B5EF4-FFF2-40B4-BE49-F238E27FC236}">
              <a16:creationId xmlns:a16="http://schemas.microsoft.com/office/drawing/2014/main" id="{970CF01B-BF00-4D11-9770-0C0CD46CC22C}"/>
            </a:ext>
          </a:extLst>
        </xdr:cNvPr>
        <xdr:cNvSpPr>
          <a:spLocks noChangeAspect="1" noChangeArrowheads="1"/>
        </xdr:cNvSpPr>
      </xdr:nvSpPr>
      <xdr:spPr bwMode="auto">
        <a:xfrm>
          <a:off x="0" y="2876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6" name="AutoShape 159">
          <a:extLst>
            <a:ext uri="{FF2B5EF4-FFF2-40B4-BE49-F238E27FC236}">
              <a16:creationId xmlns:a16="http://schemas.microsoft.com/office/drawing/2014/main" id="{6AC1E09D-103A-4B9F-8187-A1D1AADAD1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7" name="AutoShape 160">
          <a:extLst>
            <a:ext uri="{FF2B5EF4-FFF2-40B4-BE49-F238E27FC236}">
              <a16:creationId xmlns:a16="http://schemas.microsoft.com/office/drawing/2014/main" id="{430D1362-C7EF-49D4-AD99-81F1BDEDD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8" name="AutoShape 161">
          <a:extLst>
            <a:ext uri="{FF2B5EF4-FFF2-40B4-BE49-F238E27FC236}">
              <a16:creationId xmlns:a16="http://schemas.microsoft.com/office/drawing/2014/main" id="{5190EC9A-CFD7-4073-A750-7F1C656203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9" name="AutoShape 162">
          <a:extLst>
            <a:ext uri="{FF2B5EF4-FFF2-40B4-BE49-F238E27FC236}">
              <a16:creationId xmlns:a16="http://schemas.microsoft.com/office/drawing/2014/main" id="{A21A0E15-DB70-407E-8BC0-86C00E20D3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0" name="AutoShape 163">
          <a:extLst>
            <a:ext uri="{FF2B5EF4-FFF2-40B4-BE49-F238E27FC236}">
              <a16:creationId xmlns:a16="http://schemas.microsoft.com/office/drawing/2014/main" id="{C7338BA0-A67A-4617-B2CA-EFA6C94B94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1" name="AutoShape 164">
          <a:extLst>
            <a:ext uri="{FF2B5EF4-FFF2-40B4-BE49-F238E27FC236}">
              <a16:creationId xmlns:a16="http://schemas.microsoft.com/office/drawing/2014/main" id="{068DF165-9CC5-4A72-9256-575D4F6DC8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2" name="AutoShape 165">
          <a:extLst>
            <a:ext uri="{FF2B5EF4-FFF2-40B4-BE49-F238E27FC236}">
              <a16:creationId xmlns:a16="http://schemas.microsoft.com/office/drawing/2014/main" id="{A9398990-C731-4D0A-A06C-072F0F99D942}"/>
            </a:ext>
          </a:extLst>
        </xdr:cNvPr>
        <xdr:cNvSpPr>
          <a:spLocks noChangeAspect="1" noChangeArrowheads="1"/>
        </xdr:cNvSpPr>
      </xdr:nvSpPr>
      <xdr:spPr bwMode="auto">
        <a:xfrm>
          <a:off x="0" y="2990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3" name="AutoShape 166">
          <a:extLst>
            <a:ext uri="{FF2B5EF4-FFF2-40B4-BE49-F238E27FC236}">
              <a16:creationId xmlns:a16="http://schemas.microsoft.com/office/drawing/2014/main" id="{7179ACC1-9388-416C-AF2D-C7359A068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4" name="AutoShape 167">
          <a:extLst>
            <a:ext uri="{FF2B5EF4-FFF2-40B4-BE49-F238E27FC236}">
              <a16:creationId xmlns:a16="http://schemas.microsoft.com/office/drawing/2014/main" id="{566A313C-5837-4DE4-8783-618CCDB3B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5" name="AutoShape 168">
          <a:extLst>
            <a:ext uri="{FF2B5EF4-FFF2-40B4-BE49-F238E27FC236}">
              <a16:creationId xmlns:a16="http://schemas.microsoft.com/office/drawing/2014/main" id="{ED0E5D01-9C33-46F9-9850-8AF499D72A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6" name="AutoShape 169">
          <a:extLst>
            <a:ext uri="{FF2B5EF4-FFF2-40B4-BE49-F238E27FC236}">
              <a16:creationId xmlns:a16="http://schemas.microsoft.com/office/drawing/2014/main" id="{555A8D0C-04D9-4282-9CC2-D3CB2FC08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7" name="AutoShape 170">
          <a:extLst>
            <a:ext uri="{FF2B5EF4-FFF2-40B4-BE49-F238E27FC236}">
              <a16:creationId xmlns:a16="http://schemas.microsoft.com/office/drawing/2014/main" id="{5BB8DB74-8E8E-41CB-9397-A0E42E885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8" name="AutoShape 171">
          <a:extLst>
            <a:ext uri="{FF2B5EF4-FFF2-40B4-BE49-F238E27FC236}">
              <a16:creationId xmlns:a16="http://schemas.microsoft.com/office/drawing/2014/main" id="{2DE453B2-FCB2-4E81-B417-FE57FB0C0F69}"/>
            </a:ext>
          </a:extLst>
        </xdr:cNvPr>
        <xdr:cNvSpPr>
          <a:spLocks noChangeAspect="1" noChangeArrowheads="1"/>
        </xdr:cNvSpPr>
      </xdr:nvSpPr>
      <xdr:spPr bwMode="auto">
        <a:xfrm>
          <a:off x="0" y="3086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9" name="AutoShape 172">
          <a:extLst>
            <a:ext uri="{FF2B5EF4-FFF2-40B4-BE49-F238E27FC236}">
              <a16:creationId xmlns:a16="http://schemas.microsoft.com/office/drawing/2014/main" id="{63B464B0-A196-43DC-A489-218D9C6512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0" name="AutoShape 173">
          <a:extLst>
            <a:ext uri="{FF2B5EF4-FFF2-40B4-BE49-F238E27FC236}">
              <a16:creationId xmlns:a16="http://schemas.microsoft.com/office/drawing/2014/main" id="{C94D5344-A850-4AD8-8ADF-37F6EEDB4C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1" name="AutoShape 174">
          <a:extLst>
            <a:ext uri="{FF2B5EF4-FFF2-40B4-BE49-F238E27FC236}">
              <a16:creationId xmlns:a16="http://schemas.microsoft.com/office/drawing/2014/main" id="{A448E104-79E2-4601-8F5E-4BC8DD0FA1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2" name="AutoShape 175">
          <a:extLst>
            <a:ext uri="{FF2B5EF4-FFF2-40B4-BE49-F238E27FC236}">
              <a16:creationId xmlns:a16="http://schemas.microsoft.com/office/drawing/2014/main" id="{2DE0EE76-4476-4AEB-89EC-E12FEBE222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3" name="AutoShape 176">
          <a:extLst>
            <a:ext uri="{FF2B5EF4-FFF2-40B4-BE49-F238E27FC236}">
              <a16:creationId xmlns:a16="http://schemas.microsoft.com/office/drawing/2014/main" id="{F7A0C431-365A-4129-9DF8-49820CB4AB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4" name="AutoShape 177">
          <a:extLst>
            <a:ext uri="{FF2B5EF4-FFF2-40B4-BE49-F238E27FC236}">
              <a16:creationId xmlns:a16="http://schemas.microsoft.com/office/drawing/2014/main" id="{9AE2B2FC-CD8A-4D74-98C7-DC2798D89CE3}"/>
            </a:ext>
          </a:extLst>
        </xdr:cNvPr>
        <xdr:cNvSpPr>
          <a:spLocks noChangeAspect="1" noChangeArrowheads="1"/>
        </xdr:cNvSpPr>
      </xdr:nvSpPr>
      <xdr:spPr bwMode="auto">
        <a:xfrm>
          <a:off x="0" y="3181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5" name="AutoShape 178">
          <a:extLst>
            <a:ext uri="{FF2B5EF4-FFF2-40B4-BE49-F238E27FC236}">
              <a16:creationId xmlns:a16="http://schemas.microsoft.com/office/drawing/2014/main" id="{02FF6FD8-4A70-469B-B8B9-19911F7F1E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6" name="AutoShape 179">
          <a:extLst>
            <a:ext uri="{FF2B5EF4-FFF2-40B4-BE49-F238E27FC236}">
              <a16:creationId xmlns:a16="http://schemas.microsoft.com/office/drawing/2014/main" id="{C5394DB9-A975-413A-ACEC-12D91C1511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7" name="AutoShape 180">
          <a:extLst>
            <a:ext uri="{FF2B5EF4-FFF2-40B4-BE49-F238E27FC236}">
              <a16:creationId xmlns:a16="http://schemas.microsoft.com/office/drawing/2014/main" id="{2995456F-D310-4263-88C5-DC26B4B6C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8" name="AutoShape 181">
          <a:extLst>
            <a:ext uri="{FF2B5EF4-FFF2-40B4-BE49-F238E27FC236}">
              <a16:creationId xmlns:a16="http://schemas.microsoft.com/office/drawing/2014/main" id="{6C6F76ED-0E66-4A91-9E2B-0DFBD5AB4B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9" name="AutoShape 182">
          <a:extLst>
            <a:ext uri="{FF2B5EF4-FFF2-40B4-BE49-F238E27FC236}">
              <a16:creationId xmlns:a16="http://schemas.microsoft.com/office/drawing/2014/main" id="{88DF0455-70FC-4313-9C6B-6FC4105C41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0" name="AutoShape 183">
          <a:extLst>
            <a:ext uri="{FF2B5EF4-FFF2-40B4-BE49-F238E27FC236}">
              <a16:creationId xmlns:a16="http://schemas.microsoft.com/office/drawing/2014/main" id="{B7DC4AA3-87CC-4A46-A00B-19B9EB772743}"/>
            </a:ext>
          </a:extLst>
        </xdr:cNvPr>
        <xdr:cNvSpPr>
          <a:spLocks noChangeAspect="1" noChangeArrowheads="1"/>
        </xdr:cNvSpPr>
      </xdr:nvSpPr>
      <xdr:spPr bwMode="auto">
        <a:xfrm>
          <a:off x="0" y="3276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1" name="AutoShape 184">
          <a:extLst>
            <a:ext uri="{FF2B5EF4-FFF2-40B4-BE49-F238E27FC236}">
              <a16:creationId xmlns:a16="http://schemas.microsoft.com/office/drawing/2014/main" id="{1E2E74F8-EAE4-4244-9166-5D3E66FE8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2" name="AutoShape 185">
          <a:extLst>
            <a:ext uri="{FF2B5EF4-FFF2-40B4-BE49-F238E27FC236}">
              <a16:creationId xmlns:a16="http://schemas.microsoft.com/office/drawing/2014/main" id="{81D55ECB-0B7E-49F1-90B7-0B80E60DBB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3" name="AutoShape 186">
          <a:extLst>
            <a:ext uri="{FF2B5EF4-FFF2-40B4-BE49-F238E27FC236}">
              <a16:creationId xmlns:a16="http://schemas.microsoft.com/office/drawing/2014/main" id="{02E934FE-5F35-4241-A7AD-00B54FD7DC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4" name="AutoShape 187">
          <a:extLst>
            <a:ext uri="{FF2B5EF4-FFF2-40B4-BE49-F238E27FC236}">
              <a16:creationId xmlns:a16="http://schemas.microsoft.com/office/drawing/2014/main" id="{3DE657E9-DA7D-4F92-A926-A131683AC1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5" name="AutoShape 188">
          <a:extLst>
            <a:ext uri="{FF2B5EF4-FFF2-40B4-BE49-F238E27FC236}">
              <a16:creationId xmlns:a16="http://schemas.microsoft.com/office/drawing/2014/main" id="{3B4E7614-4EC3-4659-8FE8-77ED3432093C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6" name="AutoShape 189">
          <a:extLst>
            <a:ext uri="{FF2B5EF4-FFF2-40B4-BE49-F238E27FC236}">
              <a16:creationId xmlns:a16="http://schemas.microsoft.com/office/drawing/2014/main" id="{05F36002-5E48-4F68-A47C-3E44CB6801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7" name="AutoShape 190">
          <a:extLst>
            <a:ext uri="{FF2B5EF4-FFF2-40B4-BE49-F238E27FC236}">
              <a16:creationId xmlns:a16="http://schemas.microsoft.com/office/drawing/2014/main" id="{7F294D26-AA2F-4BBB-A31C-19F77E984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8" name="AutoShape 191">
          <a:extLst>
            <a:ext uri="{FF2B5EF4-FFF2-40B4-BE49-F238E27FC236}">
              <a16:creationId xmlns:a16="http://schemas.microsoft.com/office/drawing/2014/main" id="{EE7A5C01-07FC-4412-B0F5-462638F9CD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9" name="AutoShape 192">
          <a:extLst>
            <a:ext uri="{FF2B5EF4-FFF2-40B4-BE49-F238E27FC236}">
              <a16:creationId xmlns:a16="http://schemas.microsoft.com/office/drawing/2014/main" id="{BF9C44B2-0D85-474B-8AE2-C5D047EC5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0" name="AutoShape 193">
          <a:extLst>
            <a:ext uri="{FF2B5EF4-FFF2-40B4-BE49-F238E27FC236}">
              <a16:creationId xmlns:a16="http://schemas.microsoft.com/office/drawing/2014/main" id="{D9E5B043-6A51-4B63-8B38-0DC1A54A69AA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1" name="AutoShape 194">
          <a:extLst>
            <a:ext uri="{FF2B5EF4-FFF2-40B4-BE49-F238E27FC236}">
              <a16:creationId xmlns:a16="http://schemas.microsoft.com/office/drawing/2014/main" id="{530BE962-E088-4231-98AB-1E99DA7E3B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2" name="AutoShape 195">
          <a:extLst>
            <a:ext uri="{FF2B5EF4-FFF2-40B4-BE49-F238E27FC236}">
              <a16:creationId xmlns:a16="http://schemas.microsoft.com/office/drawing/2014/main" id="{D3BC3BF4-BA00-4C6F-8D16-2B8EE809E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3" name="AutoShape 196">
          <a:extLst>
            <a:ext uri="{FF2B5EF4-FFF2-40B4-BE49-F238E27FC236}">
              <a16:creationId xmlns:a16="http://schemas.microsoft.com/office/drawing/2014/main" id="{36DD0834-3465-491A-A0ED-3BAB99F599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4" name="AutoShape 197">
          <a:extLst>
            <a:ext uri="{FF2B5EF4-FFF2-40B4-BE49-F238E27FC236}">
              <a16:creationId xmlns:a16="http://schemas.microsoft.com/office/drawing/2014/main" id="{12DB2545-82CF-4636-B87B-AEBE8D6347BA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5" name="AutoShape 198">
          <a:extLst>
            <a:ext uri="{FF2B5EF4-FFF2-40B4-BE49-F238E27FC236}">
              <a16:creationId xmlns:a16="http://schemas.microsoft.com/office/drawing/2014/main" id="{9B71851A-C8DC-45C0-B763-F39991090D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6" name="AutoShape 199">
          <a:extLst>
            <a:ext uri="{FF2B5EF4-FFF2-40B4-BE49-F238E27FC236}">
              <a16:creationId xmlns:a16="http://schemas.microsoft.com/office/drawing/2014/main" id="{FB588D46-1C72-4595-98D2-5364FB0E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7" name="AutoShape 200">
          <a:extLst>
            <a:ext uri="{FF2B5EF4-FFF2-40B4-BE49-F238E27FC236}">
              <a16:creationId xmlns:a16="http://schemas.microsoft.com/office/drawing/2014/main" id="{C33A9D04-DC17-4ECE-AD85-9352420ADD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8" name="AutoShape 201">
          <a:extLst>
            <a:ext uri="{FF2B5EF4-FFF2-40B4-BE49-F238E27FC236}">
              <a16:creationId xmlns:a16="http://schemas.microsoft.com/office/drawing/2014/main" id="{AF2AFC21-FBDF-4E33-90B2-067042424C40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9" name="AutoShape 202">
          <a:extLst>
            <a:ext uri="{FF2B5EF4-FFF2-40B4-BE49-F238E27FC236}">
              <a16:creationId xmlns:a16="http://schemas.microsoft.com/office/drawing/2014/main" id="{FDB10B40-45E8-4095-A413-39C7444EAC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0" name="AutoShape 203">
          <a:extLst>
            <a:ext uri="{FF2B5EF4-FFF2-40B4-BE49-F238E27FC236}">
              <a16:creationId xmlns:a16="http://schemas.microsoft.com/office/drawing/2014/main" id="{D51E09C1-FFB3-489D-B7B2-3D6392C694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1" name="AutoShape 204">
          <a:extLst>
            <a:ext uri="{FF2B5EF4-FFF2-40B4-BE49-F238E27FC236}">
              <a16:creationId xmlns:a16="http://schemas.microsoft.com/office/drawing/2014/main" id="{77DDD883-9192-4DEB-A9EE-408D57FE77F8}"/>
            </a:ext>
          </a:extLst>
        </xdr:cNvPr>
        <xdr:cNvSpPr>
          <a:spLocks noChangeAspect="1" noChangeArrowheads="1"/>
        </xdr:cNvSpPr>
      </xdr:nvSpPr>
      <xdr:spPr bwMode="auto">
        <a:xfrm>
          <a:off x="0" y="3581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2" name="AutoShape 205">
          <a:extLst>
            <a:ext uri="{FF2B5EF4-FFF2-40B4-BE49-F238E27FC236}">
              <a16:creationId xmlns:a16="http://schemas.microsoft.com/office/drawing/2014/main" id="{53BF4BDC-ED17-42CD-9757-2A6CC2D2D8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3" name="AutoShape 206">
          <a:extLst>
            <a:ext uri="{FF2B5EF4-FFF2-40B4-BE49-F238E27FC236}">
              <a16:creationId xmlns:a16="http://schemas.microsoft.com/office/drawing/2014/main" id="{450B5061-14C2-475D-84DC-831E7CE47B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4" name="AutoShape 2">
          <a:extLst>
            <a:ext uri="{FF2B5EF4-FFF2-40B4-BE49-F238E27FC236}">
              <a16:creationId xmlns:a16="http://schemas.microsoft.com/office/drawing/2014/main" id="{A79F11EC-7032-4B6A-A42C-3130A24F6F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5" name="AutoShape 3">
          <a:extLst>
            <a:ext uri="{FF2B5EF4-FFF2-40B4-BE49-F238E27FC236}">
              <a16:creationId xmlns:a16="http://schemas.microsoft.com/office/drawing/2014/main" id="{E85FE7CF-CC45-46E7-81C5-61403C6DF3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6" name="AutoShape 4">
          <a:extLst>
            <a:ext uri="{FF2B5EF4-FFF2-40B4-BE49-F238E27FC236}">
              <a16:creationId xmlns:a16="http://schemas.microsoft.com/office/drawing/2014/main" id="{F3B354A4-E62A-4B88-9174-19BBB16284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7" name="AutoShape 5">
          <a:extLst>
            <a:ext uri="{FF2B5EF4-FFF2-40B4-BE49-F238E27FC236}">
              <a16:creationId xmlns:a16="http://schemas.microsoft.com/office/drawing/2014/main" id="{FB8EB87E-55B6-4DDC-9A07-30D4560146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8" name="AutoShape 6">
          <a:extLst>
            <a:ext uri="{FF2B5EF4-FFF2-40B4-BE49-F238E27FC236}">
              <a16:creationId xmlns:a16="http://schemas.microsoft.com/office/drawing/2014/main" id="{E54C1E9A-9250-467C-BEB8-528A7C11B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1" name="AutoShape 18">
          <a:extLst>
            <a:ext uri="{FF2B5EF4-FFF2-40B4-BE49-F238E27FC236}">
              <a16:creationId xmlns:a16="http://schemas.microsoft.com/office/drawing/2014/main" id="{B7AB08E8-91FF-4482-A968-EC0DFF3D6B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2" name="AutoShape 25">
          <a:extLst>
            <a:ext uri="{FF2B5EF4-FFF2-40B4-BE49-F238E27FC236}">
              <a16:creationId xmlns:a16="http://schemas.microsoft.com/office/drawing/2014/main" id="{C0A994D0-9B63-4C70-A643-27B4B8A741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3" name="AutoShape 32">
          <a:extLst>
            <a:ext uri="{FF2B5EF4-FFF2-40B4-BE49-F238E27FC236}">
              <a16:creationId xmlns:a16="http://schemas.microsoft.com/office/drawing/2014/main" id="{68599F20-1983-49CE-802D-D29161E281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5C4E46AD-B748-463B-9F54-0CA748C7A363}"/>
            </a:ext>
          </a:extLst>
        </xdr:cNvPr>
        <xdr:cNvSpPr>
          <a:spLocks noChangeAspect="1" noChangeArrowheads="1"/>
        </xdr:cNvSpPr>
      </xdr:nvSpPr>
      <xdr:spPr bwMode="auto">
        <a:xfrm>
          <a:off x="24765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89E882-A131-4012-A685-202F211FC1B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A28E5B6C-E05A-4DDA-A9A0-87516EF7A6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87FA3603-91C9-4402-B5AC-D40B416748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524212E-2391-429F-A999-C7F0228884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9C3B99FE-876D-4DCE-B0BF-22C2A8A43612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C991CC62-E144-48CE-9AC7-8961F2042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4E2BDE-ABDC-4E7E-AD77-8664F22EF3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4386CA3A-391F-410F-A7D3-067F9E5A3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B80D7181-82F5-4A77-89AE-FE90C129C9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7FCA367-7933-4D62-A87B-496D6D4FB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8F8485A0-228B-43AD-ADA7-0167F4961D30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D7817620-B5FC-4542-B8FB-5464D58A6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E2F16B58-465C-4068-8AD2-1FC26CFF9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60C53033-87BB-4B68-992E-70FD67DEBA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1E555EA8-44A5-4F41-8B79-834849EC3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A5B7E579-A00A-4E64-AAAB-0C224BA5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3FEF2D0D-A9B5-48A4-BE7B-264A1288EB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E26E86D3-C9F7-4A4F-B313-2202B8A54D57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56C614B0-F3BA-41CA-B2FB-CFB69F8A04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4197D738-CF35-4175-AD2E-D6C4DD6068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F5EFE13C-0FE6-4F79-9A31-DD01AC3948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BD3CE4E6-434B-4933-98D3-A224A2196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E825E814-E3ED-4185-9649-2D483B9F5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C930D687-78A3-49C1-9FB5-623F863F475A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C565F3A1-AC9F-496E-A0C2-BB272F321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4A2081FA-7B15-44A6-8167-544A5FC19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A27F158E-0FB6-4999-BAA5-0F3A3534DE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739D6D0-48F7-44C6-858C-19B29DDF3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D3233B05-EECC-447B-9BB2-6B7FA127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4B8BA8FC-3D1A-43DE-9A17-0D7230F9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5AC60943-E6D9-4A15-A01E-AE18E5FB830D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22EEDD00-72C9-4363-9FD1-4D9E292A3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D35C4B79-E024-428D-8E48-5245719830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F29B53AA-4EE8-409E-A54A-1F7D014714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D90F35D8-51F5-4AFB-B9B6-DC4E9D6414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C257F8C7-EF05-42FB-8F00-B38BC8130A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6BDEB646-3C6C-4367-8B85-DC4945622E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B0535630-3703-4D10-BDF6-F104A1AB73B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B20E8021-CDFF-49F9-B3A8-A54CF98AD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1E76CFE-40F0-46C7-BFA3-9F57C95FCA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19F44B80-FB98-41CF-A9DC-71E9113512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B5516E5-5F42-41FD-9D09-05DBF26BA2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A134FF3F-32A4-4453-9534-484491AA5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ECCD0EF-9645-467B-844B-E39EA83731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041F010B-20AE-40D9-95B4-33A7BD3E632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8325F8AA-B5FB-4B2F-87D1-B4B4B64BB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663C3177-0EC1-4AC9-9DA9-2204945EE3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AEEADD9B-B350-456A-8F14-489A9D823B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14F18D80-56DC-4E87-AC08-188D6431A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025B5978-BE4F-46DB-9194-25B8E6EBA9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4967BF6E-9683-4011-ABCA-EADE61F825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8413F45F-2785-4C1C-9EC3-F187781A047A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3C1A6E85-771F-438A-ABCE-BA8C37D95F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3D2F96B8-0AC8-448D-A16B-B0D859A37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81BF5458-0684-4202-88E9-9AE7E0AD35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9D75BB96-9463-4A15-8922-2F7997515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78C68556-187C-4FBC-A62D-CB479AD947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BCEF3CB5-07D3-4B81-9F63-BA1374640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3E3EDBBE-5FC2-4062-958B-B25A67D2F406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160544E2-A529-4B96-8F12-C53466258D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FCD2FEBA-6FFA-4514-BE13-69EC299E96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6EBA99F-2C55-4A21-BB2D-EC9D33F153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4A582091-B51B-4BE5-8B8F-0E0BB8F975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6AB1A850-0CF0-4406-8D2E-453E30D138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DF0D7AA5-F917-4C0B-B5B3-C8C454B75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0400B561-1FFB-4A80-A66F-F1C6EE906592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CD7D3965-42F5-46A9-9770-B614664B80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CBA58152-23A2-4FD5-B71E-A105025948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E8534B7E-6421-46EA-BF63-19BD41BE2F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B1FA1E0B-CF5D-4CF8-8828-2A678F3352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9BC6F038-E484-4175-9628-55F8FDA2D1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2CA72CC-AC0E-4165-8748-E1B286709A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75279894-398E-4E9F-B81F-BAE300E97B43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EA322161-F0AF-4BF2-A93B-A55481EA54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3AD23B07-DB46-431F-84BE-07E9D468C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DCE4125F-8B13-4EBE-8E8E-2E95785A2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F908E15-0989-4A0C-8A47-8CE4C7CBD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8121BB29-E047-4851-9CB6-2D70A1A833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C41C2572-EC7F-428A-B2DF-44883535E4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9232DA9F-AD38-4431-A80D-0F6534E0DD3E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D2618727-BED8-4F43-89D7-5CC2FBF479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D2A2BF20-E2CC-4010-BB85-CC1971F964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88F50B0F-3181-4685-B20F-06C7A1197B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F9575EBC-D781-4BEF-840D-AA4E57F63B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8D822401-5F27-4787-837E-410EBC4AE8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99A0D4A5-5D27-4B15-AF10-6FD1A37E86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F2B7D900-3D19-4A93-8DDE-F0D995B5BB5E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B872385-1189-480E-8C04-E4A9AE9191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541C1553-21FF-4F77-998F-74A8A1641D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11D0D702-2B68-45B4-87AC-03CECEF5E0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11B39F1C-84B3-4197-925C-79AF824537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442130E4-4A19-4726-A43E-B9F6016C5A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ACB3123F-A77E-41A4-85D1-F5EA09F3D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B26FA0FE-5CF6-4C18-82F0-FB49DEF1EB50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73708E77-194C-4654-9F96-8BEC3E824B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9259192A-754D-49AF-937C-897C9F3A9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FC301E5F-97B6-4F81-8ABC-F124943842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D0998109-3D37-4CE9-BF9A-F040785DA3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D69937B0-F248-4245-991B-C3AE6E56D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BC69169D-8CB8-4E15-A799-D6F0D45886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117950B7-9D40-4E18-9A3A-663FEA6FA018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9D3DC933-9FC4-4349-A89C-4944E65F1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7724ACFD-904E-45EC-ABCC-D89C1C057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57F1DB2F-247D-4332-AD82-8A4BD29F7F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7A358EB6-B975-4829-8BF2-FF05AD21C9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4C205C2-E2BE-4F09-92E3-98BDAECC6B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D99497A9-BAED-4F3C-875D-3B56169FE0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CDDEEC0-E7FE-49C3-BAA7-5C59CF60225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CED2012-D05B-45BD-8C52-B3954CA20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8848FF29-DDEE-4D94-A995-BDE296C15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44421FD8-8BE9-4981-B957-18E38C5BD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B69C7ABF-1CEE-45B7-97E0-9AF9669D4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FFC3E0F7-46F0-4087-B15B-030D554D78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CAA4E766-8182-40DB-9C7D-B78C9ED63D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E2E79585-7A27-47CB-8DDF-D6259EA10BCA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EDD96E3-EEFF-4A82-8C89-CC3E6DD9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6089ACF3-E2A2-493C-A7D7-0FECCDD19C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FF303AA9-C2D9-4F76-A196-5550772C9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94ABA291-E7A3-47A0-ADD7-45DCF33BB5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15A6AAF4-1704-4425-A01D-0F49FF756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4D3A3B8D-C7DD-4308-87DA-C105144EC6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52BB9125-903E-42C1-BA8A-573C1AB97D43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278BC94D-4B78-4D74-B178-E2440BB3C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73725284-C4D9-4359-84F0-C2712525F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3E4150EF-2D63-46F1-B15F-286CF05FE3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FE475459-54AF-4B3A-A0B2-1351FACCE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CB81B70E-EA80-4E7F-9EFD-05E9011501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F5CC976-F7DD-4EBB-877C-5E4B133FB5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2178FC56-6183-4095-A8F0-AC42E7E37990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2CE02B68-488C-43F1-BE8B-621780728B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A95F7F02-026C-49CC-AED4-71494059A2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AF33EFA1-C1B3-4F67-AAD4-BE2B050F8D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7AD8C813-9DC6-4F90-96D6-3122D54E7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11CB09EA-03D8-493C-8F2C-E096FAF6E8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AAB104E6-8A10-4A19-86EE-F95520E4BD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F00F768-DB8A-49A5-AD9D-D66CDA8CE926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8A02DECF-9185-4135-9C4E-D5703ECBB8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19DF44C5-DDFC-4237-A059-B2321BDEE8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2575C50-1C99-4410-9E32-5D293E0032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730A72FD-C6A0-4256-A99A-05867E65B8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3A98C5DB-C52E-4863-8F8D-1D0289655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16CD24FF-08E9-485C-818E-E69E43559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850C2469-BE39-4E12-A65C-9810D1FCED58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4B6928DD-A685-4DC1-89E9-A07DB839C7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3DB3E521-D1FA-4443-9F25-1C9AB6FFCB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4229F0FA-FDFF-4367-A9C6-5E51CC16E2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6DE6B1A5-7593-4609-B966-DF9E07842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B3DB09D-A39A-4107-8DD9-C92CFF8031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68361D18-F513-4281-A6A0-78F235E505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25F07553-3D4E-4885-902D-530892B74C5F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C113760-376F-487D-8186-D19736AF1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B53825BB-242B-4C5C-B297-A6A7627DB4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117C3B11-2C9E-4701-892D-84BF4B9DAC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F8DA4890-4786-4BD8-B4C1-27B9C34DB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838F1F80-2FC1-4D36-8954-D0A00B6D36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0D44686C-F92F-427E-B2B2-190D4EEF2579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65CF6209-4B2F-45ED-A58D-8E8DE5A8DB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50F7613C-BAD7-4939-913F-B33FD25145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2D498D89-5777-4436-94F1-ACDCDBB29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EF1613C9-FAAF-4039-A34B-8FE56DCFD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30426E8D-DE3C-4A22-891C-E67B67CC8C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7F909FBA-1719-4846-83AB-CF940E17B13C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421CB494-4680-4775-8BCC-F200EC214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250FA300-4317-4D98-B45D-15E41EA1AC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2CACC319-43EC-4428-BA11-C86D6E5183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F45B71CA-A654-44E3-88A1-59F14CE2FF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A17AB38F-06CE-4B0C-A6D2-95D5D25617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CC0BF07B-B67D-43DC-83A3-765CBFD82EFE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F1B4AF0-0281-46D3-9C74-C1BB607716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8825CA0F-A055-4D5B-B670-33AEB1ECDB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14F75A1D-3443-4E9F-B93F-A02FAA079E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2A4316B5-E85D-4838-9004-7F6241146E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DBB9BF8C-2CB6-4D75-9ED0-C5AF235DD66B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DC9C521-EC15-426D-8781-C4A1EF1238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2226030B-C3E2-43CB-A4FE-E636E43116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F9B20184-197E-4CE3-B3DA-CC160FC5C2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69A1F72B-B494-442D-BA3F-B1579D0F22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5A012067-51B7-48BF-8B11-B26AECB60B8E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E27A0C7C-A86D-427B-ACAA-9F62DD6D70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22F51E5D-389A-46E7-B15D-7DC44600D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8C02ABA3-42C6-4FA9-BC33-8CE687F70C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265ACD4C-4E26-4C57-B321-4E210B069B1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0AD01D4C-CC01-4345-9EE4-C8190AD390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E25825A5-D981-4A26-8646-8916203AF7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02962BBA-B087-4AA3-8920-77EE6751A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25044406-892A-4C13-9C77-D4E1A880485C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A928C6B-F254-4FD4-A6C3-77837F77C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ACC3F74C-A5AA-43BD-B121-6E8A2A151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832F65B3-4EF3-414E-89EC-63073054EC97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2786DB36-FF25-4DA5-8C5F-AF2A77EDF5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1ABE0D24-0168-48A7-83E0-0C4FC504D8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9" name="AutoShape 2">
          <a:extLst>
            <a:ext uri="{FF2B5EF4-FFF2-40B4-BE49-F238E27FC236}">
              <a16:creationId xmlns:a16="http://schemas.microsoft.com/office/drawing/2014/main" id="{2C9497FE-DB47-4655-B64F-4E25BDC9EA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200" name="AutoShape 3">
          <a:extLst>
            <a:ext uri="{FF2B5EF4-FFF2-40B4-BE49-F238E27FC236}">
              <a16:creationId xmlns:a16="http://schemas.microsoft.com/office/drawing/2014/main" id="{5B9B877A-46B0-4B60-81AB-072FFDC35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E9A7E232-43BB-48E0-AE22-8D069BD2A4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202" name="AutoShape 5">
          <a:extLst>
            <a:ext uri="{FF2B5EF4-FFF2-40B4-BE49-F238E27FC236}">
              <a16:creationId xmlns:a16="http://schemas.microsoft.com/office/drawing/2014/main" id="{1233D6C5-9D88-4719-A151-61AAE6740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03" name="AutoShape 6">
          <a:extLst>
            <a:ext uri="{FF2B5EF4-FFF2-40B4-BE49-F238E27FC236}">
              <a16:creationId xmlns:a16="http://schemas.microsoft.com/office/drawing/2014/main" id="{25B2939F-9CFC-4BDA-9341-C09DB4A8B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CFA9F62A-7426-4DFD-A468-AD899DE8A2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205" name="AutoShape 4">
          <a:extLst>
            <a:ext uri="{FF2B5EF4-FFF2-40B4-BE49-F238E27FC236}">
              <a16:creationId xmlns:a16="http://schemas.microsoft.com/office/drawing/2014/main" id="{B8142B64-8C09-48DC-A693-740EC43476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6" name="AutoShape 18">
          <a:extLst>
            <a:ext uri="{FF2B5EF4-FFF2-40B4-BE49-F238E27FC236}">
              <a16:creationId xmlns:a16="http://schemas.microsoft.com/office/drawing/2014/main" id="{74682B7F-FE88-4772-8293-6A43C0252EF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7" name="AutoShape 25">
          <a:extLst>
            <a:ext uri="{FF2B5EF4-FFF2-40B4-BE49-F238E27FC236}">
              <a16:creationId xmlns:a16="http://schemas.microsoft.com/office/drawing/2014/main" id="{B33631BE-4BA4-4010-819C-886B4C7EA21A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8" name="AutoShape 32">
          <a:extLst>
            <a:ext uri="{FF2B5EF4-FFF2-40B4-BE49-F238E27FC236}">
              <a16:creationId xmlns:a16="http://schemas.microsoft.com/office/drawing/2014/main" id="{C914FFB9-21AF-4C09-BF58-BF338BC1F7B1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3A885661-1EE7-4CC7-830A-8280B54DAC3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7136CA9-2010-46F4-856F-D6A7FBD43E1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281</xdr:row>
      <xdr:rowOff>47625</xdr:rowOff>
    </xdr:from>
    <xdr:to>
      <xdr:col>5</xdr:col>
      <xdr:colOff>342900</xdr:colOff>
      <xdr:row>284</xdr:row>
      <xdr:rowOff>104775</xdr:rowOff>
    </xdr:to>
    <xdr:sp macro="" textlink="">
      <xdr:nvSpPr>
        <xdr:cNvPr id="27670" name="Freeform 674">
          <a:extLst>
            <a:ext uri="{FF2B5EF4-FFF2-40B4-BE49-F238E27FC236}">
              <a16:creationId xmlns:a16="http://schemas.microsoft.com/office/drawing/2014/main" id="{16D61848-F9DC-A8E1-0670-B999949F8575}"/>
            </a:ext>
          </a:extLst>
        </xdr:cNvPr>
        <xdr:cNvSpPr>
          <a:spLocks/>
        </xdr:cNvSpPr>
      </xdr:nvSpPr>
      <xdr:spPr bwMode="auto">
        <a:xfrm>
          <a:off x="447675" y="53578125"/>
          <a:ext cx="2943225" cy="62865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" name="Freeform 253">
          <a:extLst>
            <a:ext uri="{FF2B5EF4-FFF2-40B4-BE49-F238E27FC236}">
              <a16:creationId xmlns:a16="http://schemas.microsoft.com/office/drawing/2014/main" id="{3FEC38C4-5969-5FA2-4CF4-BF04BDA38C4F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3" name="Freeform 252">
          <a:extLst>
            <a:ext uri="{FF2B5EF4-FFF2-40B4-BE49-F238E27FC236}">
              <a16:creationId xmlns:a16="http://schemas.microsoft.com/office/drawing/2014/main" id="{FE6A20C7-583D-A0A4-045E-3EE82784C4EB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4" name="Freeform 565">
          <a:extLst>
            <a:ext uri="{FF2B5EF4-FFF2-40B4-BE49-F238E27FC236}">
              <a16:creationId xmlns:a16="http://schemas.microsoft.com/office/drawing/2014/main" id="{467D7AA7-B1A8-693D-BBE3-1017B13B5512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5" name="Freeform 564">
          <a:extLst>
            <a:ext uri="{FF2B5EF4-FFF2-40B4-BE49-F238E27FC236}">
              <a16:creationId xmlns:a16="http://schemas.microsoft.com/office/drawing/2014/main" id="{1A9AD0F1-AEA5-4AD8-1342-C7A64C0DE187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89</xdr:row>
      <xdr:rowOff>180975</xdr:rowOff>
    </xdr:from>
    <xdr:to>
      <xdr:col>1</xdr:col>
      <xdr:colOff>281940</xdr:colOff>
      <xdr:row>89</xdr:row>
      <xdr:rowOff>186690</xdr:rowOff>
    </xdr:to>
    <xdr:sp macro="" textlink="">
      <xdr:nvSpPr>
        <xdr:cNvPr id="6" name="Freeform 254">
          <a:extLst>
            <a:ext uri="{FF2B5EF4-FFF2-40B4-BE49-F238E27FC236}">
              <a16:creationId xmlns:a16="http://schemas.microsoft.com/office/drawing/2014/main" id="{7331C1C1-A12B-27FF-2719-8B89C0A751B9}"/>
            </a:ext>
          </a:extLst>
        </xdr:cNvPr>
        <xdr:cNvSpPr/>
      </xdr:nvSpPr>
      <xdr:spPr>
        <a:xfrm>
          <a:off x="1535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7" name="Freeform 385">
          <a:extLst>
            <a:ext uri="{FF2B5EF4-FFF2-40B4-BE49-F238E27FC236}">
              <a16:creationId xmlns:a16="http://schemas.microsoft.com/office/drawing/2014/main" id="{565C1650-B08D-DF2D-D916-BFF306B8323B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8" name="Freeform 384">
          <a:extLst>
            <a:ext uri="{FF2B5EF4-FFF2-40B4-BE49-F238E27FC236}">
              <a16:creationId xmlns:a16="http://schemas.microsoft.com/office/drawing/2014/main" id="{0E83404C-6D5B-7D44-44C3-D5591BB7D3B5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180975</xdr:rowOff>
    </xdr:from>
    <xdr:to>
      <xdr:col>1</xdr:col>
      <xdr:colOff>281940</xdr:colOff>
      <xdr:row>273</xdr:row>
      <xdr:rowOff>186690</xdr:rowOff>
    </xdr:to>
    <xdr:sp macro="" textlink="">
      <xdr:nvSpPr>
        <xdr:cNvPr id="9" name="Freeform 566">
          <a:extLst>
            <a:ext uri="{FF2B5EF4-FFF2-40B4-BE49-F238E27FC236}">
              <a16:creationId xmlns:a16="http://schemas.microsoft.com/office/drawing/2014/main" id="{AA2452D5-E625-DFF0-36BA-CAA3C9877AA4}"/>
            </a:ext>
          </a:extLst>
        </xdr:cNvPr>
        <xdr:cNvSpPr/>
      </xdr:nvSpPr>
      <xdr:spPr>
        <a:xfrm>
          <a:off x="153543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10" name="Freeform 255">
          <a:extLst>
            <a:ext uri="{FF2B5EF4-FFF2-40B4-BE49-F238E27FC236}">
              <a16:creationId xmlns:a16="http://schemas.microsoft.com/office/drawing/2014/main" id="{815850D9-05E7-9B43-B41A-B443C20BA744}"/>
            </a:ext>
          </a:extLst>
        </xdr:cNvPr>
        <xdr:cNvSpPr/>
      </xdr:nvSpPr>
      <xdr:spPr>
        <a:xfrm>
          <a:off x="2424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185</xdr:row>
      <xdr:rowOff>180975</xdr:rowOff>
    </xdr:from>
    <xdr:to>
      <xdr:col>1</xdr:col>
      <xdr:colOff>281940</xdr:colOff>
      <xdr:row>185</xdr:row>
      <xdr:rowOff>186690</xdr:rowOff>
    </xdr:to>
    <xdr:sp macro="" textlink="">
      <xdr:nvSpPr>
        <xdr:cNvPr id="11" name="Freeform 386">
          <a:extLst>
            <a:ext uri="{FF2B5EF4-FFF2-40B4-BE49-F238E27FC236}">
              <a16:creationId xmlns:a16="http://schemas.microsoft.com/office/drawing/2014/main" id="{16E39672-ADFE-1586-BE1F-7E017CC4B8AB}"/>
            </a:ext>
          </a:extLst>
        </xdr:cNvPr>
        <xdr:cNvSpPr/>
      </xdr:nvSpPr>
      <xdr:spPr>
        <a:xfrm>
          <a:off x="1535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12" name="Freeform 567">
          <a:extLst>
            <a:ext uri="{FF2B5EF4-FFF2-40B4-BE49-F238E27FC236}">
              <a16:creationId xmlns:a16="http://schemas.microsoft.com/office/drawing/2014/main" id="{B2389C25-1B0A-4260-6FC7-946FDE679111}"/>
            </a:ext>
          </a:extLst>
        </xdr:cNvPr>
        <xdr:cNvSpPr/>
      </xdr:nvSpPr>
      <xdr:spPr>
        <a:xfrm>
          <a:off x="24250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3" name="Freeform 256">
          <a:extLst>
            <a:ext uri="{FF2B5EF4-FFF2-40B4-BE49-F238E27FC236}">
              <a16:creationId xmlns:a16="http://schemas.microsoft.com/office/drawing/2014/main" id="{E36B9740-5627-BF6C-EDD8-788901F326A0}"/>
            </a:ext>
          </a:extLst>
        </xdr:cNvPr>
        <xdr:cNvSpPr/>
      </xdr:nvSpPr>
      <xdr:spPr>
        <a:xfrm>
          <a:off x="331851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14" name="Freeform 387">
          <a:extLst>
            <a:ext uri="{FF2B5EF4-FFF2-40B4-BE49-F238E27FC236}">
              <a16:creationId xmlns:a16="http://schemas.microsoft.com/office/drawing/2014/main" id="{A38E5C88-B727-8FD2-BDE9-904EA0963F41}"/>
            </a:ext>
          </a:extLst>
        </xdr:cNvPr>
        <xdr:cNvSpPr/>
      </xdr:nvSpPr>
      <xdr:spPr>
        <a:xfrm>
          <a:off x="2424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5" name="Freeform 568">
          <a:extLst>
            <a:ext uri="{FF2B5EF4-FFF2-40B4-BE49-F238E27FC236}">
              <a16:creationId xmlns:a16="http://schemas.microsoft.com/office/drawing/2014/main" id="{17C777C5-2841-2E2C-2668-D986BC945FD9}"/>
            </a:ext>
          </a:extLst>
        </xdr:cNvPr>
        <xdr:cNvSpPr/>
      </xdr:nvSpPr>
      <xdr:spPr>
        <a:xfrm>
          <a:off x="33191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6" name="Freeform 257">
          <a:extLst>
            <a:ext uri="{FF2B5EF4-FFF2-40B4-BE49-F238E27FC236}">
              <a16:creationId xmlns:a16="http://schemas.microsoft.com/office/drawing/2014/main" id="{195CC28B-7813-F097-07E8-A2AA99F3CEB8}"/>
            </a:ext>
          </a:extLst>
        </xdr:cNvPr>
        <xdr:cNvSpPr/>
      </xdr:nvSpPr>
      <xdr:spPr>
        <a:xfrm>
          <a:off x="4211955" y="15659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17" name="Freeform 388">
          <a:extLst>
            <a:ext uri="{FF2B5EF4-FFF2-40B4-BE49-F238E27FC236}">
              <a16:creationId xmlns:a16="http://schemas.microsoft.com/office/drawing/2014/main" id="{344325C1-E63A-E88D-49A0-9E6680D8F191}"/>
            </a:ext>
          </a:extLst>
        </xdr:cNvPr>
        <xdr:cNvSpPr/>
      </xdr:nvSpPr>
      <xdr:spPr>
        <a:xfrm>
          <a:off x="331851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8" name="Freeform 569">
          <a:extLst>
            <a:ext uri="{FF2B5EF4-FFF2-40B4-BE49-F238E27FC236}">
              <a16:creationId xmlns:a16="http://schemas.microsoft.com/office/drawing/2014/main" id="{CC84EC7A-BD23-3EBD-96A5-8D45EE4D7EFB}"/>
            </a:ext>
          </a:extLst>
        </xdr:cNvPr>
        <xdr:cNvSpPr/>
      </xdr:nvSpPr>
      <xdr:spPr>
        <a:xfrm>
          <a:off x="4211955" y="169418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9" name="Freeform 258">
          <a:extLst>
            <a:ext uri="{FF2B5EF4-FFF2-40B4-BE49-F238E27FC236}">
              <a16:creationId xmlns:a16="http://schemas.microsoft.com/office/drawing/2014/main" id="{88201053-98D9-8737-8F9B-5445CB3257A1}"/>
            </a:ext>
          </a:extLst>
        </xdr:cNvPr>
        <xdr:cNvSpPr/>
      </xdr:nvSpPr>
      <xdr:spPr>
        <a:xfrm>
          <a:off x="5103495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0" name="Freeform 389">
          <a:extLst>
            <a:ext uri="{FF2B5EF4-FFF2-40B4-BE49-F238E27FC236}">
              <a16:creationId xmlns:a16="http://schemas.microsoft.com/office/drawing/2014/main" id="{BE59F9CE-9FF3-35ED-0380-D327E02B37DD}"/>
            </a:ext>
          </a:extLst>
        </xdr:cNvPr>
        <xdr:cNvSpPr/>
      </xdr:nvSpPr>
      <xdr:spPr>
        <a:xfrm>
          <a:off x="4211955" y="17405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1" name="Freeform 570">
          <a:extLst>
            <a:ext uri="{FF2B5EF4-FFF2-40B4-BE49-F238E27FC236}">
              <a16:creationId xmlns:a16="http://schemas.microsoft.com/office/drawing/2014/main" id="{E054C2AF-A466-8A28-F746-7632319AB6B1}"/>
            </a:ext>
          </a:extLst>
        </xdr:cNvPr>
        <xdr:cNvSpPr/>
      </xdr:nvSpPr>
      <xdr:spPr>
        <a:xfrm>
          <a:off x="510286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2" name="Freeform 259">
          <a:extLst>
            <a:ext uri="{FF2B5EF4-FFF2-40B4-BE49-F238E27FC236}">
              <a16:creationId xmlns:a16="http://schemas.microsoft.com/office/drawing/2014/main" id="{B85C515C-F182-82E6-E455-CD838D385059}"/>
            </a:ext>
          </a:extLst>
        </xdr:cNvPr>
        <xdr:cNvSpPr/>
      </xdr:nvSpPr>
      <xdr:spPr>
        <a:xfrm>
          <a:off x="599567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3" name="Freeform 390">
          <a:extLst>
            <a:ext uri="{FF2B5EF4-FFF2-40B4-BE49-F238E27FC236}">
              <a16:creationId xmlns:a16="http://schemas.microsoft.com/office/drawing/2014/main" id="{0E953D91-984E-11E0-2C6F-7724F55C6F8B}"/>
            </a:ext>
          </a:extLst>
        </xdr:cNvPr>
        <xdr:cNvSpPr/>
      </xdr:nvSpPr>
      <xdr:spPr>
        <a:xfrm>
          <a:off x="5103495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24" name="Freeform 571">
          <a:extLst>
            <a:ext uri="{FF2B5EF4-FFF2-40B4-BE49-F238E27FC236}">
              <a16:creationId xmlns:a16="http://schemas.microsoft.com/office/drawing/2014/main" id="{B35F49AB-07C3-4EF4-B7EB-803A71EC388E}"/>
            </a:ext>
          </a:extLst>
        </xdr:cNvPr>
        <xdr:cNvSpPr/>
      </xdr:nvSpPr>
      <xdr:spPr>
        <a:xfrm>
          <a:off x="59937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25" name="Freeform 261">
          <a:extLst>
            <a:ext uri="{FF2B5EF4-FFF2-40B4-BE49-F238E27FC236}">
              <a16:creationId xmlns:a16="http://schemas.microsoft.com/office/drawing/2014/main" id="{705B2AF1-899B-2F7B-ECBF-CF38B5518940}"/>
            </a:ext>
          </a:extLst>
        </xdr:cNvPr>
        <xdr:cNvSpPr/>
      </xdr:nvSpPr>
      <xdr:spPr>
        <a:xfrm>
          <a:off x="68897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103</xdr:row>
      <xdr:rowOff>61913</xdr:rowOff>
    </xdr:from>
    <xdr:to>
      <xdr:col>1</xdr:col>
      <xdr:colOff>315277</xdr:colOff>
      <xdr:row>103</xdr:row>
      <xdr:rowOff>67628</xdr:rowOff>
    </xdr:to>
    <xdr:sp macro="" textlink="">
      <xdr:nvSpPr>
        <xdr:cNvPr id="26" name="Freeform 260">
          <a:extLst>
            <a:ext uri="{FF2B5EF4-FFF2-40B4-BE49-F238E27FC236}">
              <a16:creationId xmlns:a16="http://schemas.microsoft.com/office/drawing/2014/main" id="{04ED21E2-6929-62DF-23D9-0E162E3D761F}"/>
            </a:ext>
          </a:extLst>
        </xdr:cNvPr>
        <xdr:cNvSpPr/>
      </xdr:nvSpPr>
      <xdr:spPr>
        <a:xfrm>
          <a:off x="928687" y="1968341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27" name="Freeform 391">
          <a:extLst>
            <a:ext uri="{FF2B5EF4-FFF2-40B4-BE49-F238E27FC236}">
              <a16:creationId xmlns:a16="http://schemas.microsoft.com/office/drawing/2014/main" id="{E258BD52-6C83-1A26-F3EE-4E2FC26842C9}"/>
            </a:ext>
          </a:extLst>
        </xdr:cNvPr>
        <xdr:cNvSpPr/>
      </xdr:nvSpPr>
      <xdr:spPr>
        <a:xfrm>
          <a:off x="599567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8" name="Freeform 573">
          <a:extLst>
            <a:ext uri="{FF2B5EF4-FFF2-40B4-BE49-F238E27FC236}">
              <a16:creationId xmlns:a16="http://schemas.microsoft.com/office/drawing/2014/main" id="{C6B05AA5-7B67-BD11-3741-C8D7515BB0FB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9" name="Freeform 572">
          <a:extLst>
            <a:ext uri="{FF2B5EF4-FFF2-40B4-BE49-F238E27FC236}">
              <a16:creationId xmlns:a16="http://schemas.microsoft.com/office/drawing/2014/main" id="{D425B229-1710-3873-49D4-3C224105488A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0" name="Freeform 393">
          <a:extLst>
            <a:ext uri="{FF2B5EF4-FFF2-40B4-BE49-F238E27FC236}">
              <a16:creationId xmlns:a16="http://schemas.microsoft.com/office/drawing/2014/main" id="{C610E4DE-0FF4-E3D6-3F13-819221E59D33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1" name="Freeform 392">
          <a:extLst>
            <a:ext uri="{FF2B5EF4-FFF2-40B4-BE49-F238E27FC236}">
              <a16:creationId xmlns:a16="http://schemas.microsoft.com/office/drawing/2014/main" id="{603C9D6F-CA93-F0EC-D0D5-6B2B0EAC22B5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2" name="Freeform 574">
          <a:extLst>
            <a:ext uri="{FF2B5EF4-FFF2-40B4-BE49-F238E27FC236}">
              <a16:creationId xmlns:a16="http://schemas.microsoft.com/office/drawing/2014/main" id="{3960BBFF-A6A2-6578-371F-D7991E5B0B52}"/>
            </a:ext>
          </a:extLst>
        </xdr:cNvPr>
        <xdr:cNvSpPr/>
      </xdr:nvSpPr>
      <xdr:spPr>
        <a:xfrm>
          <a:off x="641350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275</xdr:row>
      <xdr:rowOff>0</xdr:rowOff>
    </xdr:from>
    <xdr:to>
      <xdr:col>1</xdr:col>
      <xdr:colOff>281940</xdr:colOff>
      <xdr:row>275</xdr:row>
      <xdr:rowOff>5715</xdr:rowOff>
    </xdr:to>
    <xdr:sp macro="" textlink="">
      <xdr:nvSpPr>
        <xdr:cNvPr id="33" name="Freeform 575">
          <a:extLst>
            <a:ext uri="{FF2B5EF4-FFF2-40B4-BE49-F238E27FC236}">
              <a16:creationId xmlns:a16="http://schemas.microsoft.com/office/drawing/2014/main" id="{345D6F17-8B7E-2452-C5A5-96C902E1C496}"/>
            </a:ext>
          </a:extLst>
        </xdr:cNvPr>
        <xdr:cNvSpPr/>
      </xdr:nvSpPr>
      <xdr:spPr>
        <a:xfrm>
          <a:off x="153543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4" name="Freeform 580">
          <a:extLst>
            <a:ext uri="{FF2B5EF4-FFF2-40B4-BE49-F238E27FC236}">
              <a16:creationId xmlns:a16="http://schemas.microsoft.com/office/drawing/2014/main" id="{165794A7-C541-A9B9-C171-72C08AFAF793}"/>
            </a:ext>
          </a:extLst>
        </xdr:cNvPr>
        <xdr:cNvSpPr/>
      </xdr:nvSpPr>
      <xdr:spPr>
        <a:xfrm>
          <a:off x="2425065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5" name="Freeform 581">
          <a:extLst>
            <a:ext uri="{FF2B5EF4-FFF2-40B4-BE49-F238E27FC236}">
              <a16:creationId xmlns:a16="http://schemas.microsoft.com/office/drawing/2014/main" id="{B7A80C9E-6F5B-E9EB-EAE2-5EBE450CA3C3}"/>
            </a:ext>
          </a:extLst>
        </xdr:cNvPr>
        <xdr:cNvSpPr/>
      </xdr:nvSpPr>
      <xdr:spPr>
        <a:xfrm>
          <a:off x="3319145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6" name="Freeform 586">
          <a:extLst>
            <a:ext uri="{FF2B5EF4-FFF2-40B4-BE49-F238E27FC236}">
              <a16:creationId xmlns:a16="http://schemas.microsoft.com/office/drawing/2014/main" id="{8DD16AC2-674A-240A-94C1-EBFEE807F4D9}"/>
            </a:ext>
          </a:extLst>
        </xdr:cNvPr>
        <xdr:cNvSpPr/>
      </xdr:nvSpPr>
      <xdr:spPr>
        <a:xfrm>
          <a:off x="4211955" y="18472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7" name="Freeform 587">
          <a:extLst>
            <a:ext uri="{FF2B5EF4-FFF2-40B4-BE49-F238E27FC236}">
              <a16:creationId xmlns:a16="http://schemas.microsoft.com/office/drawing/2014/main" id="{8463A5E3-B8F6-72C3-3740-5A4B132E8CC0}"/>
            </a:ext>
          </a:extLst>
        </xdr:cNvPr>
        <xdr:cNvSpPr/>
      </xdr:nvSpPr>
      <xdr:spPr>
        <a:xfrm>
          <a:off x="510286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9525</xdr:rowOff>
    </xdr:from>
    <xdr:to>
      <xdr:col>0</xdr:col>
      <xdr:colOff>5715</xdr:colOff>
      <xdr:row>275</xdr:row>
      <xdr:rowOff>15240</xdr:rowOff>
    </xdr:to>
    <xdr:sp macro="" textlink="">
      <xdr:nvSpPr>
        <xdr:cNvPr id="38" name="Freeform 590">
          <a:extLst>
            <a:ext uri="{FF2B5EF4-FFF2-40B4-BE49-F238E27FC236}">
              <a16:creationId xmlns:a16="http://schemas.microsoft.com/office/drawing/2014/main" id="{8FB33F51-F528-52EE-1852-73BFD8B18E7A}"/>
            </a:ext>
          </a:extLst>
        </xdr:cNvPr>
        <xdr:cNvSpPr/>
      </xdr:nvSpPr>
      <xdr:spPr>
        <a:xfrm>
          <a:off x="5993765" y="18522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9525</xdr:rowOff>
    </xdr:from>
    <xdr:to>
      <xdr:col>1</xdr:col>
      <xdr:colOff>291465</xdr:colOff>
      <xdr:row>275</xdr:row>
      <xdr:rowOff>15240</xdr:rowOff>
    </xdr:to>
    <xdr:sp macro="" textlink="">
      <xdr:nvSpPr>
        <xdr:cNvPr id="39" name="Freeform 591">
          <a:extLst>
            <a:ext uri="{FF2B5EF4-FFF2-40B4-BE49-F238E27FC236}">
              <a16:creationId xmlns:a16="http://schemas.microsoft.com/office/drawing/2014/main" id="{FB53AB88-211F-80B9-3856-D0BF31B979E0}"/>
            </a:ext>
          </a:extLst>
        </xdr:cNvPr>
        <xdr:cNvSpPr/>
      </xdr:nvSpPr>
      <xdr:spPr>
        <a:xfrm>
          <a:off x="6887845" y="18522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0" name="Freeform 130">
          <a:extLst>
            <a:ext uri="{FF2B5EF4-FFF2-40B4-BE49-F238E27FC236}">
              <a16:creationId xmlns:a16="http://schemas.microsoft.com/office/drawing/2014/main" id="{931DB717-E306-370D-FB22-8671550799FA}"/>
            </a:ext>
          </a:extLst>
        </xdr:cNvPr>
        <xdr:cNvSpPr/>
      </xdr:nvSpPr>
      <xdr:spPr>
        <a:xfrm>
          <a:off x="64135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41" name="Freeform 131">
          <a:extLst>
            <a:ext uri="{FF2B5EF4-FFF2-40B4-BE49-F238E27FC236}">
              <a16:creationId xmlns:a16="http://schemas.microsoft.com/office/drawing/2014/main" id="{7BD58940-AC65-CAA9-8C7F-BA9F2142646E}"/>
            </a:ext>
          </a:extLst>
        </xdr:cNvPr>
        <xdr:cNvSpPr/>
      </xdr:nvSpPr>
      <xdr:spPr>
        <a:xfrm>
          <a:off x="1535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2" name="Freeform 132">
          <a:extLst>
            <a:ext uri="{FF2B5EF4-FFF2-40B4-BE49-F238E27FC236}">
              <a16:creationId xmlns:a16="http://schemas.microsoft.com/office/drawing/2014/main" id="{1E951E85-8306-5FBB-D860-4C9B4F14E03B}"/>
            </a:ext>
          </a:extLst>
        </xdr:cNvPr>
        <xdr:cNvSpPr/>
      </xdr:nvSpPr>
      <xdr:spPr>
        <a:xfrm>
          <a:off x="2424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3" name="Freeform 133">
          <a:extLst>
            <a:ext uri="{FF2B5EF4-FFF2-40B4-BE49-F238E27FC236}">
              <a16:creationId xmlns:a16="http://schemas.microsoft.com/office/drawing/2014/main" id="{5FA132CC-431A-D881-EFCE-5D7104921FF3}"/>
            </a:ext>
          </a:extLst>
        </xdr:cNvPr>
        <xdr:cNvSpPr/>
      </xdr:nvSpPr>
      <xdr:spPr>
        <a:xfrm>
          <a:off x="331851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44" name="Freeform 262">
          <a:extLst>
            <a:ext uri="{FF2B5EF4-FFF2-40B4-BE49-F238E27FC236}">
              <a16:creationId xmlns:a16="http://schemas.microsoft.com/office/drawing/2014/main" id="{BD4CA801-8B96-686B-0F70-7FC0C5F651FC}"/>
            </a:ext>
          </a:extLst>
        </xdr:cNvPr>
        <xdr:cNvSpPr/>
      </xdr:nvSpPr>
      <xdr:spPr>
        <a:xfrm>
          <a:off x="64135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45" name="Freeform 394">
          <a:extLst>
            <a:ext uri="{FF2B5EF4-FFF2-40B4-BE49-F238E27FC236}">
              <a16:creationId xmlns:a16="http://schemas.microsoft.com/office/drawing/2014/main" id="{1F2B5DAF-3C8F-25CF-73EF-4F5167DEA1B0}"/>
            </a:ext>
          </a:extLst>
        </xdr:cNvPr>
        <xdr:cNvSpPr/>
      </xdr:nvSpPr>
      <xdr:spPr>
        <a:xfrm>
          <a:off x="6413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6" name="Freeform 134">
          <a:extLst>
            <a:ext uri="{FF2B5EF4-FFF2-40B4-BE49-F238E27FC236}">
              <a16:creationId xmlns:a16="http://schemas.microsoft.com/office/drawing/2014/main" id="{098A6A23-B3E3-85CF-DC8E-86441B6F9C3D}"/>
            </a:ext>
          </a:extLst>
        </xdr:cNvPr>
        <xdr:cNvSpPr/>
      </xdr:nvSpPr>
      <xdr:spPr>
        <a:xfrm>
          <a:off x="4211320" y="15138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47" name="Freeform 576">
          <a:extLst>
            <a:ext uri="{FF2B5EF4-FFF2-40B4-BE49-F238E27FC236}">
              <a16:creationId xmlns:a16="http://schemas.microsoft.com/office/drawing/2014/main" id="{3D776963-680B-7571-AF10-FCFF1C467FAD}"/>
            </a:ext>
          </a:extLst>
        </xdr:cNvPr>
        <xdr:cNvSpPr/>
      </xdr:nvSpPr>
      <xdr:spPr>
        <a:xfrm>
          <a:off x="641350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48" name="Freeform 263">
          <a:extLst>
            <a:ext uri="{FF2B5EF4-FFF2-40B4-BE49-F238E27FC236}">
              <a16:creationId xmlns:a16="http://schemas.microsoft.com/office/drawing/2014/main" id="{4A6FF704-9402-02C4-3CB7-7AD4B1628F29}"/>
            </a:ext>
          </a:extLst>
        </xdr:cNvPr>
        <xdr:cNvSpPr/>
      </xdr:nvSpPr>
      <xdr:spPr>
        <a:xfrm>
          <a:off x="1535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187</xdr:row>
      <xdr:rowOff>0</xdr:rowOff>
    </xdr:from>
    <xdr:to>
      <xdr:col>1</xdr:col>
      <xdr:colOff>281940</xdr:colOff>
      <xdr:row>187</xdr:row>
      <xdr:rowOff>5715</xdr:rowOff>
    </xdr:to>
    <xdr:sp macro="" textlink="">
      <xdr:nvSpPr>
        <xdr:cNvPr id="49" name="Freeform 395">
          <a:extLst>
            <a:ext uri="{FF2B5EF4-FFF2-40B4-BE49-F238E27FC236}">
              <a16:creationId xmlns:a16="http://schemas.microsoft.com/office/drawing/2014/main" id="{B3CA853D-C423-D087-BFF5-09F3C39B668A}"/>
            </a:ext>
          </a:extLst>
        </xdr:cNvPr>
        <xdr:cNvSpPr/>
      </xdr:nvSpPr>
      <xdr:spPr>
        <a:xfrm>
          <a:off x="1535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276</xdr:row>
      <xdr:rowOff>0</xdr:rowOff>
    </xdr:from>
    <xdr:to>
      <xdr:col>1</xdr:col>
      <xdr:colOff>281940</xdr:colOff>
      <xdr:row>276</xdr:row>
      <xdr:rowOff>5715</xdr:rowOff>
    </xdr:to>
    <xdr:sp macro="" textlink="">
      <xdr:nvSpPr>
        <xdr:cNvPr id="50" name="Freeform 577">
          <a:extLst>
            <a:ext uri="{FF2B5EF4-FFF2-40B4-BE49-F238E27FC236}">
              <a16:creationId xmlns:a16="http://schemas.microsoft.com/office/drawing/2014/main" id="{BDFFAB56-91E6-B9C3-046F-9034233C4747}"/>
            </a:ext>
          </a:extLst>
        </xdr:cNvPr>
        <xdr:cNvSpPr/>
      </xdr:nvSpPr>
      <xdr:spPr>
        <a:xfrm>
          <a:off x="1535430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51" name="Freeform 137">
          <a:extLst>
            <a:ext uri="{FF2B5EF4-FFF2-40B4-BE49-F238E27FC236}">
              <a16:creationId xmlns:a16="http://schemas.microsoft.com/office/drawing/2014/main" id="{2477B147-DDE8-B0CB-6336-1BF43135E797}"/>
            </a:ext>
          </a:extLst>
        </xdr:cNvPr>
        <xdr:cNvSpPr/>
      </xdr:nvSpPr>
      <xdr:spPr>
        <a:xfrm>
          <a:off x="510286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52" name="Freeform 582">
          <a:extLst>
            <a:ext uri="{FF2B5EF4-FFF2-40B4-BE49-F238E27FC236}">
              <a16:creationId xmlns:a16="http://schemas.microsoft.com/office/drawing/2014/main" id="{F8BE6630-8BAC-F8F7-EB8C-D9CD1FDA6C0D}"/>
            </a:ext>
          </a:extLst>
        </xdr:cNvPr>
        <xdr:cNvSpPr/>
      </xdr:nvSpPr>
      <xdr:spPr>
        <a:xfrm>
          <a:off x="2425065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53" name="Freeform 264">
          <a:extLst>
            <a:ext uri="{FF2B5EF4-FFF2-40B4-BE49-F238E27FC236}">
              <a16:creationId xmlns:a16="http://schemas.microsoft.com/office/drawing/2014/main" id="{76153FED-84A0-4023-6F11-F82F83E23538}"/>
            </a:ext>
          </a:extLst>
        </xdr:cNvPr>
        <xdr:cNvSpPr/>
      </xdr:nvSpPr>
      <xdr:spPr>
        <a:xfrm>
          <a:off x="2424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54" name="Freeform 398">
          <a:extLst>
            <a:ext uri="{FF2B5EF4-FFF2-40B4-BE49-F238E27FC236}">
              <a16:creationId xmlns:a16="http://schemas.microsoft.com/office/drawing/2014/main" id="{4D009037-2564-9F01-EBCA-D4BBEB43187B}"/>
            </a:ext>
          </a:extLst>
        </xdr:cNvPr>
        <xdr:cNvSpPr/>
      </xdr:nvSpPr>
      <xdr:spPr>
        <a:xfrm>
          <a:off x="2424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5" name="Freeform 583">
          <a:extLst>
            <a:ext uri="{FF2B5EF4-FFF2-40B4-BE49-F238E27FC236}">
              <a16:creationId xmlns:a16="http://schemas.microsoft.com/office/drawing/2014/main" id="{841FC7D1-C794-17C7-B848-BB47B943F14C}"/>
            </a:ext>
          </a:extLst>
        </xdr:cNvPr>
        <xdr:cNvSpPr/>
      </xdr:nvSpPr>
      <xdr:spPr>
        <a:xfrm>
          <a:off x="3319145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56" name="Freeform 138">
          <a:extLst>
            <a:ext uri="{FF2B5EF4-FFF2-40B4-BE49-F238E27FC236}">
              <a16:creationId xmlns:a16="http://schemas.microsoft.com/office/drawing/2014/main" id="{003B543B-5F74-1ED6-85BF-8D5888848D30}"/>
            </a:ext>
          </a:extLst>
        </xdr:cNvPr>
        <xdr:cNvSpPr/>
      </xdr:nvSpPr>
      <xdr:spPr>
        <a:xfrm>
          <a:off x="5995035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57" name="Freeform 265">
          <a:extLst>
            <a:ext uri="{FF2B5EF4-FFF2-40B4-BE49-F238E27FC236}">
              <a16:creationId xmlns:a16="http://schemas.microsoft.com/office/drawing/2014/main" id="{987D7E50-2134-F5C8-FD43-E8E150C83802}"/>
            </a:ext>
          </a:extLst>
        </xdr:cNvPr>
        <xdr:cNvSpPr/>
      </xdr:nvSpPr>
      <xdr:spPr>
        <a:xfrm>
          <a:off x="331851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58" name="Freeform 399">
          <a:extLst>
            <a:ext uri="{FF2B5EF4-FFF2-40B4-BE49-F238E27FC236}">
              <a16:creationId xmlns:a16="http://schemas.microsoft.com/office/drawing/2014/main" id="{77F51408-06D8-FC35-3CD9-1643CE88909F}"/>
            </a:ext>
          </a:extLst>
        </xdr:cNvPr>
        <xdr:cNvSpPr/>
      </xdr:nvSpPr>
      <xdr:spPr>
        <a:xfrm>
          <a:off x="331851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9" name="Freeform 596">
          <a:extLst>
            <a:ext uri="{FF2B5EF4-FFF2-40B4-BE49-F238E27FC236}">
              <a16:creationId xmlns:a16="http://schemas.microsoft.com/office/drawing/2014/main" id="{0EEB8BEB-1464-5D6F-D400-4E11045A47F3}"/>
            </a:ext>
          </a:extLst>
        </xdr:cNvPr>
        <xdr:cNvSpPr/>
      </xdr:nvSpPr>
      <xdr:spPr>
        <a:xfrm>
          <a:off x="4211955" y="2031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60" name="Freeform 139">
          <a:extLst>
            <a:ext uri="{FF2B5EF4-FFF2-40B4-BE49-F238E27FC236}">
              <a16:creationId xmlns:a16="http://schemas.microsoft.com/office/drawing/2014/main" id="{D2F73027-A5AE-D839-AD71-2025DE936B21}"/>
            </a:ext>
          </a:extLst>
        </xdr:cNvPr>
        <xdr:cNvSpPr/>
      </xdr:nvSpPr>
      <xdr:spPr>
        <a:xfrm>
          <a:off x="688975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61" name="Freeform 266">
          <a:extLst>
            <a:ext uri="{FF2B5EF4-FFF2-40B4-BE49-F238E27FC236}">
              <a16:creationId xmlns:a16="http://schemas.microsoft.com/office/drawing/2014/main" id="{08E03A42-F865-EAC0-76A5-7BE027ECB72B}"/>
            </a:ext>
          </a:extLst>
        </xdr:cNvPr>
        <xdr:cNvSpPr/>
      </xdr:nvSpPr>
      <xdr:spPr>
        <a:xfrm>
          <a:off x="4211955" y="172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62" name="Freeform 400">
          <a:extLst>
            <a:ext uri="{FF2B5EF4-FFF2-40B4-BE49-F238E27FC236}">
              <a16:creationId xmlns:a16="http://schemas.microsoft.com/office/drawing/2014/main" id="{01D44610-81AB-4D6F-1F80-9789734A80BA}"/>
            </a:ext>
          </a:extLst>
        </xdr:cNvPr>
        <xdr:cNvSpPr/>
      </xdr:nvSpPr>
      <xdr:spPr>
        <a:xfrm>
          <a:off x="4211955" y="1894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63" name="Freeform 588">
          <a:extLst>
            <a:ext uri="{FF2B5EF4-FFF2-40B4-BE49-F238E27FC236}">
              <a16:creationId xmlns:a16="http://schemas.microsoft.com/office/drawing/2014/main" id="{CA30F8E3-DEAA-DB68-15FA-BB145CA3BA6D}"/>
            </a:ext>
          </a:extLst>
        </xdr:cNvPr>
        <xdr:cNvSpPr/>
      </xdr:nvSpPr>
      <xdr:spPr>
        <a:xfrm>
          <a:off x="5100955" y="20326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9525</xdr:rowOff>
    </xdr:from>
    <xdr:to>
      <xdr:col>0</xdr:col>
      <xdr:colOff>5715</xdr:colOff>
      <xdr:row>276</xdr:row>
      <xdr:rowOff>15240</xdr:rowOff>
    </xdr:to>
    <xdr:sp macro="" textlink="">
      <xdr:nvSpPr>
        <xdr:cNvPr id="27648" name="Freeform 592">
          <a:extLst>
            <a:ext uri="{FF2B5EF4-FFF2-40B4-BE49-F238E27FC236}">
              <a16:creationId xmlns:a16="http://schemas.microsoft.com/office/drawing/2014/main" id="{5D7DB22F-C952-2E21-47CD-7D8C18FDC3FA}"/>
            </a:ext>
          </a:extLst>
        </xdr:cNvPr>
        <xdr:cNvSpPr/>
      </xdr:nvSpPr>
      <xdr:spPr>
        <a:xfrm>
          <a:off x="5993765" y="20427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27649" name="Freeform 267">
          <a:extLst>
            <a:ext uri="{FF2B5EF4-FFF2-40B4-BE49-F238E27FC236}">
              <a16:creationId xmlns:a16="http://schemas.microsoft.com/office/drawing/2014/main" id="{6FF63D5B-D774-2F02-A68C-8BC3112D0F07}"/>
            </a:ext>
          </a:extLst>
        </xdr:cNvPr>
        <xdr:cNvSpPr/>
      </xdr:nvSpPr>
      <xdr:spPr>
        <a:xfrm>
          <a:off x="5103495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27650" name="Freeform 401">
          <a:extLst>
            <a:ext uri="{FF2B5EF4-FFF2-40B4-BE49-F238E27FC236}">
              <a16:creationId xmlns:a16="http://schemas.microsoft.com/office/drawing/2014/main" id="{8858255A-5CCE-6834-D42C-84B62ECA6E8C}"/>
            </a:ext>
          </a:extLst>
        </xdr:cNvPr>
        <xdr:cNvSpPr/>
      </xdr:nvSpPr>
      <xdr:spPr>
        <a:xfrm>
          <a:off x="5103495" y="1900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9525</xdr:rowOff>
    </xdr:from>
    <xdr:to>
      <xdr:col>1</xdr:col>
      <xdr:colOff>291465</xdr:colOff>
      <xdr:row>276</xdr:row>
      <xdr:rowOff>15240</xdr:rowOff>
    </xdr:to>
    <xdr:sp macro="" textlink="">
      <xdr:nvSpPr>
        <xdr:cNvPr id="27651" name="Freeform 593">
          <a:extLst>
            <a:ext uri="{FF2B5EF4-FFF2-40B4-BE49-F238E27FC236}">
              <a16:creationId xmlns:a16="http://schemas.microsoft.com/office/drawing/2014/main" id="{F0211587-F8D0-E6E7-CBAD-B05A54E1653F}"/>
            </a:ext>
          </a:extLst>
        </xdr:cNvPr>
        <xdr:cNvSpPr/>
      </xdr:nvSpPr>
      <xdr:spPr>
        <a:xfrm>
          <a:off x="6887845" y="20427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27652" name="Freeform 271">
          <a:extLst>
            <a:ext uri="{FF2B5EF4-FFF2-40B4-BE49-F238E27FC236}">
              <a16:creationId xmlns:a16="http://schemas.microsoft.com/office/drawing/2014/main" id="{8C690C4C-ABC2-01B0-3F03-632B8EDF8872}"/>
            </a:ext>
          </a:extLst>
        </xdr:cNvPr>
        <xdr:cNvSpPr/>
      </xdr:nvSpPr>
      <xdr:spPr>
        <a:xfrm>
          <a:off x="5995670" y="1726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27654" name="Freeform 403">
          <a:extLst>
            <a:ext uri="{FF2B5EF4-FFF2-40B4-BE49-F238E27FC236}">
              <a16:creationId xmlns:a16="http://schemas.microsoft.com/office/drawing/2014/main" id="{A2794F5A-94ED-D3DA-BBDD-63DCE6E5CAC5}"/>
            </a:ext>
          </a:extLst>
        </xdr:cNvPr>
        <xdr:cNvSpPr/>
      </xdr:nvSpPr>
      <xdr:spPr>
        <a:xfrm>
          <a:off x="599567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27655" name="Freeform 272">
          <a:extLst>
            <a:ext uri="{FF2B5EF4-FFF2-40B4-BE49-F238E27FC236}">
              <a16:creationId xmlns:a16="http://schemas.microsoft.com/office/drawing/2014/main" id="{96AA3FB1-1A5D-8B54-0F2C-014C15A10CFD}"/>
            </a:ext>
          </a:extLst>
        </xdr:cNvPr>
        <xdr:cNvSpPr/>
      </xdr:nvSpPr>
      <xdr:spPr>
        <a:xfrm>
          <a:off x="6889750" y="1726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27656" name="Freeform 404">
          <a:extLst>
            <a:ext uri="{FF2B5EF4-FFF2-40B4-BE49-F238E27FC236}">
              <a16:creationId xmlns:a16="http://schemas.microsoft.com/office/drawing/2014/main" id="{E8B6A416-9834-2B90-62B7-510B62EFACFA}"/>
            </a:ext>
          </a:extLst>
        </xdr:cNvPr>
        <xdr:cNvSpPr/>
      </xdr:nvSpPr>
      <xdr:spPr>
        <a:xfrm>
          <a:off x="68897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7" name="Freeform 578">
          <a:extLst>
            <a:ext uri="{FF2B5EF4-FFF2-40B4-BE49-F238E27FC236}">
              <a16:creationId xmlns:a16="http://schemas.microsoft.com/office/drawing/2014/main" id="{D12E5DD8-E8C5-EE1C-8EEB-9C4542B36293}"/>
            </a:ext>
          </a:extLst>
        </xdr:cNvPr>
        <xdr:cNvSpPr/>
      </xdr:nvSpPr>
      <xdr:spPr>
        <a:xfrm>
          <a:off x="641350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277</xdr:row>
      <xdr:rowOff>0</xdr:rowOff>
    </xdr:from>
    <xdr:to>
      <xdr:col>1</xdr:col>
      <xdr:colOff>281940</xdr:colOff>
      <xdr:row>277</xdr:row>
      <xdr:rowOff>5715</xdr:rowOff>
    </xdr:to>
    <xdr:sp macro="" textlink="">
      <xdr:nvSpPr>
        <xdr:cNvPr id="27658" name="Freeform 579">
          <a:extLst>
            <a:ext uri="{FF2B5EF4-FFF2-40B4-BE49-F238E27FC236}">
              <a16:creationId xmlns:a16="http://schemas.microsoft.com/office/drawing/2014/main" id="{641F271F-6DEF-98CD-65F6-5C45ECF9E1B1}"/>
            </a:ext>
          </a:extLst>
        </xdr:cNvPr>
        <xdr:cNvSpPr/>
      </xdr:nvSpPr>
      <xdr:spPr>
        <a:xfrm>
          <a:off x="1535430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9" name="Freeform 584">
          <a:extLst>
            <a:ext uri="{FF2B5EF4-FFF2-40B4-BE49-F238E27FC236}">
              <a16:creationId xmlns:a16="http://schemas.microsoft.com/office/drawing/2014/main" id="{BB2D65E2-50CE-9304-3D80-0A3D568954B8}"/>
            </a:ext>
          </a:extLst>
        </xdr:cNvPr>
        <xdr:cNvSpPr/>
      </xdr:nvSpPr>
      <xdr:spPr>
        <a:xfrm>
          <a:off x="2425065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0" name="Freeform 585">
          <a:extLst>
            <a:ext uri="{FF2B5EF4-FFF2-40B4-BE49-F238E27FC236}">
              <a16:creationId xmlns:a16="http://schemas.microsoft.com/office/drawing/2014/main" id="{6068DFC3-C972-32B7-9CD0-6E51C6661890}"/>
            </a:ext>
          </a:extLst>
        </xdr:cNvPr>
        <xdr:cNvSpPr/>
      </xdr:nvSpPr>
      <xdr:spPr>
        <a:xfrm>
          <a:off x="3319145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1" name="Freeform 597">
          <a:extLst>
            <a:ext uri="{FF2B5EF4-FFF2-40B4-BE49-F238E27FC236}">
              <a16:creationId xmlns:a16="http://schemas.microsoft.com/office/drawing/2014/main" id="{2FEA5D37-D0F5-EB95-8BEC-7AF44E1C85A5}"/>
            </a:ext>
          </a:extLst>
        </xdr:cNvPr>
        <xdr:cNvSpPr/>
      </xdr:nvSpPr>
      <xdr:spPr>
        <a:xfrm>
          <a:off x="4211955" y="221996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2" name="Freeform 589">
          <a:extLst>
            <a:ext uri="{FF2B5EF4-FFF2-40B4-BE49-F238E27FC236}">
              <a16:creationId xmlns:a16="http://schemas.microsoft.com/office/drawing/2014/main" id="{95F699A5-98E8-6F03-A49D-20D641A8D38B}"/>
            </a:ext>
          </a:extLst>
        </xdr:cNvPr>
        <xdr:cNvSpPr/>
      </xdr:nvSpPr>
      <xdr:spPr>
        <a:xfrm>
          <a:off x="5100955" y="22212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3" name="Freeform 594">
          <a:extLst>
            <a:ext uri="{FF2B5EF4-FFF2-40B4-BE49-F238E27FC236}">
              <a16:creationId xmlns:a16="http://schemas.microsoft.com/office/drawing/2014/main" id="{C82B9DD2-3E6E-7A9C-FA6C-EB8FB51F3721}"/>
            </a:ext>
          </a:extLst>
        </xdr:cNvPr>
        <xdr:cNvSpPr/>
      </xdr:nvSpPr>
      <xdr:spPr>
        <a:xfrm>
          <a:off x="5993765" y="22320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4" name="Freeform 595">
          <a:extLst>
            <a:ext uri="{FF2B5EF4-FFF2-40B4-BE49-F238E27FC236}">
              <a16:creationId xmlns:a16="http://schemas.microsoft.com/office/drawing/2014/main" id="{7239A5DC-E935-09C2-9227-F5CD11E7FEAE}"/>
            </a:ext>
          </a:extLst>
        </xdr:cNvPr>
        <xdr:cNvSpPr/>
      </xdr:nvSpPr>
      <xdr:spPr>
        <a:xfrm>
          <a:off x="6887845" y="22320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65" name="Freeform 396">
          <a:extLst>
            <a:ext uri="{FF2B5EF4-FFF2-40B4-BE49-F238E27FC236}">
              <a16:creationId xmlns:a16="http://schemas.microsoft.com/office/drawing/2014/main" id="{21EC2218-4806-428D-F241-0B99584B967E}"/>
            </a:ext>
          </a:extLst>
        </xdr:cNvPr>
        <xdr:cNvSpPr/>
      </xdr:nvSpPr>
      <xdr:spPr>
        <a:xfrm>
          <a:off x="641350" y="24491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171450</xdr:rowOff>
    </xdr:from>
    <xdr:to>
      <xdr:col>1</xdr:col>
      <xdr:colOff>281940</xdr:colOff>
      <xdr:row>189</xdr:row>
      <xdr:rowOff>177165</xdr:rowOff>
    </xdr:to>
    <xdr:sp macro="" textlink="">
      <xdr:nvSpPr>
        <xdr:cNvPr id="27666" name="Freeform 397">
          <a:extLst>
            <a:ext uri="{FF2B5EF4-FFF2-40B4-BE49-F238E27FC236}">
              <a16:creationId xmlns:a16="http://schemas.microsoft.com/office/drawing/2014/main" id="{9367C122-0DDC-A69F-BEE8-F2237EC0D748}"/>
            </a:ext>
          </a:extLst>
        </xdr:cNvPr>
        <xdr:cNvSpPr/>
      </xdr:nvSpPr>
      <xdr:spPr>
        <a:xfrm>
          <a:off x="1535430" y="2449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27667" name="Freeform 405">
          <a:extLst>
            <a:ext uri="{FF2B5EF4-FFF2-40B4-BE49-F238E27FC236}">
              <a16:creationId xmlns:a16="http://schemas.microsoft.com/office/drawing/2014/main" id="{1E69F986-CF81-AE4A-E801-BED71643C283}"/>
            </a:ext>
          </a:extLst>
        </xdr:cNvPr>
        <xdr:cNvSpPr/>
      </xdr:nvSpPr>
      <xdr:spPr>
        <a:xfrm>
          <a:off x="2424430" y="24428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8" name="Freeform 406">
          <a:extLst>
            <a:ext uri="{FF2B5EF4-FFF2-40B4-BE49-F238E27FC236}">
              <a16:creationId xmlns:a16="http://schemas.microsoft.com/office/drawing/2014/main" id="{5F36D310-2561-4B7E-C355-E83AD07F1DF9}"/>
            </a:ext>
          </a:extLst>
        </xdr:cNvPr>
        <xdr:cNvSpPr/>
      </xdr:nvSpPr>
      <xdr:spPr>
        <a:xfrm>
          <a:off x="3318510" y="24428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9" name="Freeform 407">
          <a:extLst>
            <a:ext uri="{FF2B5EF4-FFF2-40B4-BE49-F238E27FC236}">
              <a16:creationId xmlns:a16="http://schemas.microsoft.com/office/drawing/2014/main" id="{31E0A908-F08C-C485-968C-00ADEDEBBF9C}"/>
            </a:ext>
          </a:extLst>
        </xdr:cNvPr>
        <xdr:cNvSpPr/>
      </xdr:nvSpPr>
      <xdr:spPr>
        <a:xfrm>
          <a:off x="4211955" y="24428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71" name="Freeform 402">
          <a:extLst>
            <a:ext uri="{FF2B5EF4-FFF2-40B4-BE49-F238E27FC236}">
              <a16:creationId xmlns:a16="http://schemas.microsoft.com/office/drawing/2014/main" id="{44A96B99-3A80-9CCC-2E82-BB0644F9FCF4}"/>
            </a:ext>
          </a:extLst>
        </xdr:cNvPr>
        <xdr:cNvSpPr/>
      </xdr:nvSpPr>
      <xdr:spPr>
        <a:xfrm>
          <a:off x="5102225" y="24485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9525</xdr:rowOff>
    </xdr:from>
    <xdr:to>
      <xdr:col>0</xdr:col>
      <xdr:colOff>5715</xdr:colOff>
      <xdr:row>190</xdr:row>
      <xdr:rowOff>15240</xdr:rowOff>
    </xdr:to>
    <xdr:sp macro="" textlink="">
      <xdr:nvSpPr>
        <xdr:cNvPr id="27672" name="Freeform 408">
          <a:extLst>
            <a:ext uri="{FF2B5EF4-FFF2-40B4-BE49-F238E27FC236}">
              <a16:creationId xmlns:a16="http://schemas.microsoft.com/office/drawing/2014/main" id="{39FFFEF6-89DB-A8B7-BFF3-9542528B57DC}"/>
            </a:ext>
          </a:extLst>
        </xdr:cNvPr>
        <xdr:cNvSpPr/>
      </xdr:nvSpPr>
      <xdr:spPr>
        <a:xfrm>
          <a:off x="5995670" y="2447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9525</xdr:rowOff>
    </xdr:from>
    <xdr:to>
      <xdr:col>1</xdr:col>
      <xdr:colOff>291465</xdr:colOff>
      <xdr:row>190</xdr:row>
      <xdr:rowOff>15240</xdr:rowOff>
    </xdr:to>
    <xdr:sp macro="" textlink="">
      <xdr:nvSpPr>
        <xdr:cNvPr id="27673" name="Freeform 409">
          <a:extLst>
            <a:ext uri="{FF2B5EF4-FFF2-40B4-BE49-F238E27FC236}">
              <a16:creationId xmlns:a16="http://schemas.microsoft.com/office/drawing/2014/main" id="{A0EC0556-94D0-B997-F674-3AE83A12382D}"/>
            </a:ext>
          </a:extLst>
        </xdr:cNvPr>
        <xdr:cNvSpPr/>
      </xdr:nvSpPr>
      <xdr:spPr>
        <a:xfrm>
          <a:off x="6889750" y="2447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4" name="Freeform 140">
          <a:extLst>
            <a:ext uri="{FF2B5EF4-FFF2-40B4-BE49-F238E27FC236}">
              <a16:creationId xmlns:a16="http://schemas.microsoft.com/office/drawing/2014/main" id="{0A811FEE-F4BF-413A-FEDC-E77EF3C99DE6}"/>
            </a:ext>
          </a:extLst>
        </xdr:cNvPr>
        <xdr:cNvSpPr/>
      </xdr:nvSpPr>
      <xdr:spPr>
        <a:xfrm>
          <a:off x="641350" y="19900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</xdr:row>
      <xdr:rowOff>0</xdr:rowOff>
    </xdr:from>
    <xdr:to>
      <xdr:col>1</xdr:col>
      <xdr:colOff>281940</xdr:colOff>
      <xdr:row>8</xdr:row>
      <xdr:rowOff>5715</xdr:rowOff>
    </xdr:to>
    <xdr:sp macro="" textlink="">
      <xdr:nvSpPr>
        <xdr:cNvPr id="27675" name="Freeform 141">
          <a:extLst>
            <a:ext uri="{FF2B5EF4-FFF2-40B4-BE49-F238E27FC236}">
              <a16:creationId xmlns:a16="http://schemas.microsoft.com/office/drawing/2014/main" id="{60F1D326-3E8F-DB9F-E73E-DB0E6E7BEF9A}"/>
            </a:ext>
          </a:extLst>
        </xdr:cNvPr>
        <xdr:cNvSpPr/>
      </xdr:nvSpPr>
      <xdr:spPr>
        <a:xfrm>
          <a:off x="153543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6" name="Freeform 142">
          <a:extLst>
            <a:ext uri="{FF2B5EF4-FFF2-40B4-BE49-F238E27FC236}">
              <a16:creationId xmlns:a16="http://schemas.microsoft.com/office/drawing/2014/main" id="{18AC8A97-7C0A-184B-2D66-3C9BBA51D5BF}"/>
            </a:ext>
          </a:extLst>
        </xdr:cNvPr>
        <xdr:cNvSpPr/>
      </xdr:nvSpPr>
      <xdr:spPr>
        <a:xfrm>
          <a:off x="2424430" y="19894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27677" name="Freeform 135">
          <a:extLst>
            <a:ext uri="{FF2B5EF4-FFF2-40B4-BE49-F238E27FC236}">
              <a16:creationId xmlns:a16="http://schemas.microsoft.com/office/drawing/2014/main" id="{2B52E239-43D0-71E8-C06F-3AF7075C633A}"/>
            </a:ext>
          </a:extLst>
        </xdr:cNvPr>
        <xdr:cNvSpPr/>
      </xdr:nvSpPr>
      <xdr:spPr>
        <a:xfrm>
          <a:off x="3316605" y="20027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7</xdr:row>
      <xdr:rowOff>104775</xdr:rowOff>
    </xdr:from>
    <xdr:to>
      <xdr:col>1</xdr:col>
      <xdr:colOff>291465</xdr:colOff>
      <xdr:row>7</xdr:row>
      <xdr:rowOff>110490</xdr:rowOff>
    </xdr:to>
    <xdr:sp macro="" textlink="">
      <xdr:nvSpPr>
        <xdr:cNvPr id="27678" name="Freeform 136">
          <a:extLst>
            <a:ext uri="{FF2B5EF4-FFF2-40B4-BE49-F238E27FC236}">
              <a16:creationId xmlns:a16="http://schemas.microsoft.com/office/drawing/2014/main" id="{EC006D82-8C77-DC12-9162-CB61A4626925}"/>
            </a:ext>
          </a:extLst>
        </xdr:cNvPr>
        <xdr:cNvSpPr/>
      </xdr:nvSpPr>
      <xdr:spPr>
        <a:xfrm>
          <a:off x="4211320" y="200279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79" name="Freeform 273">
          <a:extLst>
            <a:ext uri="{FF2B5EF4-FFF2-40B4-BE49-F238E27FC236}">
              <a16:creationId xmlns:a16="http://schemas.microsoft.com/office/drawing/2014/main" id="{186C5812-AF03-873C-09E8-6D1582A47FB5}"/>
            </a:ext>
          </a:extLst>
        </xdr:cNvPr>
        <xdr:cNvSpPr/>
      </xdr:nvSpPr>
      <xdr:spPr>
        <a:xfrm>
          <a:off x="64135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0" name="Freeform 143">
          <a:extLst>
            <a:ext uri="{FF2B5EF4-FFF2-40B4-BE49-F238E27FC236}">
              <a16:creationId xmlns:a16="http://schemas.microsoft.com/office/drawing/2014/main" id="{BE30F475-0DBE-C0C8-B660-7D53E37FAD16}"/>
            </a:ext>
          </a:extLst>
        </xdr:cNvPr>
        <xdr:cNvSpPr/>
      </xdr:nvSpPr>
      <xdr:spPr>
        <a:xfrm>
          <a:off x="510286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94</xdr:row>
      <xdr:rowOff>0</xdr:rowOff>
    </xdr:from>
    <xdr:to>
      <xdr:col>1</xdr:col>
      <xdr:colOff>281940</xdr:colOff>
      <xdr:row>94</xdr:row>
      <xdr:rowOff>5715</xdr:rowOff>
    </xdr:to>
    <xdr:sp macro="" textlink="">
      <xdr:nvSpPr>
        <xdr:cNvPr id="27681" name="Freeform 274">
          <a:extLst>
            <a:ext uri="{FF2B5EF4-FFF2-40B4-BE49-F238E27FC236}">
              <a16:creationId xmlns:a16="http://schemas.microsoft.com/office/drawing/2014/main" id="{BFE51BB1-8D7A-B521-16FF-05966047F5A0}"/>
            </a:ext>
          </a:extLst>
        </xdr:cNvPr>
        <xdr:cNvSpPr/>
      </xdr:nvSpPr>
      <xdr:spPr>
        <a:xfrm>
          <a:off x="1535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82" name="Freeform 148">
          <a:extLst>
            <a:ext uri="{FF2B5EF4-FFF2-40B4-BE49-F238E27FC236}">
              <a16:creationId xmlns:a16="http://schemas.microsoft.com/office/drawing/2014/main" id="{2821E470-E011-3419-5909-98FB41175DD6}"/>
            </a:ext>
          </a:extLst>
        </xdr:cNvPr>
        <xdr:cNvSpPr/>
      </xdr:nvSpPr>
      <xdr:spPr>
        <a:xfrm>
          <a:off x="5995035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83" name="Freeform 279">
          <a:extLst>
            <a:ext uri="{FF2B5EF4-FFF2-40B4-BE49-F238E27FC236}">
              <a16:creationId xmlns:a16="http://schemas.microsoft.com/office/drawing/2014/main" id="{8A3D3320-6CF8-39E8-A731-5F8476710736}"/>
            </a:ext>
          </a:extLst>
        </xdr:cNvPr>
        <xdr:cNvSpPr/>
      </xdr:nvSpPr>
      <xdr:spPr>
        <a:xfrm>
          <a:off x="2424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4" name="Freeform 149">
          <a:extLst>
            <a:ext uri="{FF2B5EF4-FFF2-40B4-BE49-F238E27FC236}">
              <a16:creationId xmlns:a16="http://schemas.microsoft.com/office/drawing/2014/main" id="{8A9E7753-DBC9-7A36-4A21-56DE75211CFE}"/>
            </a:ext>
          </a:extLst>
        </xdr:cNvPr>
        <xdr:cNvSpPr/>
      </xdr:nvSpPr>
      <xdr:spPr>
        <a:xfrm>
          <a:off x="688975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5" name="Freeform 280">
          <a:extLst>
            <a:ext uri="{FF2B5EF4-FFF2-40B4-BE49-F238E27FC236}">
              <a16:creationId xmlns:a16="http://schemas.microsoft.com/office/drawing/2014/main" id="{9A32E570-8842-D894-AE0F-1CCE8D8A2C97}"/>
            </a:ext>
          </a:extLst>
        </xdr:cNvPr>
        <xdr:cNvSpPr/>
      </xdr:nvSpPr>
      <xdr:spPr>
        <a:xfrm>
          <a:off x="331851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6" name="Freeform 281">
          <a:extLst>
            <a:ext uri="{FF2B5EF4-FFF2-40B4-BE49-F238E27FC236}">
              <a16:creationId xmlns:a16="http://schemas.microsoft.com/office/drawing/2014/main" id="{2FBCA78E-93D4-4C29-E65F-E4F4315DEB0D}"/>
            </a:ext>
          </a:extLst>
        </xdr:cNvPr>
        <xdr:cNvSpPr/>
      </xdr:nvSpPr>
      <xdr:spPr>
        <a:xfrm>
          <a:off x="4211955" y="226250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27687" name="Freeform 268">
          <a:extLst>
            <a:ext uri="{FF2B5EF4-FFF2-40B4-BE49-F238E27FC236}">
              <a16:creationId xmlns:a16="http://schemas.microsoft.com/office/drawing/2014/main" id="{E3A9DE65-B41D-B293-5AA0-8EF0AC69A7D7}"/>
            </a:ext>
          </a:extLst>
        </xdr:cNvPr>
        <xdr:cNvSpPr/>
      </xdr:nvSpPr>
      <xdr:spPr>
        <a:xfrm>
          <a:off x="5102225" y="22752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27688" name="Freeform 282">
          <a:extLst>
            <a:ext uri="{FF2B5EF4-FFF2-40B4-BE49-F238E27FC236}">
              <a16:creationId xmlns:a16="http://schemas.microsoft.com/office/drawing/2014/main" id="{BB237105-D8F5-870D-80FD-A562F0D9B9AA}"/>
            </a:ext>
          </a:extLst>
        </xdr:cNvPr>
        <xdr:cNvSpPr/>
      </xdr:nvSpPr>
      <xdr:spPr>
        <a:xfrm>
          <a:off x="5995670" y="22682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27689" name="Freeform 283">
          <a:extLst>
            <a:ext uri="{FF2B5EF4-FFF2-40B4-BE49-F238E27FC236}">
              <a16:creationId xmlns:a16="http://schemas.microsoft.com/office/drawing/2014/main" id="{5BFD3336-1573-04B7-0386-F12DC4B5C388}"/>
            </a:ext>
          </a:extLst>
        </xdr:cNvPr>
        <xdr:cNvSpPr/>
      </xdr:nvSpPr>
      <xdr:spPr>
        <a:xfrm>
          <a:off x="6889750" y="22682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692" name="Freeform 605">
          <a:extLst>
            <a:ext uri="{FF2B5EF4-FFF2-40B4-BE49-F238E27FC236}">
              <a16:creationId xmlns:a16="http://schemas.microsoft.com/office/drawing/2014/main" id="{71ED9C0E-0180-3A3B-AAC0-2400DC2DFB79}"/>
            </a:ext>
          </a:extLst>
        </xdr:cNvPr>
        <xdr:cNvSpPr/>
      </xdr:nvSpPr>
      <xdr:spPr>
        <a:xfrm>
          <a:off x="24250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3" name="Freeform 410">
          <a:extLst>
            <a:ext uri="{FF2B5EF4-FFF2-40B4-BE49-F238E27FC236}">
              <a16:creationId xmlns:a16="http://schemas.microsoft.com/office/drawing/2014/main" id="{B4FE1ADA-DF37-F03E-62D2-7C84C29A2D7C}"/>
            </a:ext>
          </a:extLst>
        </xdr:cNvPr>
        <xdr:cNvSpPr/>
      </xdr:nvSpPr>
      <xdr:spPr>
        <a:xfrm>
          <a:off x="6413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4" name="Freeform 606">
          <a:extLst>
            <a:ext uri="{FF2B5EF4-FFF2-40B4-BE49-F238E27FC236}">
              <a16:creationId xmlns:a16="http://schemas.microsoft.com/office/drawing/2014/main" id="{9788367B-404E-9DE5-B246-C1F482993806}"/>
            </a:ext>
          </a:extLst>
        </xdr:cNvPr>
        <xdr:cNvSpPr/>
      </xdr:nvSpPr>
      <xdr:spPr>
        <a:xfrm>
          <a:off x="33191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0</xdr:rowOff>
    </xdr:from>
    <xdr:to>
      <xdr:col>1</xdr:col>
      <xdr:colOff>281940</xdr:colOff>
      <xdr:row>191</xdr:row>
      <xdr:rowOff>5715</xdr:rowOff>
    </xdr:to>
    <xdr:sp macro="" textlink="">
      <xdr:nvSpPr>
        <xdr:cNvPr id="27695" name="Freeform 411">
          <a:extLst>
            <a:ext uri="{FF2B5EF4-FFF2-40B4-BE49-F238E27FC236}">
              <a16:creationId xmlns:a16="http://schemas.microsoft.com/office/drawing/2014/main" id="{026C06EF-56D3-28A0-B406-2E401B0B18F5}"/>
            </a:ext>
          </a:extLst>
        </xdr:cNvPr>
        <xdr:cNvSpPr/>
      </xdr:nvSpPr>
      <xdr:spPr>
        <a:xfrm>
          <a:off x="1535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6" name="Freeform 629">
          <a:extLst>
            <a:ext uri="{FF2B5EF4-FFF2-40B4-BE49-F238E27FC236}">
              <a16:creationId xmlns:a16="http://schemas.microsoft.com/office/drawing/2014/main" id="{92090D50-85C8-7F95-3849-3155BD6B8B89}"/>
            </a:ext>
          </a:extLst>
        </xdr:cNvPr>
        <xdr:cNvSpPr/>
      </xdr:nvSpPr>
      <xdr:spPr>
        <a:xfrm>
          <a:off x="4211955" y="240220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7" name="Freeform 416">
          <a:extLst>
            <a:ext uri="{FF2B5EF4-FFF2-40B4-BE49-F238E27FC236}">
              <a16:creationId xmlns:a16="http://schemas.microsoft.com/office/drawing/2014/main" id="{0AD2901C-3BB6-33C9-8A0B-1A216BC1C438}"/>
            </a:ext>
          </a:extLst>
        </xdr:cNvPr>
        <xdr:cNvSpPr/>
      </xdr:nvSpPr>
      <xdr:spPr>
        <a:xfrm>
          <a:off x="2424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698" name="Freeform 152">
          <a:extLst>
            <a:ext uri="{FF2B5EF4-FFF2-40B4-BE49-F238E27FC236}">
              <a16:creationId xmlns:a16="http://schemas.microsoft.com/office/drawing/2014/main" id="{2AD4BFD7-3664-18E5-7A30-81EE6E2EA59D}"/>
            </a:ext>
          </a:extLst>
        </xdr:cNvPr>
        <xdr:cNvSpPr/>
      </xdr:nvSpPr>
      <xdr:spPr>
        <a:xfrm>
          <a:off x="242443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9" name="Freeform 630">
          <a:extLst>
            <a:ext uri="{FF2B5EF4-FFF2-40B4-BE49-F238E27FC236}">
              <a16:creationId xmlns:a16="http://schemas.microsoft.com/office/drawing/2014/main" id="{846F38E4-5F1B-F4AF-0557-38A69E3A50A0}"/>
            </a:ext>
          </a:extLst>
        </xdr:cNvPr>
        <xdr:cNvSpPr/>
      </xdr:nvSpPr>
      <xdr:spPr>
        <a:xfrm>
          <a:off x="5102860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0" name="Freeform 417">
          <a:extLst>
            <a:ext uri="{FF2B5EF4-FFF2-40B4-BE49-F238E27FC236}">
              <a16:creationId xmlns:a16="http://schemas.microsoft.com/office/drawing/2014/main" id="{0D62D19E-A4FD-053A-068B-79785F50E7E2}"/>
            </a:ext>
          </a:extLst>
        </xdr:cNvPr>
        <xdr:cNvSpPr/>
      </xdr:nvSpPr>
      <xdr:spPr>
        <a:xfrm>
          <a:off x="331851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1" name="Freeform 153">
          <a:extLst>
            <a:ext uri="{FF2B5EF4-FFF2-40B4-BE49-F238E27FC236}">
              <a16:creationId xmlns:a16="http://schemas.microsoft.com/office/drawing/2014/main" id="{D49D96CC-DBD6-B717-2C4C-8EBF7C1A7738}"/>
            </a:ext>
          </a:extLst>
        </xdr:cNvPr>
        <xdr:cNvSpPr/>
      </xdr:nvSpPr>
      <xdr:spPr>
        <a:xfrm>
          <a:off x="3318510" y="24707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702" name="Freeform 642">
          <a:extLst>
            <a:ext uri="{FF2B5EF4-FFF2-40B4-BE49-F238E27FC236}">
              <a16:creationId xmlns:a16="http://schemas.microsoft.com/office/drawing/2014/main" id="{16B5CFE4-CC9C-8BF3-4721-E9502A42280C}"/>
            </a:ext>
          </a:extLst>
        </xdr:cNvPr>
        <xdr:cNvSpPr/>
      </xdr:nvSpPr>
      <xdr:spPr>
        <a:xfrm>
          <a:off x="59937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171450</xdr:rowOff>
    </xdr:from>
    <xdr:to>
      <xdr:col>0</xdr:col>
      <xdr:colOff>5715</xdr:colOff>
      <xdr:row>96</xdr:row>
      <xdr:rowOff>177165</xdr:rowOff>
    </xdr:to>
    <xdr:sp macro="" textlink="">
      <xdr:nvSpPr>
        <xdr:cNvPr id="27703" name="Freeform 275">
          <a:extLst>
            <a:ext uri="{FF2B5EF4-FFF2-40B4-BE49-F238E27FC236}">
              <a16:creationId xmlns:a16="http://schemas.microsoft.com/office/drawing/2014/main" id="{FB9CAC19-F37F-5834-82E3-CBAF85B4888F}"/>
            </a:ext>
          </a:extLst>
        </xdr:cNvPr>
        <xdr:cNvSpPr/>
      </xdr:nvSpPr>
      <xdr:spPr>
        <a:xfrm>
          <a:off x="641350" y="2816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4" name="Freeform 418">
          <a:extLst>
            <a:ext uri="{FF2B5EF4-FFF2-40B4-BE49-F238E27FC236}">
              <a16:creationId xmlns:a16="http://schemas.microsoft.com/office/drawing/2014/main" id="{A697AC0E-5DAF-A6F0-EE31-594C331F1F2B}"/>
            </a:ext>
          </a:extLst>
        </xdr:cNvPr>
        <xdr:cNvSpPr/>
      </xdr:nvSpPr>
      <xdr:spPr>
        <a:xfrm>
          <a:off x="4211955" y="299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5" name="Freeform 154">
          <a:extLst>
            <a:ext uri="{FF2B5EF4-FFF2-40B4-BE49-F238E27FC236}">
              <a16:creationId xmlns:a16="http://schemas.microsoft.com/office/drawing/2014/main" id="{EBDB0FFF-20B6-9EE3-EB87-513CF6935B40}"/>
            </a:ext>
          </a:extLst>
        </xdr:cNvPr>
        <xdr:cNvSpPr/>
      </xdr:nvSpPr>
      <xdr:spPr>
        <a:xfrm>
          <a:off x="4211320" y="24707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171450</xdr:rowOff>
    </xdr:from>
    <xdr:to>
      <xdr:col>1</xdr:col>
      <xdr:colOff>281940</xdr:colOff>
      <xdr:row>96</xdr:row>
      <xdr:rowOff>177165</xdr:rowOff>
    </xdr:to>
    <xdr:sp macro="" textlink="">
      <xdr:nvSpPr>
        <xdr:cNvPr id="27706" name="Freeform 276">
          <a:extLst>
            <a:ext uri="{FF2B5EF4-FFF2-40B4-BE49-F238E27FC236}">
              <a16:creationId xmlns:a16="http://schemas.microsoft.com/office/drawing/2014/main" id="{738BCDF5-F5C3-6940-E6AE-F49D5D20BE3A}"/>
            </a:ext>
          </a:extLst>
        </xdr:cNvPr>
        <xdr:cNvSpPr/>
      </xdr:nvSpPr>
      <xdr:spPr>
        <a:xfrm>
          <a:off x="1535430" y="2816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707" name="Freeform 643">
          <a:extLst>
            <a:ext uri="{FF2B5EF4-FFF2-40B4-BE49-F238E27FC236}">
              <a16:creationId xmlns:a16="http://schemas.microsoft.com/office/drawing/2014/main" id="{2D896CE1-5A0C-403D-8EE1-50CE74DFC0E5}"/>
            </a:ext>
          </a:extLst>
        </xdr:cNvPr>
        <xdr:cNvSpPr/>
      </xdr:nvSpPr>
      <xdr:spPr>
        <a:xfrm>
          <a:off x="68878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08" name="Freeform 284">
          <a:extLst>
            <a:ext uri="{FF2B5EF4-FFF2-40B4-BE49-F238E27FC236}">
              <a16:creationId xmlns:a16="http://schemas.microsoft.com/office/drawing/2014/main" id="{6357AE3B-41A6-BA85-135B-1F80A663597B}"/>
            </a:ext>
          </a:extLst>
        </xdr:cNvPr>
        <xdr:cNvSpPr/>
      </xdr:nvSpPr>
      <xdr:spPr>
        <a:xfrm>
          <a:off x="242443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9" name="Freeform 419">
          <a:extLst>
            <a:ext uri="{FF2B5EF4-FFF2-40B4-BE49-F238E27FC236}">
              <a16:creationId xmlns:a16="http://schemas.microsoft.com/office/drawing/2014/main" id="{0EE6D0E5-2C68-85FF-81ED-DA52867B0608}"/>
            </a:ext>
          </a:extLst>
        </xdr:cNvPr>
        <xdr:cNvSpPr/>
      </xdr:nvSpPr>
      <xdr:spPr>
        <a:xfrm>
          <a:off x="5103495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0</xdr:col>
      <xdr:colOff>5715</xdr:colOff>
      <xdr:row>10</xdr:row>
      <xdr:rowOff>110490</xdr:rowOff>
    </xdr:to>
    <xdr:sp macro="" textlink="">
      <xdr:nvSpPr>
        <xdr:cNvPr id="27710" name="Freeform 144">
          <a:extLst>
            <a:ext uri="{FF2B5EF4-FFF2-40B4-BE49-F238E27FC236}">
              <a16:creationId xmlns:a16="http://schemas.microsoft.com/office/drawing/2014/main" id="{2658B192-C1E1-15CE-E8E0-E0904DCE47A6}"/>
            </a:ext>
          </a:extLst>
        </xdr:cNvPr>
        <xdr:cNvSpPr/>
      </xdr:nvSpPr>
      <xdr:spPr>
        <a:xfrm>
          <a:off x="5101590" y="24771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711" name="Freeform 155">
          <a:extLst>
            <a:ext uri="{FF2B5EF4-FFF2-40B4-BE49-F238E27FC236}">
              <a16:creationId xmlns:a16="http://schemas.microsoft.com/office/drawing/2014/main" id="{01F5A063-FDD1-31F8-CA0F-6241F49C412C}"/>
            </a:ext>
          </a:extLst>
        </xdr:cNvPr>
        <xdr:cNvSpPr/>
      </xdr:nvSpPr>
      <xdr:spPr>
        <a:xfrm>
          <a:off x="5995035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2" name="Freeform 285">
          <a:extLst>
            <a:ext uri="{FF2B5EF4-FFF2-40B4-BE49-F238E27FC236}">
              <a16:creationId xmlns:a16="http://schemas.microsoft.com/office/drawing/2014/main" id="{615C27FD-37A7-BB9D-026C-0692FFB5CF7D}"/>
            </a:ext>
          </a:extLst>
        </xdr:cNvPr>
        <xdr:cNvSpPr/>
      </xdr:nvSpPr>
      <xdr:spPr>
        <a:xfrm>
          <a:off x="331851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713" name="Freeform 422">
          <a:extLst>
            <a:ext uri="{FF2B5EF4-FFF2-40B4-BE49-F238E27FC236}">
              <a16:creationId xmlns:a16="http://schemas.microsoft.com/office/drawing/2014/main" id="{7F8B087C-5FDB-1359-0638-95F7653FF84A}"/>
            </a:ext>
          </a:extLst>
        </xdr:cNvPr>
        <xdr:cNvSpPr/>
      </xdr:nvSpPr>
      <xdr:spPr>
        <a:xfrm>
          <a:off x="599567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14" name="Freeform 156">
          <a:extLst>
            <a:ext uri="{FF2B5EF4-FFF2-40B4-BE49-F238E27FC236}">
              <a16:creationId xmlns:a16="http://schemas.microsoft.com/office/drawing/2014/main" id="{1EBA9F2C-ECE9-1F11-B6E1-B2752547800E}"/>
            </a:ext>
          </a:extLst>
        </xdr:cNvPr>
        <xdr:cNvSpPr/>
      </xdr:nvSpPr>
      <xdr:spPr>
        <a:xfrm>
          <a:off x="688975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0</xdr:rowOff>
    </xdr:from>
    <xdr:to>
      <xdr:col>1</xdr:col>
      <xdr:colOff>291465</xdr:colOff>
      <xdr:row>97</xdr:row>
      <xdr:rowOff>5715</xdr:rowOff>
    </xdr:to>
    <xdr:sp macro="" textlink="">
      <xdr:nvSpPr>
        <xdr:cNvPr id="27715" name="Freeform 286">
          <a:extLst>
            <a:ext uri="{FF2B5EF4-FFF2-40B4-BE49-F238E27FC236}">
              <a16:creationId xmlns:a16="http://schemas.microsoft.com/office/drawing/2014/main" id="{5DC83C13-28CF-E078-62F8-88766315463B}"/>
            </a:ext>
          </a:extLst>
        </xdr:cNvPr>
        <xdr:cNvSpPr/>
      </xdr:nvSpPr>
      <xdr:spPr>
        <a:xfrm>
          <a:off x="4211955" y="2810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16" name="Freeform 423">
          <a:extLst>
            <a:ext uri="{FF2B5EF4-FFF2-40B4-BE49-F238E27FC236}">
              <a16:creationId xmlns:a16="http://schemas.microsoft.com/office/drawing/2014/main" id="{712D33EC-432C-3984-70CE-1766D6C0332B}"/>
            </a:ext>
          </a:extLst>
        </xdr:cNvPr>
        <xdr:cNvSpPr/>
      </xdr:nvSpPr>
      <xdr:spPr>
        <a:xfrm>
          <a:off x="68897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152400</xdr:rowOff>
    </xdr:from>
    <xdr:to>
      <xdr:col>0</xdr:col>
      <xdr:colOff>5715</xdr:colOff>
      <xdr:row>96</xdr:row>
      <xdr:rowOff>158115</xdr:rowOff>
    </xdr:to>
    <xdr:sp macro="" textlink="">
      <xdr:nvSpPr>
        <xdr:cNvPr id="27717" name="Freeform 269">
          <a:extLst>
            <a:ext uri="{FF2B5EF4-FFF2-40B4-BE49-F238E27FC236}">
              <a16:creationId xmlns:a16="http://schemas.microsoft.com/office/drawing/2014/main" id="{2F17C966-1B17-4545-593C-6424F4822239}"/>
            </a:ext>
          </a:extLst>
        </xdr:cNvPr>
        <xdr:cNvSpPr/>
      </xdr:nvSpPr>
      <xdr:spPr>
        <a:xfrm>
          <a:off x="5102225" y="2830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18" name="Freeform 287">
          <a:extLst>
            <a:ext uri="{FF2B5EF4-FFF2-40B4-BE49-F238E27FC236}">
              <a16:creationId xmlns:a16="http://schemas.microsoft.com/office/drawing/2014/main" id="{25616A16-C437-FB7E-B282-68BC580646C1}"/>
            </a:ext>
          </a:extLst>
        </xdr:cNvPr>
        <xdr:cNvSpPr/>
      </xdr:nvSpPr>
      <xdr:spPr>
        <a:xfrm>
          <a:off x="599567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9" name="Freeform 288">
          <a:extLst>
            <a:ext uri="{FF2B5EF4-FFF2-40B4-BE49-F238E27FC236}">
              <a16:creationId xmlns:a16="http://schemas.microsoft.com/office/drawing/2014/main" id="{10AB8BDF-5E91-8E49-84D8-5B4ED7360917}"/>
            </a:ext>
          </a:extLst>
        </xdr:cNvPr>
        <xdr:cNvSpPr/>
      </xdr:nvSpPr>
      <xdr:spPr>
        <a:xfrm>
          <a:off x="688975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2" name="Freeform 607">
          <a:extLst>
            <a:ext uri="{FF2B5EF4-FFF2-40B4-BE49-F238E27FC236}">
              <a16:creationId xmlns:a16="http://schemas.microsoft.com/office/drawing/2014/main" id="{91522E34-7E91-714C-6433-F81B75F48D32}"/>
            </a:ext>
          </a:extLst>
        </xdr:cNvPr>
        <xdr:cNvSpPr/>
      </xdr:nvSpPr>
      <xdr:spPr>
        <a:xfrm>
          <a:off x="24250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3" name="Freeform 608">
          <a:extLst>
            <a:ext uri="{FF2B5EF4-FFF2-40B4-BE49-F238E27FC236}">
              <a16:creationId xmlns:a16="http://schemas.microsoft.com/office/drawing/2014/main" id="{532F28E9-C810-1A31-5E88-713BAED38E6F}"/>
            </a:ext>
          </a:extLst>
        </xdr:cNvPr>
        <xdr:cNvSpPr/>
      </xdr:nvSpPr>
      <xdr:spPr>
        <a:xfrm>
          <a:off x="33191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4" name="Freeform 666">
          <a:extLst>
            <a:ext uri="{FF2B5EF4-FFF2-40B4-BE49-F238E27FC236}">
              <a16:creationId xmlns:a16="http://schemas.microsoft.com/office/drawing/2014/main" id="{D13E1582-DBDB-A6CC-10EA-8ACE3B9136E7}"/>
            </a:ext>
          </a:extLst>
        </xdr:cNvPr>
        <xdr:cNvSpPr/>
      </xdr:nvSpPr>
      <xdr:spPr>
        <a:xfrm>
          <a:off x="4211955" y="2584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5" name="Freeform 631">
          <a:extLst>
            <a:ext uri="{FF2B5EF4-FFF2-40B4-BE49-F238E27FC236}">
              <a16:creationId xmlns:a16="http://schemas.microsoft.com/office/drawing/2014/main" id="{84CF5806-B7FE-4D3A-95C3-5DBED9EB2444}"/>
            </a:ext>
          </a:extLst>
        </xdr:cNvPr>
        <xdr:cNvSpPr/>
      </xdr:nvSpPr>
      <xdr:spPr>
        <a:xfrm>
          <a:off x="510095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6" name="Freeform 644">
          <a:extLst>
            <a:ext uri="{FF2B5EF4-FFF2-40B4-BE49-F238E27FC236}">
              <a16:creationId xmlns:a16="http://schemas.microsoft.com/office/drawing/2014/main" id="{E748EC44-6CF8-2AE8-41DD-33F66A01365C}"/>
            </a:ext>
          </a:extLst>
        </xdr:cNvPr>
        <xdr:cNvSpPr/>
      </xdr:nvSpPr>
      <xdr:spPr>
        <a:xfrm>
          <a:off x="59937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7" name="Freeform 645">
          <a:extLst>
            <a:ext uri="{FF2B5EF4-FFF2-40B4-BE49-F238E27FC236}">
              <a16:creationId xmlns:a16="http://schemas.microsoft.com/office/drawing/2014/main" id="{BE517ED7-AC51-B17E-D180-4AD4CF47D309}"/>
            </a:ext>
          </a:extLst>
        </xdr:cNvPr>
        <xdr:cNvSpPr/>
      </xdr:nvSpPr>
      <xdr:spPr>
        <a:xfrm>
          <a:off x="68878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28" name="Freeform 412">
          <a:extLst>
            <a:ext uri="{FF2B5EF4-FFF2-40B4-BE49-F238E27FC236}">
              <a16:creationId xmlns:a16="http://schemas.microsoft.com/office/drawing/2014/main" id="{4A27871A-36A0-DB07-CE8E-9A77F134816E}"/>
            </a:ext>
          </a:extLst>
        </xdr:cNvPr>
        <xdr:cNvSpPr/>
      </xdr:nvSpPr>
      <xdr:spPr>
        <a:xfrm>
          <a:off x="641350" y="3362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192</xdr:row>
      <xdr:rowOff>180975</xdr:rowOff>
    </xdr:from>
    <xdr:to>
      <xdr:col>1</xdr:col>
      <xdr:colOff>281940</xdr:colOff>
      <xdr:row>192</xdr:row>
      <xdr:rowOff>186690</xdr:rowOff>
    </xdr:to>
    <xdr:sp macro="" textlink="">
      <xdr:nvSpPr>
        <xdr:cNvPr id="27729" name="Freeform 413">
          <a:extLst>
            <a:ext uri="{FF2B5EF4-FFF2-40B4-BE49-F238E27FC236}">
              <a16:creationId xmlns:a16="http://schemas.microsoft.com/office/drawing/2014/main" id="{924258C8-A61D-1A5A-01FA-13C0CA115386}"/>
            </a:ext>
          </a:extLst>
        </xdr:cNvPr>
        <xdr:cNvSpPr/>
      </xdr:nvSpPr>
      <xdr:spPr>
        <a:xfrm>
          <a:off x="1535430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0" name="Freeform 424">
          <a:extLst>
            <a:ext uri="{FF2B5EF4-FFF2-40B4-BE49-F238E27FC236}">
              <a16:creationId xmlns:a16="http://schemas.microsoft.com/office/drawing/2014/main" id="{9A473898-42CA-06BA-D7A6-C5827F510468}"/>
            </a:ext>
          </a:extLst>
        </xdr:cNvPr>
        <xdr:cNvSpPr/>
      </xdr:nvSpPr>
      <xdr:spPr>
        <a:xfrm>
          <a:off x="242443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2" name="Freeform 425">
          <a:extLst>
            <a:ext uri="{FF2B5EF4-FFF2-40B4-BE49-F238E27FC236}">
              <a16:creationId xmlns:a16="http://schemas.microsoft.com/office/drawing/2014/main" id="{FA7E708F-1738-5177-99BA-0A287639B291}"/>
            </a:ext>
          </a:extLst>
        </xdr:cNvPr>
        <xdr:cNvSpPr/>
      </xdr:nvSpPr>
      <xdr:spPr>
        <a:xfrm>
          <a:off x="331851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34" name="Freeform 609">
          <a:extLst>
            <a:ext uri="{FF2B5EF4-FFF2-40B4-BE49-F238E27FC236}">
              <a16:creationId xmlns:a16="http://schemas.microsoft.com/office/drawing/2014/main" id="{FBE013E2-39A7-05C2-FE93-C697696F1E70}"/>
            </a:ext>
          </a:extLst>
        </xdr:cNvPr>
        <xdr:cNvSpPr/>
      </xdr:nvSpPr>
      <xdr:spPr>
        <a:xfrm>
          <a:off x="24250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5" name="Freeform 426">
          <a:extLst>
            <a:ext uri="{FF2B5EF4-FFF2-40B4-BE49-F238E27FC236}">
              <a16:creationId xmlns:a16="http://schemas.microsoft.com/office/drawing/2014/main" id="{C3D84956-BBD4-B016-AD28-A8C00299B4C7}"/>
            </a:ext>
          </a:extLst>
        </xdr:cNvPr>
        <xdr:cNvSpPr/>
      </xdr:nvSpPr>
      <xdr:spPr>
        <a:xfrm>
          <a:off x="4211955" y="3356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6" name="Freeform 610">
          <a:extLst>
            <a:ext uri="{FF2B5EF4-FFF2-40B4-BE49-F238E27FC236}">
              <a16:creationId xmlns:a16="http://schemas.microsoft.com/office/drawing/2014/main" id="{9D0EA245-BCCF-FDB4-005E-EA373AE9DC77}"/>
            </a:ext>
          </a:extLst>
        </xdr:cNvPr>
        <xdr:cNvSpPr/>
      </xdr:nvSpPr>
      <xdr:spPr>
        <a:xfrm>
          <a:off x="33191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37" name="Freeform 420">
          <a:extLst>
            <a:ext uri="{FF2B5EF4-FFF2-40B4-BE49-F238E27FC236}">
              <a16:creationId xmlns:a16="http://schemas.microsoft.com/office/drawing/2014/main" id="{1D3E1304-482D-8FDF-3663-2109D9897984}"/>
            </a:ext>
          </a:extLst>
        </xdr:cNvPr>
        <xdr:cNvSpPr/>
      </xdr:nvSpPr>
      <xdr:spPr>
        <a:xfrm>
          <a:off x="5102225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8" name="Freeform 667">
          <a:extLst>
            <a:ext uri="{FF2B5EF4-FFF2-40B4-BE49-F238E27FC236}">
              <a16:creationId xmlns:a16="http://schemas.microsoft.com/office/drawing/2014/main" id="{1C5273FC-28DC-C54F-4A14-9D33E028AC05}"/>
            </a:ext>
          </a:extLst>
        </xdr:cNvPr>
        <xdr:cNvSpPr/>
      </xdr:nvSpPr>
      <xdr:spPr>
        <a:xfrm>
          <a:off x="4211955" y="27730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9" name="Freeform 427">
          <a:extLst>
            <a:ext uri="{FF2B5EF4-FFF2-40B4-BE49-F238E27FC236}">
              <a16:creationId xmlns:a16="http://schemas.microsoft.com/office/drawing/2014/main" id="{67738B55-40DE-5AEC-CCFA-BA102186E5AE}"/>
            </a:ext>
          </a:extLst>
        </xdr:cNvPr>
        <xdr:cNvSpPr/>
      </xdr:nvSpPr>
      <xdr:spPr>
        <a:xfrm>
          <a:off x="599567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0" name="Freeform 632">
          <a:extLst>
            <a:ext uri="{FF2B5EF4-FFF2-40B4-BE49-F238E27FC236}">
              <a16:creationId xmlns:a16="http://schemas.microsoft.com/office/drawing/2014/main" id="{488B45D7-4900-2297-2CBB-C9F9B71180D2}"/>
            </a:ext>
          </a:extLst>
        </xdr:cNvPr>
        <xdr:cNvSpPr/>
      </xdr:nvSpPr>
      <xdr:spPr>
        <a:xfrm>
          <a:off x="510095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41" name="Freeform 428">
          <a:extLst>
            <a:ext uri="{FF2B5EF4-FFF2-40B4-BE49-F238E27FC236}">
              <a16:creationId xmlns:a16="http://schemas.microsoft.com/office/drawing/2014/main" id="{1B6B9CA1-7028-48E6-AB3A-4C1DE51A338F}"/>
            </a:ext>
          </a:extLst>
        </xdr:cNvPr>
        <xdr:cNvSpPr/>
      </xdr:nvSpPr>
      <xdr:spPr>
        <a:xfrm>
          <a:off x="688975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3" name="Freeform 646">
          <a:extLst>
            <a:ext uri="{FF2B5EF4-FFF2-40B4-BE49-F238E27FC236}">
              <a16:creationId xmlns:a16="http://schemas.microsoft.com/office/drawing/2014/main" id="{3D06D46E-D7AE-5528-D05D-CA8422DB782A}"/>
            </a:ext>
          </a:extLst>
        </xdr:cNvPr>
        <xdr:cNvSpPr/>
      </xdr:nvSpPr>
      <xdr:spPr>
        <a:xfrm>
          <a:off x="59937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44" name="Freeform 647">
          <a:extLst>
            <a:ext uri="{FF2B5EF4-FFF2-40B4-BE49-F238E27FC236}">
              <a16:creationId xmlns:a16="http://schemas.microsoft.com/office/drawing/2014/main" id="{7DB38E74-A084-FB9F-A57D-87E038D95795}"/>
            </a:ext>
          </a:extLst>
        </xdr:cNvPr>
        <xdr:cNvSpPr/>
      </xdr:nvSpPr>
      <xdr:spPr>
        <a:xfrm>
          <a:off x="68878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161925</xdr:rowOff>
    </xdr:from>
    <xdr:to>
      <xdr:col>0</xdr:col>
      <xdr:colOff>5715</xdr:colOff>
      <xdr:row>99</xdr:row>
      <xdr:rowOff>167640</xdr:rowOff>
    </xdr:to>
    <xdr:sp macro="" textlink="">
      <xdr:nvSpPr>
        <xdr:cNvPr id="27745" name="Freeform 277">
          <a:extLst>
            <a:ext uri="{FF2B5EF4-FFF2-40B4-BE49-F238E27FC236}">
              <a16:creationId xmlns:a16="http://schemas.microsoft.com/office/drawing/2014/main" id="{1E6A9AD4-A7E9-D62A-C70C-34C2F73C00A9}"/>
            </a:ext>
          </a:extLst>
        </xdr:cNvPr>
        <xdr:cNvSpPr/>
      </xdr:nvSpPr>
      <xdr:spPr>
        <a:xfrm>
          <a:off x="641350" y="33724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99</xdr:row>
      <xdr:rowOff>161925</xdr:rowOff>
    </xdr:from>
    <xdr:to>
      <xdr:col>1</xdr:col>
      <xdr:colOff>281940</xdr:colOff>
      <xdr:row>99</xdr:row>
      <xdr:rowOff>167640</xdr:rowOff>
    </xdr:to>
    <xdr:sp macro="" textlink="">
      <xdr:nvSpPr>
        <xdr:cNvPr id="27746" name="Freeform 278">
          <a:extLst>
            <a:ext uri="{FF2B5EF4-FFF2-40B4-BE49-F238E27FC236}">
              <a16:creationId xmlns:a16="http://schemas.microsoft.com/office/drawing/2014/main" id="{76F58BDD-223E-1B30-4F2E-9EB516A0348B}"/>
            </a:ext>
          </a:extLst>
        </xdr:cNvPr>
        <xdr:cNvSpPr/>
      </xdr:nvSpPr>
      <xdr:spPr>
        <a:xfrm>
          <a:off x="1535430" y="33724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47" name="Freeform 289">
          <a:extLst>
            <a:ext uri="{FF2B5EF4-FFF2-40B4-BE49-F238E27FC236}">
              <a16:creationId xmlns:a16="http://schemas.microsoft.com/office/drawing/2014/main" id="{5752446E-5975-020A-4A08-BA20EB21C4B1}"/>
            </a:ext>
          </a:extLst>
        </xdr:cNvPr>
        <xdr:cNvSpPr/>
      </xdr:nvSpPr>
      <xdr:spPr>
        <a:xfrm>
          <a:off x="242443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48" name="Freeform 290">
          <a:extLst>
            <a:ext uri="{FF2B5EF4-FFF2-40B4-BE49-F238E27FC236}">
              <a16:creationId xmlns:a16="http://schemas.microsoft.com/office/drawing/2014/main" id="{FABCC1E6-7B73-3426-8C5D-7412BE0FA55F}"/>
            </a:ext>
          </a:extLst>
        </xdr:cNvPr>
        <xdr:cNvSpPr/>
      </xdr:nvSpPr>
      <xdr:spPr>
        <a:xfrm>
          <a:off x="331851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0</xdr:rowOff>
    </xdr:from>
    <xdr:to>
      <xdr:col>1</xdr:col>
      <xdr:colOff>291465</xdr:colOff>
      <xdr:row>99</xdr:row>
      <xdr:rowOff>5715</xdr:rowOff>
    </xdr:to>
    <xdr:sp macro="" textlink="">
      <xdr:nvSpPr>
        <xdr:cNvPr id="27749" name="Freeform 291">
          <a:extLst>
            <a:ext uri="{FF2B5EF4-FFF2-40B4-BE49-F238E27FC236}">
              <a16:creationId xmlns:a16="http://schemas.microsoft.com/office/drawing/2014/main" id="{5C56D81C-0194-C532-3933-943B76E832BB}"/>
            </a:ext>
          </a:extLst>
        </xdr:cNvPr>
        <xdr:cNvSpPr/>
      </xdr:nvSpPr>
      <xdr:spPr>
        <a:xfrm>
          <a:off x="4211955" y="3365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142875</xdr:rowOff>
    </xdr:from>
    <xdr:to>
      <xdr:col>0</xdr:col>
      <xdr:colOff>5715</xdr:colOff>
      <xdr:row>99</xdr:row>
      <xdr:rowOff>148590</xdr:rowOff>
    </xdr:to>
    <xdr:sp macro="" textlink="">
      <xdr:nvSpPr>
        <xdr:cNvPr id="27750" name="Freeform 270">
          <a:extLst>
            <a:ext uri="{FF2B5EF4-FFF2-40B4-BE49-F238E27FC236}">
              <a16:creationId xmlns:a16="http://schemas.microsoft.com/office/drawing/2014/main" id="{92713119-F769-7F4B-02F8-0E5B4F272E73}"/>
            </a:ext>
          </a:extLst>
        </xdr:cNvPr>
        <xdr:cNvSpPr/>
      </xdr:nvSpPr>
      <xdr:spPr>
        <a:xfrm>
          <a:off x="5102225" y="33851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51" name="Freeform 292">
          <a:extLst>
            <a:ext uri="{FF2B5EF4-FFF2-40B4-BE49-F238E27FC236}">
              <a16:creationId xmlns:a16="http://schemas.microsoft.com/office/drawing/2014/main" id="{D2C5C0B1-BE02-FF89-AD00-7F8CD1D35D04}"/>
            </a:ext>
          </a:extLst>
        </xdr:cNvPr>
        <xdr:cNvSpPr/>
      </xdr:nvSpPr>
      <xdr:spPr>
        <a:xfrm>
          <a:off x="599567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52" name="Freeform 293">
          <a:extLst>
            <a:ext uri="{FF2B5EF4-FFF2-40B4-BE49-F238E27FC236}">
              <a16:creationId xmlns:a16="http://schemas.microsoft.com/office/drawing/2014/main" id="{EF93D373-8681-02FB-95D1-8F5E860FF9C6}"/>
            </a:ext>
          </a:extLst>
        </xdr:cNvPr>
        <xdr:cNvSpPr/>
      </xdr:nvSpPr>
      <xdr:spPr>
        <a:xfrm>
          <a:off x="688975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7753" name="Freeform 668">
          <a:extLst>
            <a:ext uri="{FF2B5EF4-FFF2-40B4-BE49-F238E27FC236}">
              <a16:creationId xmlns:a16="http://schemas.microsoft.com/office/drawing/2014/main" id="{EFFA5EF5-6C74-617F-27E6-1499E94D0059}"/>
            </a:ext>
          </a:extLst>
        </xdr:cNvPr>
        <xdr:cNvSpPr/>
      </xdr:nvSpPr>
      <xdr:spPr>
        <a:xfrm>
          <a:off x="641350" y="29552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7754" name="Freeform 669">
          <a:extLst>
            <a:ext uri="{FF2B5EF4-FFF2-40B4-BE49-F238E27FC236}">
              <a16:creationId xmlns:a16="http://schemas.microsoft.com/office/drawing/2014/main" id="{BDDC47BB-EE41-198B-23A5-F6096EB6E633}"/>
            </a:ext>
          </a:extLst>
        </xdr:cNvPr>
        <xdr:cNvSpPr/>
      </xdr:nvSpPr>
      <xdr:spPr>
        <a:xfrm>
          <a:off x="1535430" y="29552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55" name="Freeform 611">
          <a:extLst>
            <a:ext uri="{FF2B5EF4-FFF2-40B4-BE49-F238E27FC236}">
              <a16:creationId xmlns:a16="http://schemas.microsoft.com/office/drawing/2014/main" id="{70A6DB17-7CAB-E6E4-EF10-1E62A80BE6DC}"/>
            </a:ext>
          </a:extLst>
        </xdr:cNvPr>
        <xdr:cNvSpPr/>
      </xdr:nvSpPr>
      <xdr:spPr>
        <a:xfrm>
          <a:off x="24250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56" name="Freeform 414">
          <a:extLst>
            <a:ext uri="{FF2B5EF4-FFF2-40B4-BE49-F238E27FC236}">
              <a16:creationId xmlns:a16="http://schemas.microsoft.com/office/drawing/2014/main" id="{E408493C-A5E8-8D68-7185-FF7C97FC9F4B}"/>
            </a:ext>
          </a:extLst>
        </xdr:cNvPr>
        <xdr:cNvSpPr/>
      </xdr:nvSpPr>
      <xdr:spPr>
        <a:xfrm>
          <a:off x="641350" y="3734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57" name="Freeform 612">
          <a:extLst>
            <a:ext uri="{FF2B5EF4-FFF2-40B4-BE49-F238E27FC236}">
              <a16:creationId xmlns:a16="http://schemas.microsoft.com/office/drawing/2014/main" id="{779D63C2-0AD2-FFE7-9F23-381A09AB8D8E}"/>
            </a:ext>
          </a:extLst>
        </xdr:cNvPr>
        <xdr:cNvSpPr/>
      </xdr:nvSpPr>
      <xdr:spPr>
        <a:xfrm>
          <a:off x="33191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171450</xdr:rowOff>
    </xdr:from>
    <xdr:to>
      <xdr:col>1</xdr:col>
      <xdr:colOff>281940</xdr:colOff>
      <xdr:row>194</xdr:row>
      <xdr:rowOff>177165</xdr:rowOff>
    </xdr:to>
    <xdr:sp macro="" textlink="">
      <xdr:nvSpPr>
        <xdr:cNvPr id="27758" name="Freeform 415">
          <a:extLst>
            <a:ext uri="{FF2B5EF4-FFF2-40B4-BE49-F238E27FC236}">
              <a16:creationId xmlns:a16="http://schemas.microsoft.com/office/drawing/2014/main" id="{F75853BF-2822-E3F9-357F-A42F9B8B2FDF}"/>
            </a:ext>
          </a:extLst>
        </xdr:cNvPr>
        <xdr:cNvSpPr/>
      </xdr:nvSpPr>
      <xdr:spPr>
        <a:xfrm>
          <a:off x="1535430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59" name="Freeform 429">
          <a:extLst>
            <a:ext uri="{FF2B5EF4-FFF2-40B4-BE49-F238E27FC236}">
              <a16:creationId xmlns:a16="http://schemas.microsoft.com/office/drawing/2014/main" id="{66DE7222-4971-668D-6476-E76F0008C8CD}"/>
            </a:ext>
          </a:extLst>
        </xdr:cNvPr>
        <xdr:cNvSpPr/>
      </xdr:nvSpPr>
      <xdr:spPr>
        <a:xfrm>
          <a:off x="242443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1" name="Freeform 157">
          <a:extLst>
            <a:ext uri="{FF2B5EF4-FFF2-40B4-BE49-F238E27FC236}">
              <a16:creationId xmlns:a16="http://schemas.microsoft.com/office/drawing/2014/main" id="{E693E938-14AB-90C5-E405-B6A6AB2DA678}"/>
            </a:ext>
          </a:extLst>
        </xdr:cNvPr>
        <xdr:cNvSpPr/>
      </xdr:nvSpPr>
      <xdr:spPr>
        <a:xfrm>
          <a:off x="64135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2" name="Freeform 430">
          <a:extLst>
            <a:ext uri="{FF2B5EF4-FFF2-40B4-BE49-F238E27FC236}">
              <a16:creationId xmlns:a16="http://schemas.microsoft.com/office/drawing/2014/main" id="{0DF8696D-A446-B677-A784-C9EF68AF9522}"/>
            </a:ext>
          </a:extLst>
        </xdr:cNvPr>
        <xdr:cNvSpPr/>
      </xdr:nvSpPr>
      <xdr:spPr>
        <a:xfrm>
          <a:off x="331851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3" name="Freeform 633">
          <a:extLst>
            <a:ext uri="{FF2B5EF4-FFF2-40B4-BE49-F238E27FC236}">
              <a16:creationId xmlns:a16="http://schemas.microsoft.com/office/drawing/2014/main" id="{ECB1217D-0B36-E8FD-2BB2-EB658911F7E3}"/>
            </a:ext>
          </a:extLst>
        </xdr:cNvPr>
        <xdr:cNvSpPr/>
      </xdr:nvSpPr>
      <xdr:spPr>
        <a:xfrm>
          <a:off x="510095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</xdr:row>
      <xdr:rowOff>0</xdr:rowOff>
    </xdr:from>
    <xdr:to>
      <xdr:col>1</xdr:col>
      <xdr:colOff>281940</xdr:colOff>
      <xdr:row>12</xdr:row>
      <xdr:rowOff>5715</xdr:rowOff>
    </xdr:to>
    <xdr:sp macro="" textlink="">
      <xdr:nvSpPr>
        <xdr:cNvPr id="27764" name="Freeform 158">
          <a:extLst>
            <a:ext uri="{FF2B5EF4-FFF2-40B4-BE49-F238E27FC236}">
              <a16:creationId xmlns:a16="http://schemas.microsoft.com/office/drawing/2014/main" id="{319F1D23-E613-BD6B-1930-D52AEB8F9900}"/>
            </a:ext>
          </a:extLst>
        </xdr:cNvPr>
        <xdr:cNvSpPr/>
      </xdr:nvSpPr>
      <xdr:spPr>
        <a:xfrm>
          <a:off x="1535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5" name="Freeform 648">
          <a:extLst>
            <a:ext uri="{FF2B5EF4-FFF2-40B4-BE49-F238E27FC236}">
              <a16:creationId xmlns:a16="http://schemas.microsoft.com/office/drawing/2014/main" id="{59ED9C0A-185C-E3B8-6655-3F743E7FC0F3}"/>
            </a:ext>
          </a:extLst>
        </xdr:cNvPr>
        <xdr:cNvSpPr/>
      </xdr:nvSpPr>
      <xdr:spPr>
        <a:xfrm>
          <a:off x="59937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6" name="Freeform 431">
          <a:extLst>
            <a:ext uri="{FF2B5EF4-FFF2-40B4-BE49-F238E27FC236}">
              <a16:creationId xmlns:a16="http://schemas.microsoft.com/office/drawing/2014/main" id="{AA45FC1E-37D2-1995-F038-A73AC0375D51}"/>
            </a:ext>
          </a:extLst>
        </xdr:cNvPr>
        <xdr:cNvSpPr/>
      </xdr:nvSpPr>
      <xdr:spPr>
        <a:xfrm>
          <a:off x="4211955" y="37280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67" name="Freeform 649">
          <a:extLst>
            <a:ext uri="{FF2B5EF4-FFF2-40B4-BE49-F238E27FC236}">
              <a16:creationId xmlns:a16="http://schemas.microsoft.com/office/drawing/2014/main" id="{9EBB4472-ED98-E472-B5BA-74BDF225983D}"/>
            </a:ext>
          </a:extLst>
        </xdr:cNvPr>
        <xdr:cNvSpPr/>
      </xdr:nvSpPr>
      <xdr:spPr>
        <a:xfrm>
          <a:off x="68878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8" name="Freeform 163">
          <a:extLst>
            <a:ext uri="{FF2B5EF4-FFF2-40B4-BE49-F238E27FC236}">
              <a16:creationId xmlns:a16="http://schemas.microsoft.com/office/drawing/2014/main" id="{DAF26D4A-BCF7-073F-1E8B-B12F71414E1D}"/>
            </a:ext>
          </a:extLst>
        </xdr:cNvPr>
        <xdr:cNvSpPr/>
      </xdr:nvSpPr>
      <xdr:spPr>
        <a:xfrm>
          <a:off x="2424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69" name="Freeform 421">
          <a:extLst>
            <a:ext uri="{FF2B5EF4-FFF2-40B4-BE49-F238E27FC236}">
              <a16:creationId xmlns:a16="http://schemas.microsoft.com/office/drawing/2014/main" id="{104219A9-3573-4774-2697-27A87A5160F5}"/>
            </a:ext>
          </a:extLst>
        </xdr:cNvPr>
        <xdr:cNvSpPr/>
      </xdr:nvSpPr>
      <xdr:spPr>
        <a:xfrm>
          <a:off x="5102225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0" name="Freeform 164">
          <a:extLst>
            <a:ext uri="{FF2B5EF4-FFF2-40B4-BE49-F238E27FC236}">
              <a16:creationId xmlns:a16="http://schemas.microsoft.com/office/drawing/2014/main" id="{CACBFAEC-9E11-8AAC-CE84-7020D03A1F9A}"/>
            </a:ext>
          </a:extLst>
        </xdr:cNvPr>
        <xdr:cNvSpPr/>
      </xdr:nvSpPr>
      <xdr:spPr>
        <a:xfrm>
          <a:off x="331851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71" name="Freeform 432">
          <a:extLst>
            <a:ext uri="{FF2B5EF4-FFF2-40B4-BE49-F238E27FC236}">
              <a16:creationId xmlns:a16="http://schemas.microsoft.com/office/drawing/2014/main" id="{1D3587B8-7FED-97E6-9899-2ECD3B795EE6}"/>
            </a:ext>
          </a:extLst>
        </xdr:cNvPr>
        <xdr:cNvSpPr/>
      </xdr:nvSpPr>
      <xdr:spPr>
        <a:xfrm>
          <a:off x="599567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2" name="Freeform 165">
          <a:extLst>
            <a:ext uri="{FF2B5EF4-FFF2-40B4-BE49-F238E27FC236}">
              <a16:creationId xmlns:a16="http://schemas.microsoft.com/office/drawing/2014/main" id="{CDABD1C5-AEBD-F4C9-C3A1-0CEC44E98B50}"/>
            </a:ext>
          </a:extLst>
        </xdr:cNvPr>
        <xdr:cNvSpPr/>
      </xdr:nvSpPr>
      <xdr:spPr>
        <a:xfrm>
          <a:off x="4211320" y="29521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73" name="Freeform 433">
          <a:extLst>
            <a:ext uri="{FF2B5EF4-FFF2-40B4-BE49-F238E27FC236}">
              <a16:creationId xmlns:a16="http://schemas.microsoft.com/office/drawing/2014/main" id="{6DB84610-933B-CEB4-140F-4FD99BBD2CDD}"/>
            </a:ext>
          </a:extLst>
        </xdr:cNvPr>
        <xdr:cNvSpPr/>
      </xdr:nvSpPr>
      <xdr:spPr>
        <a:xfrm>
          <a:off x="688975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0</xdr:col>
      <xdr:colOff>5715</xdr:colOff>
      <xdr:row>13</xdr:row>
      <xdr:rowOff>24765</xdr:rowOff>
    </xdr:to>
    <xdr:sp macro="" textlink="">
      <xdr:nvSpPr>
        <xdr:cNvPr id="27774" name="Freeform 145">
          <a:extLst>
            <a:ext uri="{FF2B5EF4-FFF2-40B4-BE49-F238E27FC236}">
              <a16:creationId xmlns:a16="http://schemas.microsoft.com/office/drawing/2014/main" id="{1028A182-5352-8513-CA3C-C3F07274D5D6}"/>
            </a:ext>
          </a:extLst>
        </xdr:cNvPr>
        <xdr:cNvSpPr/>
      </xdr:nvSpPr>
      <xdr:spPr>
        <a:xfrm>
          <a:off x="5101590" y="29648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75" name="Freeform 166">
          <a:extLst>
            <a:ext uri="{FF2B5EF4-FFF2-40B4-BE49-F238E27FC236}">
              <a16:creationId xmlns:a16="http://schemas.microsoft.com/office/drawing/2014/main" id="{C29A580C-FEED-566F-EBF3-123CEEDDBF06}"/>
            </a:ext>
          </a:extLst>
        </xdr:cNvPr>
        <xdr:cNvSpPr/>
      </xdr:nvSpPr>
      <xdr:spPr>
        <a:xfrm>
          <a:off x="5995035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7777" name="Freeform 670">
          <a:extLst>
            <a:ext uri="{FF2B5EF4-FFF2-40B4-BE49-F238E27FC236}">
              <a16:creationId xmlns:a16="http://schemas.microsoft.com/office/drawing/2014/main" id="{3733763E-A9A8-59BF-F5DD-0B61001F29F4}"/>
            </a:ext>
          </a:extLst>
        </xdr:cNvPr>
        <xdr:cNvSpPr/>
      </xdr:nvSpPr>
      <xdr:spPr>
        <a:xfrm>
          <a:off x="641350" y="31362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180975</xdr:rowOff>
    </xdr:from>
    <xdr:to>
      <xdr:col>1</xdr:col>
      <xdr:colOff>281940</xdr:colOff>
      <xdr:row>281</xdr:row>
      <xdr:rowOff>186690</xdr:rowOff>
    </xdr:to>
    <xdr:sp macro="" textlink="">
      <xdr:nvSpPr>
        <xdr:cNvPr id="27778" name="Freeform 671">
          <a:extLst>
            <a:ext uri="{FF2B5EF4-FFF2-40B4-BE49-F238E27FC236}">
              <a16:creationId xmlns:a16="http://schemas.microsoft.com/office/drawing/2014/main" id="{233D59A9-CF10-37C2-6605-46E46A01173C}"/>
            </a:ext>
          </a:extLst>
        </xdr:cNvPr>
        <xdr:cNvSpPr/>
      </xdr:nvSpPr>
      <xdr:spPr>
        <a:xfrm>
          <a:off x="1535430" y="31362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79" name="Freeform 613">
          <a:extLst>
            <a:ext uri="{FF2B5EF4-FFF2-40B4-BE49-F238E27FC236}">
              <a16:creationId xmlns:a16="http://schemas.microsoft.com/office/drawing/2014/main" id="{169B5295-19FC-47B9-6441-789EECF96E8B}"/>
            </a:ext>
          </a:extLst>
        </xdr:cNvPr>
        <xdr:cNvSpPr/>
      </xdr:nvSpPr>
      <xdr:spPr>
        <a:xfrm>
          <a:off x="24250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0" name="Freeform 614">
          <a:extLst>
            <a:ext uri="{FF2B5EF4-FFF2-40B4-BE49-F238E27FC236}">
              <a16:creationId xmlns:a16="http://schemas.microsoft.com/office/drawing/2014/main" id="{0BEAA415-2DD5-B426-085D-298DE164404A}"/>
            </a:ext>
          </a:extLst>
        </xdr:cNvPr>
        <xdr:cNvSpPr/>
      </xdr:nvSpPr>
      <xdr:spPr>
        <a:xfrm>
          <a:off x="33191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2" name="Freeform 634">
          <a:extLst>
            <a:ext uri="{FF2B5EF4-FFF2-40B4-BE49-F238E27FC236}">
              <a16:creationId xmlns:a16="http://schemas.microsoft.com/office/drawing/2014/main" id="{B5E2DF84-175B-6C5B-6EC2-8930C7595309}"/>
            </a:ext>
          </a:extLst>
        </xdr:cNvPr>
        <xdr:cNvSpPr/>
      </xdr:nvSpPr>
      <xdr:spPr>
        <a:xfrm>
          <a:off x="510095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3" name="Freeform 650">
          <a:extLst>
            <a:ext uri="{FF2B5EF4-FFF2-40B4-BE49-F238E27FC236}">
              <a16:creationId xmlns:a16="http://schemas.microsoft.com/office/drawing/2014/main" id="{5C819FF9-7370-B6BD-0566-1D5A1CD1DB31}"/>
            </a:ext>
          </a:extLst>
        </xdr:cNvPr>
        <xdr:cNvSpPr/>
      </xdr:nvSpPr>
      <xdr:spPr>
        <a:xfrm>
          <a:off x="59937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4" name="Freeform 651">
          <a:extLst>
            <a:ext uri="{FF2B5EF4-FFF2-40B4-BE49-F238E27FC236}">
              <a16:creationId xmlns:a16="http://schemas.microsoft.com/office/drawing/2014/main" id="{D09A5DE9-38AA-01BC-3630-4735184E3E77}"/>
            </a:ext>
          </a:extLst>
        </xdr:cNvPr>
        <xdr:cNvSpPr/>
      </xdr:nvSpPr>
      <xdr:spPr>
        <a:xfrm>
          <a:off x="68878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5" name="Freeform 672">
          <a:extLst>
            <a:ext uri="{FF2B5EF4-FFF2-40B4-BE49-F238E27FC236}">
              <a16:creationId xmlns:a16="http://schemas.microsoft.com/office/drawing/2014/main" id="{2FAD014D-756B-4BAC-439F-77900416355A}"/>
            </a:ext>
          </a:extLst>
        </xdr:cNvPr>
        <xdr:cNvSpPr/>
      </xdr:nvSpPr>
      <xdr:spPr>
        <a:xfrm>
          <a:off x="641350" y="3324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180975</xdr:rowOff>
    </xdr:from>
    <xdr:to>
      <xdr:col>1</xdr:col>
      <xdr:colOff>281940</xdr:colOff>
      <xdr:row>282</xdr:row>
      <xdr:rowOff>186690</xdr:rowOff>
    </xdr:to>
    <xdr:sp macro="" textlink="">
      <xdr:nvSpPr>
        <xdr:cNvPr id="27786" name="Freeform 673">
          <a:extLst>
            <a:ext uri="{FF2B5EF4-FFF2-40B4-BE49-F238E27FC236}">
              <a16:creationId xmlns:a16="http://schemas.microsoft.com/office/drawing/2014/main" id="{D70DBFE1-EF47-097D-8518-FF62F2CDA63B}"/>
            </a:ext>
          </a:extLst>
        </xdr:cNvPr>
        <xdr:cNvSpPr/>
      </xdr:nvSpPr>
      <xdr:spPr>
        <a:xfrm>
          <a:off x="1535430" y="3324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7" name="Freeform 615">
          <a:extLst>
            <a:ext uri="{FF2B5EF4-FFF2-40B4-BE49-F238E27FC236}">
              <a16:creationId xmlns:a16="http://schemas.microsoft.com/office/drawing/2014/main" id="{D0059F26-34D8-1529-8526-6283B0ACDF86}"/>
            </a:ext>
          </a:extLst>
        </xdr:cNvPr>
        <xdr:cNvSpPr/>
      </xdr:nvSpPr>
      <xdr:spPr>
        <a:xfrm>
          <a:off x="24250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88" name="Freeform 616">
          <a:extLst>
            <a:ext uri="{FF2B5EF4-FFF2-40B4-BE49-F238E27FC236}">
              <a16:creationId xmlns:a16="http://schemas.microsoft.com/office/drawing/2014/main" id="{3C1BB572-5615-3C5E-7151-702378259907}"/>
            </a:ext>
          </a:extLst>
        </xdr:cNvPr>
        <xdr:cNvSpPr/>
      </xdr:nvSpPr>
      <xdr:spPr>
        <a:xfrm>
          <a:off x="33191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0" name="Freeform 635">
          <a:extLst>
            <a:ext uri="{FF2B5EF4-FFF2-40B4-BE49-F238E27FC236}">
              <a16:creationId xmlns:a16="http://schemas.microsoft.com/office/drawing/2014/main" id="{512DB762-3E87-18DA-6FF0-0DBBD3A8E31C}"/>
            </a:ext>
          </a:extLst>
        </xdr:cNvPr>
        <xdr:cNvSpPr/>
      </xdr:nvSpPr>
      <xdr:spPr>
        <a:xfrm>
          <a:off x="510095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1" name="Freeform 652">
          <a:extLst>
            <a:ext uri="{FF2B5EF4-FFF2-40B4-BE49-F238E27FC236}">
              <a16:creationId xmlns:a16="http://schemas.microsoft.com/office/drawing/2014/main" id="{8E2D5288-7EF7-10EF-0609-78182C9E83EE}"/>
            </a:ext>
          </a:extLst>
        </xdr:cNvPr>
        <xdr:cNvSpPr/>
      </xdr:nvSpPr>
      <xdr:spPr>
        <a:xfrm>
          <a:off x="59937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92" name="Freeform 653">
          <a:extLst>
            <a:ext uri="{FF2B5EF4-FFF2-40B4-BE49-F238E27FC236}">
              <a16:creationId xmlns:a16="http://schemas.microsoft.com/office/drawing/2014/main" id="{D7957390-F20F-7169-3BAC-3907F8A17681}"/>
            </a:ext>
          </a:extLst>
        </xdr:cNvPr>
        <xdr:cNvSpPr/>
      </xdr:nvSpPr>
      <xdr:spPr>
        <a:xfrm>
          <a:off x="68878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104775</xdr:rowOff>
    </xdr:from>
    <xdr:to>
      <xdr:col>0</xdr:col>
      <xdr:colOff>5715</xdr:colOff>
      <xdr:row>14</xdr:row>
      <xdr:rowOff>110490</xdr:rowOff>
    </xdr:to>
    <xdr:sp macro="" textlink="">
      <xdr:nvSpPr>
        <xdr:cNvPr id="27793" name="Freeform 159">
          <a:extLst>
            <a:ext uri="{FF2B5EF4-FFF2-40B4-BE49-F238E27FC236}">
              <a16:creationId xmlns:a16="http://schemas.microsoft.com/office/drawing/2014/main" id="{05CD723E-1FF0-8197-43BF-26D847FE60C6}"/>
            </a:ext>
          </a:extLst>
        </xdr:cNvPr>
        <xdr:cNvSpPr/>
      </xdr:nvSpPr>
      <xdr:spPr>
        <a:xfrm>
          <a:off x="641350" y="3441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104775</xdr:rowOff>
    </xdr:from>
    <xdr:to>
      <xdr:col>1</xdr:col>
      <xdr:colOff>281940</xdr:colOff>
      <xdr:row>14</xdr:row>
      <xdr:rowOff>110490</xdr:rowOff>
    </xdr:to>
    <xdr:sp macro="" textlink="">
      <xdr:nvSpPr>
        <xdr:cNvPr id="27794" name="Freeform 160">
          <a:extLst>
            <a:ext uri="{FF2B5EF4-FFF2-40B4-BE49-F238E27FC236}">
              <a16:creationId xmlns:a16="http://schemas.microsoft.com/office/drawing/2014/main" id="{973A725E-808C-906F-FC3E-BEE2351DF95C}"/>
            </a:ext>
          </a:extLst>
        </xdr:cNvPr>
        <xdr:cNvSpPr/>
      </xdr:nvSpPr>
      <xdr:spPr>
        <a:xfrm>
          <a:off x="1535430" y="3441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795" name="Freeform 168">
          <a:extLst>
            <a:ext uri="{FF2B5EF4-FFF2-40B4-BE49-F238E27FC236}">
              <a16:creationId xmlns:a16="http://schemas.microsoft.com/office/drawing/2014/main" id="{7C5DA450-F46A-CEFB-FE1A-BBAC671D0571}"/>
            </a:ext>
          </a:extLst>
        </xdr:cNvPr>
        <xdr:cNvSpPr/>
      </xdr:nvSpPr>
      <xdr:spPr>
        <a:xfrm>
          <a:off x="242443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6" name="Freeform 169">
          <a:extLst>
            <a:ext uri="{FF2B5EF4-FFF2-40B4-BE49-F238E27FC236}">
              <a16:creationId xmlns:a16="http://schemas.microsoft.com/office/drawing/2014/main" id="{B0502B33-F1D0-BF70-AFBD-18697A2329E9}"/>
            </a:ext>
          </a:extLst>
        </xdr:cNvPr>
        <xdr:cNvSpPr/>
      </xdr:nvSpPr>
      <xdr:spPr>
        <a:xfrm>
          <a:off x="3318510" y="343471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7" name="Freeform 170">
          <a:extLst>
            <a:ext uri="{FF2B5EF4-FFF2-40B4-BE49-F238E27FC236}">
              <a16:creationId xmlns:a16="http://schemas.microsoft.com/office/drawing/2014/main" id="{C305BDCE-A623-4147-7CD1-4C515C8120A2}"/>
            </a:ext>
          </a:extLst>
        </xdr:cNvPr>
        <xdr:cNvSpPr/>
      </xdr:nvSpPr>
      <xdr:spPr>
        <a:xfrm>
          <a:off x="4211320" y="343471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798" name="Freeform 294">
          <a:extLst>
            <a:ext uri="{FF2B5EF4-FFF2-40B4-BE49-F238E27FC236}">
              <a16:creationId xmlns:a16="http://schemas.microsoft.com/office/drawing/2014/main" id="{73175FEA-8433-B3EC-8A69-FB3A413D39A0}"/>
            </a:ext>
          </a:extLst>
        </xdr:cNvPr>
        <xdr:cNvSpPr/>
      </xdr:nvSpPr>
      <xdr:spPr>
        <a:xfrm>
          <a:off x="64135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133350</xdr:rowOff>
    </xdr:from>
    <xdr:to>
      <xdr:col>0</xdr:col>
      <xdr:colOff>5715</xdr:colOff>
      <xdr:row>15</xdr:row>
      <xdr:rowOff>139065</xdr:rowOff>
    </xdr:to>
    <xdr:sp macro="" textlink="">
      <xdr:nvSpPr>
        <xdr:cNvPr id="27799" name="Freeform 146">
          <a:extLst>
            <a:ext uri="{FF2B5EF4-FFF2-40B4-BE49-F238E27FC236}">
              <a16:creationId xmlns:a16="http://schemas.microsoft.com/office/drawing/2014/main" id="{B798765C-1F95-7ED6-135D-6E2AF74B2A74}"/>
            </a:ext>
          </a:extLst>
        </xdr:cNvPr>
        <xdr:cNvSpPr/>
      </xdr:nvSpPr>
      <xdr:spPr>
        <a:xfrm>
          <a:off x="5101590" y="3454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101</xdr:row>
      <xdr:rowOff>0</xdr:rowOff>
    </xdr:from>
    <xdr:to>
      <xdr:col>1</xdr:col>
      <xdr:colOff>281940</xdr:colOff>
      <xdr:row>101</xdr:row>
      <xdr:rowOff>5715</xdr:rowOff>
    </xdr:to>
    <xdr:sp macro="" textlink="">
      <xdr:nvSpPr>
        <xdr:cNvPr id="27800" name="Freeform 295">
          <a:extLst>
            <a:ext uri="{FF2B5EF4-FFF2-40B4-BE49-F238E27FC236}">
              <a16:creationId xmlns:a16="http://schemas.microsoft.com/office/drawing/2014/main" id="{B9B7E21D-30FF-1C28-6AEA-A133B095491E}"/>
            </a:ext>
          </a:extLst>
        </xdr:cNvPr>
        <xdr:cNvSpPr/>
      </xdr:nvSpPr>
      <xdr:spPr>
        <a:xfrm>
          <a:off x="1535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801" name="Freeform 171">
          <a:extLst>
            <a:ext uri="{FF2B5EF4-FFF2-40B4-BE49-F238E27FC236}">
              <a16:creationId xmlns:a16="http://schemas.microsoft.com/office/drawing/2014/main" id="{E359450B-1C1A-DE17-B7E1-904A34A83152}"/>
            </a:ext>
          </a:extLst>
        </xdr:cNvPr>
        <xdr:cNvSpPr/>
      </xdr:nvSpPr>
      <xdr:spPr>
        <a:xfrm>
          <a:off x="5995035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2" name="Freeform 434">
          <a:extLst>
            <a:ext uri="{FF2B5EF4-FFF2-40B4-BE49-F238E27FC236}">
              <a16:creationId xmlns:a16="http://schemas.microsoft.com/office/drawing/2014/main" id="{1B0CFBD6-C8C7-ED07-25D4-870081963A82}"/>
            </a:ext>
          </a:extLst>
        </xdr:cNvPr>
        <xdr:cNvSpPr/>
      </xdr:nvSpPr>
      <xdr:spPr>
        <a:xfrm>
          <a:off x="64135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803" name="Freeform 300">
          <a:extLst>
            <a:ext uri="{FF2B5EF4-FFF2-40B4-BE49-F238E27FC236}">
              <a16:creationId xmlns:a16="http://schemas.microsoft.com/office/drawing/2014/main" id="{FA41D67F-4AC6-64BC-E4B3-1623E9FD7A60}"/>
            </a:ext>
          </a:extLst>
        </xdr:cNvPr>
        <xdr:cNvSpPr/>
      </xdr:nvSpPr>
      <xdr:spPr>
        <a:xfrm>
          <a:off x="2424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804" name="Freeform 172">
          <a:extLst>
            <a:ext uri="{FF2B5EF4-FFF2-40B4-BE49-F238E27FC236}">
              <a16:creationId xmlns:a16="http://schemas.microsoft.com/office/drawing/2014/main" id="{E50E80AC-22E1-637B-6376-4ECEA1E716A3}"/>
            </a:ext>
          </a:extLst>
        </xdr:cNvPr>
        <xdr:cNvSpPr/>
      </xdr:nvSpPr>
      <xdr:spPr>
        <a:xfrm>
          <a:off x="688975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0</xdr:rowOff>
    </xdr:from>
    <xdr:to>
      <xdr:col>1</xdr:col>
      <xdr:colOff>281940</xdr:colOff>
      <xdr:row>197</xdr:row>
      <xdr:rowOff>5715</xdr:rowOff>
    </xdr:to>
    <xdr:sp macro="" textlink="">
      <xdr:nvSpPr>
        <xdr:cNvPr id="27805" name="Freeform 435">
          <a:extLst>
            <a:ext uri="{FF2B5EF4-FFF2-40B4-BE49-F238E27FC236}">
              <a16:creationId xmlns:a16="http://schemas.microsoft.com/office/drawing/2014/main" id="{529040CC-EAC9-E971-787B-EB12ACFA6349}"/>
            </a:ext>
          </a:extLst>
        </xdr:cNvPr>
        <xdr:cNvSpPr/>
      </xdr:nvSpPr>
      <xdr:spPr>
        <a:xfrm>
          <a:off x="1535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6" name="Freeform 301">
          <a:extLst>
            <a:ext uri="{FF2B5EF4-FFF2-40B4-BE49-F238E27FC236}">
              <a16:creationId xmlns:a16="http://schemas.microsoft.com/office/drawing/2014/main" id="{DC3EB291-4318-0B7E-EA36-114942CF2BBF}"/>
            </a:ext>
          </a:extLst>
        </xdr:cNvPr>
        <xdr:cNvSpPr/>
      </xdr:nvSpPr>
      <xdr:spPr>
        <a:xfrm>
          <a:off x="331851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7" name="Freeform 440">
          <a:extLst>
            <a:ext uri="{FF2B5EF4-FFF2-40B4-BE49-F238E27FC236}">
              <a16:creationId xmlns:a16="http://schemas.microsoft.com/office/drawing/2014/main" id="{A1D266FE-7CA9-9187-AA93-E93EB6C23C07}"/>
            </a:ext>
          </a:extLst>
        </xdr:cNvPr>
        <xdr:cNvSpPr/>
      </xdr:nvSpPr>
      <xdr:spPr>
        <a:xfrm>
          <a:off x="2424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8" name="Freeform 302">
          <a:extLst>
            <a:ext uri="{FF2B5EF4-FFF2-40B4-BE49-F238E27FC236}">
              <a16:creationId xmlns:a16="http://schemas.microsoft.com/office/drawing/2014/main" id="{F7AC5E07-2F7D-6210-A8D1-467F96DE2D95}"/>
            </a:ext>
          </a:extLst>
        </xdr:cNvPr>
        <xdr:cNvSpPr/>
      </xdr:nvSpPr>
      <xdr:spPr>
        <a:xfrm>
          <a:off x="4211955" y="39135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09" name="Freeform 441">
          <a:extLst>
            <a:ext uri="{FF2B5EF4-FFF2-40B4-BE49-F238E27FC236}">
              <a16:creationId xmlns:a16="http://schemas.microsoft.com/office/drawing/2014/main" id="{017B2E84-9BF9-47B1-24FA-B13392164962}"/>
            </a:ext>
          </a:extLst>
        </xdr:cNvPr>
        <xdr:cNvSpPr/>
      </xdr:nvSpPr>
      <xdr:spPr>
        <a:xfrm>
          <a:off x="331851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10" name="Freeform 303">
          <a:extLst>
            <a:ext uri="{FF2B5EF4-FFF2-40B4-BE49-F238E27FC236}">
              <a16:creationId xmlns:a16="http://schemas.microsoft.com/office/drawing/2014/main" id="{5898FCAB-BDE1-4641-765A-5DC82961313F}"/>
            </a:ext>
          </a:extLst>
        </xdr:cNvPr>
        <xdr:cNvSpPr/>
      </xdr:nvSpPr>
      <xdr:spPr>
        <a:xfrm>
          <a:off x="5103495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1" name="Freeform 442">
          <a:extLst>
            <a:ext uri="{FF2B5EF4-FFF2-40B4-BE49-F238E27FC236}">
              <a16:creationId xmlns:a16="http://schemas.microsoft.com/office/drawing/2014/main" id="{25AA09FC-22F2-794F-F3E8-25ABD44D82F9}"/>
            </a:ext>
          </a:extLst>
        </xdr:cNvPr>
        <xdr:cNvSpPr/>
      </xdr:nvSpPr>
      <xdr:spPr>
        <a:xfrm>
          <a:off x="4211955" y="40932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7812" name="Freeform 306">
          <a:extLst>
            <a:ext uri="{FF2B5EF4-FFF2-40B4-BE49-F238E27FC236}">
              <a16:creationId xmlns:a16="http://schemas.microsoft.com/office/drawing/2014/main" id="{7C1AB872-F840-9ED6-23A4-0122232E8F48}"/>
            </a:ext>
          </a:extLst>
        </xdr:cNvPr>
        <xdr:cNvSpPr/>
      </xdr:nvSpPr>
      <xdr:spPr>
        <a:xfrm>
          <a:off x="5995670" y="39192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3" name="Freeform 443">
          <a:extLst>
            <a:ext uri="{FF2B5EF4-FFF2-40B4-BE49-F238E27FC236}">
              <a16:creationId xmlns:a16="http://schemas.microsoft.com/office/drawing/2014/main" id="{756CB6C0-B604-A59A-EFF8-2D14C484A4B5}"/>
            </a:ext>
          </a:extLst>
        </xdr:cNvPr>
        <xdr:cNvSpPr/>
      </xdr:nvSpPr>
      <xdr:spPr>
        <a:xfrm>
          <a:off x="5103495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7814" name="Freeform 307">
          <a:extLst>
            <a:ext uri="{FF2B5EF4-FFF2-40B4-BE49-F238E27FC236}">
              <a16:creationId xmlns:a16="http://schemas.microsoft.com/office/drawing/2014/main" id="{CB6FAEFD-1B73-708A-DC69-877B4082C8AF}"/>
            </a:ext>
          </a:extLst>
        </xdr:cNvPr>
        <xdr:cNvSpPr/>
      </xdr:nvSpPr>
      <xdr:spPr>
        <a:xfrm>
          <a:off x="6889750" y="39192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9525</xdr:rowOff>
    </xdr:from>
    <xdr:to>
      <xdr:col>0</xdr:col>
      <xdr:colOff>5715</xdr:colOff>
      <xdr:row>197</xdr:row>
      <xdr:rowOff>15240</xdr:rowOff>
    </xdr:to>
    <xdr:sp macro="" textlink="">
      <xdr:nvSpPr>
        <xdr:cNvPr id="27815" name="Freeform 446">
          <a:extLst>
            <a:ext uri="{FF2B5EF4-FFF2-40B4-BE49-F238E27FC236}">
              <a16:creationId xmlns:a16="http://schemas.microsoft.com/office/drawing/2014/main" id="{E95C24AF-3305-359B-62E5-558EFDF04E18}"/>
            </a:ext>
          </a:extLst>
        </xdr:cNvPr>
        <xdr:cNvSpPr/>
      </xdr:nvSpPr>
      <xdr:spPr>
        <a:xfrm>
          <a:off x="5995670" y="4098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9525</xdr:rowOff>
    </xdr:from>
    <xdr:to>
      <xdr:col>1</xdr:col>
      <xdr:colOff>291465</xdr:colOff>
      <xdr:row>197</xdr:row>
      <xdr:rowOff>15240</xdr:rowOff>
    </xdr:to>
    <xdr:sp macro="" textlink="">
      <xdr:nvSpPr>
        <xdr:cNvPr id="27816" name="Freeform 447">
          <a:extLst>
            <a:ext uri="{FF2B5EF4-FFF2-40B4-BE49-F238E27FC236}">
              <a16:creationId xmlns:a16="http://schemas.microsoft.com/office/drawing/2014/main" id="{D996E2DF-73BF-7A13-9272-6474C06C2DBC}"/>
            </a:ext>
          </a:extLst>
        </xdr:cNvPr>
        <xdr:cNvSpPr/>
      </xdr:nvSpPr>
      <xdr:spPr>
        <a:xfrm>
          <a:off x="6889750" y="4098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0</xdr:rowOff>
    </xdr:from>
    <xdr:to>
      <xdr:col>0</xdr:col>
      <xdr:colOff>5715</xdr:colOff>
      <xdr:row>284</xdr:row>
      <xdr:rowOff>5715</xdr:rowOff>
    </xdr:to>
    <xdr:sp macro="" textlink="">
      <xdr:nvSpPr>
        <xdr:cNvPr id="27817" name="Freeform 678">
          <a:extLst>
            <a:ext uri="{FF2B5EF4-FFF2-40B4-BE49-F238E27FC236}">
              <a16:creationId xmlns:a16="http://schemas.microsoft.com/office/drawing/2014/main" id="{50E34113-0EA0-9521-E3DD-10F8F2E5FC15}"/>
            </a:ext>
          </a:extLst>
        </xdr:cNvPr>
        <xdr:cNvSpPr/>
      </xdr:nvSpPr>
      <xdr:spPr>
        <a:xfrm>
          <a:off x="641350" y="3510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284</xdr:row>
      <xdr:rowOff>0</xdr:rowOff>
    </xdr:from>
    <xdr:to>
      <xdr:col>1</xdr:col>
      <xdr:colOff>281940</xdr:colOff>
      <xdr:row>284</xdr:row>
      <xdr:rowOff>5715</xdr:rowOff>
    </xdr:to>
    <xdr:sp macro="" textlink="">
      <xdr:nvSpPr>
        <xdr:cNvPr id="27818" name="Freeform 679">
          <a:extLst>
            <a:ext uri="{FF2B5EF4-FFF2-40B4-BE49-F238E27FC236}">
              <a16:creationId xmlns:a16="http://schemas.microsoft.com/office/drawing/2014/main" id="{DC15982B-A321-C7C7-9B65-03EDC36FAD13}"/>
            </a:ext>
          </a:extLst>
        </xdr:cNvPr>
        <xdr:cNvSpPr/>
      </xdr:nvSpPr>
      <xdr:spPr>
        <a:xfrm>
          <a:off x="1535430" y="3510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19" name="Freeform 617">
          <a:extLst>
            <a:ext uri="{FF2B5EF4-FFF2-40B4-BE49-F238E27FC236}">
              <a16:creationId xmlns:a16="http://schemas.microsoft.com/office/drawing/2014/main" id="{1B7F15B2-0E5B-C72A-3554-6F5A89A6E334}"/>
            </a:ext>
          </a:extLst>
        </xdr:cNvPr>
        <xdr:cNvSpPr/>
      </xdr:nvSpPr>
      <xdr:spPr>
        <a:xfrm>
          <a:off x="24250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0" name="Freeform 618">
          <a:extLst>
            <a:ext uri="{FF2B5EF4-FFF2-40B4-BE49-F238E27FC236}">
              <a16:creationId xmlns:a16="http://schemas.microsoft.com/office/drawing/2014/main" id="{5C7D57B6-D896-2CD7-BF0B-6E535AD9EA7B}"/>
            </a:ext>
          </a:extLst>
        </xdr:cNvPr>
        <xdr:cNvSpPr/>
      </xdr:nvSpPr>
      <xdr:spPr>
        <a:xfrm>
          <a:off x="33191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821" name="Freeform 684">
          <a:extLst>
            <a:ext uri="{FF2B5EF4-FFF2-40B4-BE49-F238E27FC236}">
              <a16:creationId xmlns:a16="http://schemas.microsoft.com/office/drawing/2014/main" id="{EAE697AA-0D02-87DB-3160-5A9B640E2F48}"/>
            </a:ext>
          </a:extLst>
        </xdr:cNvPr>
        <xdr:cNvSpPr/>
      </xdr:nvSpPr>
      <xdr:spPr>
        <a:xfrm>
          <a:off x="4211955" y="3510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2" name="Freeform 636">
          <a:extLst>
            <a:ext uri="{FF2B5EF4-FFF2-40B4-BE49-F238E27FC236}">
              <a16:creationId xmlns:a16="http://schemas.microsoft.com/office/drawing/2014/main" id="{F0745DB4-D5B8-DB50-137A-8B0DBF9DA05B}"/>
            </a:ext>
          </a:extLst>
        </xdr:cNvPr>
        <xdr:cNvSpPr/>
      </xdr:nvSpPr>
      <xdr:spPr>
        <a:xfrm>
          <a:off x="510095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3" name="Freeform 654">
          <a:extLst>
            <a:ext uri="{FF2B5EF4-FFF2-40B4-BE49-F238E27FC236}">
              <a16:creationId xmlns:a16="http://schemas.microsoft.com/office/drawing/2014/main" id="{F445AAE2-0DE1-AF85-17B5-BDF2E4C0C74A}"/>
            </a:ext>
          </a:extLst>
        </xdr:cNvPr>
        <xdr:cNvSpPr/>
      </xdr:nvSpPr>
      <xdr:spPr>
        <a:xfrm>
          <a:off x="59937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4" name="Freeform 655">
          <a:extLst>
            <a:ext uri="{FF2B5EF4-FFF2-40B4-BE49-F238E27FC236}">
              <a16:creationId xmlns:a16="http://schemas.microsoft.com/office/drawing/2014/main" id="{29CDAA57-FB09-8C6C-EC9A-046A67FF0891}"/>
            </a:ext>
          </a:extLst>
        </xdr:cNvPr>
        <xdr:cNvSpPr/>
      </xdr:nvSpPr>
      <xdr:spPr>
        <a:xfrm>
          <a:off x="68878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0</xdr:rowOff>
    </xdr:from>
    <xdr:to>
      <xdr:col>0</xdr:col>
      <xdr:colOff>5715</xdr:colOff>
      <xdr:row>285</xdr:row>
      <xdr:rowOff>5715</xdr:rowOff>
    </xdr:to>
    <xdr:sp macro="" textlink="">
      <xdr:nvSpPr>
        <xdr:cNvPr id="27825" name="Freeform 680">
          <a:extLst>
            <a:ext uri="{FF2B5EF4-FFF2-40B4-BE49-F238E27FC236}">
              <a16:creationId xmlns:a16="http://schemas.microsoft.com/office/drawing/2014/main" id="{BF3E8056-1A91-7BC2-3F42-AD87BE127E16}"/>
            </a:ext>
          </a:extLst>
        </xdr:cNvPr>
        <xdr:cNvSpPr/>
      </xdr:nvSpPr>
      <xdr:spPr>
        <a:xfrm>
          <a:off x="641350" y="36988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285</xdr:row>
      <xdr:rowOff>0</xdr:rowOff>
    </xdr:from>
    <xdr:to>
      <xdr:col>1</xdr:col>
      <xdr:colOff>281940</xdr:colOff>
      <xdr:row>285</xdr:row>
      <xdr:rowOff>5715</xdr:rowOff>
    </xdr:to>
    <xdr:sp macro="" textlink="">
      <xdr:nvSpPr>
        <xdr:cNvPr id="27826" name="Freeform 681">
          <a:extLst>
            <a:ext uri="{FF2B5EF4-FFF2-40B4-BE49-F238E27FC236}">
              <a16:creationId xmlns:a16="http://schemas.microsoft.com/office/drawing/2014/main" id="{22B24096-11CE-A5F9-1D83-13BDEB6B3A4F}"/>
            </a:ext>
          </a:extLst>
        </xdr:cNvPr>
        <xdr:cNvSpPr/>
      </xdr:nvSpPr>
      <xdr:spPr>
        <a:xfrm>
          <a:off x="1535430" y="36988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27" name="Freeform 619">
          <a:extLst>
            <a:ext uri="{FF2B5EF4-FFF2-40B4-BE49-F238E27FC236}">
              <a16:creationId xmlns:a16="http://schemas.microsoft.com/office/drawing/2014/main" id="{9D3A64FA-C226-109B-8B2D-420C632E3EC7}"/>
            </a:ext>
          </a:extLst>
        </xdr:cNvPr>
        <xdr:cNvSpPr/>
      </xdr:nvSpPr>
      <xdr:spPr>
        <a:xfrm>
          <a:off x="24250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28" name="Freeform 620">
          <a:extLst>
            <a:ext uri="{FF2B5EF4-FFF2-40B4-BE49-F238E27FC236}">
              <a16:creationId xmlns:a16="http://schemas.microsoft.com/office/drawing/2014/main" id="{6BA789BE-528C-3C01-9C1D-93AE35DDFECF}"/>
            </a:ext>
          </a:extLst>
        </xdr:cNvPr>
        <xdr:cNvSpPr/>
      </xdr:nvSpPr>
      <xdr:spPr>
        <a:xfrm>
          <a:off x="33191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7829" name="Freeform 685">
          <a:extLst>
            <a:ext uri="{FF2B5EF4-FFF2-40B4-BE49-F238E27FC236}">
              <a16:creationId xmlns:a16="http://schemas.microsoft.com/office/drawing/2014/main" id="{AFE25382-ADD3-4611-A785-9A35EB2239AE}"/>
            </a:ext>
          </a:extLst>
        </xdr:cNvPr>
        <xdr:cNvSpPr/>
      </xdr:nvSpPr>
      <xdr:spPr>
        <a:xfrm>
          <a:off x="4211955" y="36925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0" name="Freeform 637">
          <a:extLst>
            <a:ext uri="{FF2B5EF4-FFF2-40B4-BE49-F238E27FC236}">
              <a16:creationId xmlns:a16="http://schemas.microsoft.com/office/drawing/2014/main" id="{71F2C26E-7819-BD0C-39E0-205467E74E8C}"/>
            </a:ext>
          </a:extLst>
        </xdr:cNvPr>
        <xdr:cNvSpPr/>
      </xdr:nvSpPr>
      <xdr:spPr>
        <a:xfrm>
          <a:off x="510095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31" name="Freeform 436">
          <a:extLst>
            <a:ext uri="{FF2B5EF4-FFF2-40B4-BE49-F238E27FC236}">
              <a16:creationId xmlns:a16="http://schemas.microsoft.com/office/drawing/2014/main" id="{08BCB90E-031E-8CB3-8A90-E69960E796C9}"/>
            </a:ext>
          </a:extLst>
        </xdr:cNvPr>
        <xdr:cNvSpPr/>
      </xdr:nvSpPr>
      <xdr:spPr>
        <a:xfrm>
          <a:off x="641350" y="44665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2" name="Freeform 656">
          <a:extLst>
            <a:ext uri="{FF2B5EF4-FFF2-40B4-BE49-F238E27FC236}">
              <a16:creationId xmlns:a16="http://schemas.microsoft.com/office/drawing/2014/main" id="{73623158-4D0B-DD83-CB52-BDCF78320E81}"/>
            </a:ext>
          </a:extLst>
        </xdr:cNvPr>
        <xdr:cNvSpPr/>
      </xdr:nvSpPr>
      <xdr:spPr>
        <a:xfrm>
          <a:off x="59937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198</xdr:row>
      <xdr:rowOff>180975</xdr:rowOff>
    </xdr:from>
    <xdr:to>
      <xdr:col>1</xdr:col>
      <xdr:colOff>281940</xdr:colOff>
      <xdr:row>198</xdr:row>
      <xdr:rowOff>186690</xdr:rowOff>
    </xdr:to>
    <xdr:sp macro="" textlink="">
      <xdr:nvSpPr>
        <xdr:cNvPr id="27833" name="Freeform 437">
          <a:extLst>
            <a:ext uri="{FF2B5EF4-FFF2-40B4-BE49-F238E27FC236}">
              <a16:creationId xmlns:a16="http://schemas.microsoft.com/office/drawing/2014/main" id="{4CBCE613-AC81-CF42-D6E7-0CE0EF3AAF2C}"/>
            </a:ext>
          </a:extLst>
        </xdr:cNvPr>
        <xdr:cNvSpPr/>
      </xdr:nvSpPr>
      <xdr:spPr>
        <a:xfrm>
          <a:off x="1535430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34" name="Freeform 657">
          <a:extLst>
            <a:ext uri="{FF2B5EF4-FFF2-40B4-BE49-F238E27FC236}">
              <a16:creationId xmlns:a16="http://schemas.microsoft.com/office/drawing/2014/main" id="{77058B13-4E91-DC74-407C-71B6A79008DC}"/>
            </a:ext>
          </a:extLst>
        </xdr:cNvPr>
        <xdr:cNvSpPr/>
      </xdr:nvSpPr>
      <xdr:spPr>
        <a:xfrm>
          <a:off x="68878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0</xdr:col>
      <xdr:colOff>5715</xdr:colOff>
      <xdr:row>199</xdr:row>
      <xdr:rowOff>5715</xdr:rowOff>
    </xdr:to>
    <xdr:sp macro="" textlink="">
      <xdr:nvSpPr>
        <xdr:cNvPr id="27835" name="Freeform 448">
          <a:extLst>
            <a:ext uri="{FF2B5EF4-FFF2-40B4-BE49-F238E27FC236}">
              <a16:creationId xmlns:a16="http://schemas.microsoft.com/office/drawing/2014/main" id="{F121C585-CF0D-2E2A-CBB5-8D944AA059B7}"/>
            </a:ext>
          </a:extLst>
        </xdr:cNvPr>
        <xdr:cNvSpPr/>
      </xdr:nvSpPr>
      <xdr:spPr>
        <a:xfrm>
          <a:off x="2424430" y="44596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28575</xdr:rowOff>
    </xdr:from>
    <xdr:to>
      <xdr:col>0</xdr:col>
      <xdr:colOff>5715</xdr:colOff>
      <xdr:row>17</xdr:row>
      <xdr:rowOff>34290</xdr:rowOff>
    </xdr:to>
    <xdr:sp macro="" textlink="">
      <xdr:nvSpPr>
        <xdr:cNvPr id="27836" name="Freeform 161">
          <a:extLst>
            <a:ext uri="{FF2B5EF4-FFF2-40B4-BE49-F238E27FC236}">
              <a16:creationId xmlns:a16="http://schemas.microsoft.com/office/drawing/2014/main" id="{D3D555C4-A8F9-8B53-3E9C-BCDC8D3321AC}"/>
            </a:ext>
          </a:extLst>
        </xdr:cNvPr>
        <xdr:cNvSpPr/>
      </xdr:nvSpPr>
      <xdr:spPr>
        <a:xfrm>
          <a:off x="641350" y="39293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28575</xdr:rowOff>
    </xdr:from>
    <xdr:to>
      <xdr:col>1</xdr:col>
      <xdr:colOff>281940</xdr:colOff>
      <xdr:row>17</xdr:row>
      <xdr:rowOff>34290</xdr:rowOff>
    </xdr:to>
    <xdr:sp macro="" textlink="">
      <xdr:nvSpPr>
        <xdr:cNvPr id="27837" name="Freeform 162">
          <a:extLst>
            <a:ext uri="{FF2B5EF4-FFF2-40B4-BE49-F238E27FC236}">
              <a16:creationId xmlns:a16="http://schemas.microsoft.com/office/drawing/2014/main" id="{69231807-E85A-DAD6-49CA-1890FB33F6AE}"/>
            </a:ext>
          </a:extLst>
        </xdr:cNvPr>
        <xdr:cNvSpPr/>
      </xdr:nvSpPr>
      <xdr:spPr>
        <a:xfrm>
          <a:off x="1535430" y="39293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38" name="Freeform 449">
          <a:extLst>
            <a:ext uri="{FF2B5EF4-FFF2-40B4-BE49-F238E27FC236}">
              <a16:creationId xmlns:a16="http://schemas.microsoft.com/office/drawing/2014/main" id="{865E0ADD-D91F-2AC6-26B1-ABD35D8F578B}"/>
            </a:ext>
          </a:extLst>
        </xdr:cNvPr>
        <xdr:cNvSpPr/>
      </xdr:nvSpPr>
      <xdr:spPr>
        <a:xfrm>
          <a:off x="3318510" y="44596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39" name="Freeform 173">
          <a:extLst>
            <a:ext uri="{FF2B5EF4-FFF2-40B4-BE49-F238E27FC236}">
              <a16:creationId xmlns:a16="http://schemas.microsoft.com/office/drawing/2014/main" id="{BAE2DBD2-75D0-A1C8-7055-9135F65BC0FE}"/>
            </a:ext>
          </a:extLst>
        </xdr:cNvPr>
        <xdr:cNvSpPr/>
      </xdr:nvSpPr>
      <xdr:spPr>
        <a:xfrm>
          <a:off x="242443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40" name="Freeform 450">
          <a:extLst>
            <a:ext uri="{FF2B5EF4-FFF2-40B4-BE49-F238E27FC236}">
              <a16:creationId xmlns:a16="http://schemas.microsoft.com/office/drawing/2014/main" id="{0E0B6F82-1A0D-985F-2588-7E2B9E98635B}"/>
            </a:ext>
          </a:extLst>
        </xdr:cNvPr>
        <xdr:cNvSpPr/>
      </xdr:nvSpPr>
      <xdr:spPr>
        <a:xfrm>
          <a:off x="4211955" y="44596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1" name="Freeform 174">
          <a:extLst>
            <a:ext uri="{FF2B5EF4-FFF2-40B4-BE49-F238E27FC236}">
              <a16:creationId xmlns:a16="http://schemas.microsoft.com/office/drawing/2014/main" id="{EDA6653D-7F8E-C675-B836-9260D20B68EC}"/>
            </a:ext>
          </a:extLst>
        </xdr:cNvPr>
        <xdr:cNvSpPr/>
      </xdr:nvSpPr>
      <xdr:spPr>
        <a:xfrm>
          <a:off x="3318510" y="3922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42" name="Freeform 444">
          <a:extLst>
            <a:ext uri="{FF2B5EF4-FFF2-40B4-BE49-F238E27FC236}">
              <a16:creationId xmlns:a16="http://schemas.microsoft.com/office/drawing/2014/main" id="{285B0230-33D8-0EEE-8306-286144535BD5}"/>
            </a:ext>
          </a:extLst>
        </xdr:cNvPr>
        <xdr:cNvSpPr/>
      </xdr:nvSpPr>
      <xdr:spPr>
        <a:xfrm>
          <a:off x="5102225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3" name="Freeform 175">
          <a:extLst>
            <a:ext uri="{FF2B5EF4-FFF2-40B4-BE49-F238E27FC236}">
              <a16:creationId xmlns:a16="http://schemas.microsoft.com/office/drawing/2014/main" id="{A96F2E71-8865-2891-569D-3239A9BB4547}"/>
            </a:ext>
          </a:extLst>
        </xdr:cNvPr>
        <xdr:cNvSpPr/>
      </xdr:nvSpPr>
      <xdr:spPr>
        <a:xfrm>
          <a:off x="4211320" y="39223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44" name="Freeform 296">
          <a:extLst>
            <a:ext uri="{FF2B5EF4-FFF2-40B4-BE49-F238E27FC236}">
              <a16:creationId xmlns:a16="http://schemas.microsoft.com/office/drawing/2014/main" id="{496621DD-2023-A317-2077-5652DA7F2C57}"/>
            </a:ext>
          </a:extLst>
        </xdr:cNvPr>
        <xdr:cNvSpPr/>
      </xdr:nvSpPr>
      <xdr:spPr>
        <a:xfrm>
          <a:off x="641350" y="4467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9525</xdr:rowOff>
    </xdr:from>
    <xdr:to>
      <xdr:col>0</xdr:col>
      <xdr:colOff>5715</xdr:colOff>
      <xdr:row>199</xdr:row>
      <xdr:rowOff>15240</xdr:rowOff>
    </xdr:to>
    <xdr:sp macro="" textlink="">
      <xdr:nvSpPr>
        <xdr:cNvPr id="27845" name="Freeform 451">
          <a:extLst>
            <a:ext uri="{FF2B5EF4-FFF2-40B4-BE49-F238E27FC236}">
              <a16:creationId xmlns:a16="http://schemas.microsoft.com/office/drawing/2014/main" id="{C0F95DD1-41CE-FD5C-7FF9-B4CAFAFB9BD3}"/>
            </a:ext>
          </a:extLst>
        </xdr:cNvPr>
        <xdr:cNvSpPr/>
      </xdr:nvSpPr>
      <xdr:spPr>
        <a:xfrm>
          <a:off x="5995670" y="44653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171450</xdr:rowOff>
    </xdr:from>
    <xdr:to>
      <xdr:col>1</xdr:col>
      <xdr:colOff>281940</xdr:colOff>
      <xdr:row>103</xdr:row>
      <xdr:rowOff>177165</xdr:rowOff>
    </xdr:to>
    <xdr:sp macro="" textlink="">
      <xdr:nvSpPr>
        <xdr:cNvPr id="27846" name="Freeform 297">
          <a:extLst>
            <a:ext uri="{FF2B5EF4-FFF2-40B4-BE49-F238E27FC236}">
              <a16:creationId xmlns:a16="http://schemas.microsoft.com/office/drawing/2014/main" id="{2E7CA382-C39F-72F5-DDC2-D9C43EF7E883}"/>
            </a:ext>
          </a:extLst>
        </xdr:cNvPr>
        <xdr:cNvSpPr/>
      </xdr:nvSpPr>
      <xdr:spPr>
        <a:xfrm>
          <a:off x="1535430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0</xdr:col>
      <xdr:colOff>5715</xdr:colOff>
      <xdr:row>18</xdr:row>
      <xdr:rowOff>53340</xdr:rowOff>
    </xdr:to>
    <xdr:sp macro="" textlink="">
      <xdr:nvSpPr>
        <xdr:cNvPr id="27847" name="Freeform 147">
          <a:extLst>
            <a:ext uri="{FF2B5EF4-FFF2-40B4-BE49-F238E27FC236}">
              <a16:creationId xmlns:a16="http://schemas.microsoft.com/office/drawing/2014/main" id="{EB3180F7-AFB5-9747-FD7D-02A14260C519}"/>
            </a:ext>
          </a:extLst>
        </xdr:cNvPr>
        <xdr:cNvSpPr/>
      </xdr:nvSpPr>
      <xdr:spPr>
        <a:xfrm>
          <a:off x="5101590" y="3942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48" name="Freeform 308">
          <a:extLst>
            <a:ext uri="{FF2B5EF4-FFF2-40B4-BE49-F238E27FC236}">
              <a16:creationId xmlns:a16="http://schemas.microsoft.com/office/drawing/2014/main" id="{1787270B-4D01-C762-37B7-85DC49B9AE35}"/>
            </a:ext>
          </a:extLst>
        </xdr:cNvPr>
        <xdr:cNvSpPr/>
      </xdr:nvSpPr>
      <xdr:spPr>
        <a:xfrm>
          <a:off x="242443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9525</xdr:rowOff>
    </xdr:from>
    <xdr:to>
      <xdr:col>1</xdr:col>
      <xdr:colOff>291465</xdr:colOff>
      <xdr:row>199</xdr:row>
      <xdr:rowOff>15240</xdr:rowOff>
    </xdr:to>
    <xdr:sp macro="" textlink="">
      <xdr:nvSpPr>
        <xdr:cNvPr id="27849" name="Freeform 452">
          <a:extLst>
            <a:ext uri="{FF2B5EF4-FFF2-40B4-BE49-F238E27FC236}">
              <a16:creationId xmlns:a16="http://schemas.microsoft.com/office/drawing/2014/main" id="{4878D692-14EA-E57E-FD03-CD579FBF82C9}"/>
            </a:ext>
          </a:extLst>
        </xdr:cNvPr>
        <xdr:cNvSpPr/>
      </xdr:nvSpPr>
      <xdr:spPr>
        <a:xfrm>
          <a:off x="6889750" y="44653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50" name="Freeform 176">
          <a:extLst>
            <a:ext uri="{FF2B5EF4-FFF2-40B4-BE49-F238E27FC236}">
              <a16:creationId xmlns:a16="http://schemas.microsoft.com/office/drawing/2014/main" id="{A9609DA0-8D97-D1EE-C5CA-698FC959921F}"/>
            </a:ext>
          </a:extLst>
        </xdr:cNvPr>
        <xdr:cNvSpPr/>
      </xdr:nvSpPr>
      <xdr:spPr>
        <a:xfrm>
          <a:off x="5995035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51" name="Freeform 309">
          <a:extLst>
            <a:ext uri="{FF2B5EF4-FFF2-40B4-BE49-F238E27FC236}">
              <a16:creationId xmlns:a16="http://schemas.microsoft.com/office/drawing/2014/main" id="{49025A65-CCDE-351D-D908-06CEF458A7CE}"/>
            </a:ext>
          </a:extLst>
        </xdr:cNvPr>
        <xdr:cNvSpPr/>
      </xdr:nvSpPr>
      <xdr:spPr>
        <a:xfrm>
          <a:off x="331851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52" name="Freeform 177">
          <a:extLst>
            <a:ext uri="{FF2B5EF4-FFF2-40B4-BE49-F238E27FC236}">
              <a16:creationId xmlns:a16="http://schemas.microsoft.com/office/drawing/2014/main" id="{DF6CC570-79FA-640B-FA52-5108E66305CB}"/>
            </a:ext>
          </a:extLst>
        </xdr:cNvPr>
        <xdr:cNvSpPr/>
      </xdr:nvSpPr>
      <xdr:spPr>
        <a:xfrm>
          <a:off x="688975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0</xdr:rowOff>
    </xdr:from>
    <xdr:to>
      <xdr:col>1</xdr:col>
      <xdr:colOff>291465</xdr:colOff>
      <xdr:row>104</xdr:row>
      <xdr:rowOff>5715</xdr:rowOff>
    </xdr:to>
    <xdr:sp macro="" textlink="">
      <xdr:nvSpPr>
        <xdr:cNvPr id="27853" name="Freeform 310">
          <a:extLst>
            <a:ext uri="{FF2B5EF4-FFF2-40B4-BE49-F238E27FC236}">
              <a16:creationId xmlns:a16="http://schemas.microsoft.com/office/drawing/2014/main" id="{A4D2CABE-2CD8-20BA-4002-DD77162A7CC7}"/>
            </a:ext>
          </a:extLst>
        </xdr:cNvPr>
        <xdr:cNvSpPr/>
      </xdr:nvSpPr>
      <xdr:spPr>
        <a:xfrm>
          <a:off x="4211955" y="4461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0</xdr:rowOff>
    </xdr:from>
    <xdr:to>
      <xdr:col>0</xdr:col>
      <xdr:colOff>5715</xdr:colOff>
      <xdr:row>286</xdr:row>
      <xdr:rowOff>5715</xdr:rowOff>
    </xdr:to>
    <xdr:sp macro="" textlink="">
      <xdr:nvSpPr>
        <xdr:cNvPr id="27854" name="Freeform 682">
          <a:extLst>
            <a:ext uri="{FF2B5EF4-FFF2-40B4-BE49-F238E27FC236}">
              <a16:creationId xmlns:a16="http://schemas.microsoft.com/office/drawing/2014/main" id="{3EC57B04-FBFD-5F8D-1C56-A8010107C84A}"/>
            </a:ext>
          </a:extLst>
        </xdr:cNvPr>
        <xdr:cNvSpPr/>
      </xdr:nvSpPr>
      <xdr:spPr>
        <a:xfrm>
          <a:off x="641350" y="38881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55" name="Freeform 304">
          <a:extLst>
            <a:ext uri="{FF2B5EF4-FFF2-40B4-BE49-F238E27FC236}">
              <a16:creationId xmlns:a16="http://schemas.microsoft.com/office/drawing/2014/main" id="{1D53193E-BFEF-B0C4-71C4-850652502377}"/>
            </a:ext>
          </a:extLst>
        </xdr:cNvPr>
        <xdr:cNvSpPr/>
      </xdr:nvSpPr>
      <xdr:spPr>
        <a:xfrm>
          <a:off x="5102225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286</xdr:row>
      <xdr:rowOff>0</xdr:rowOff>
    </xdr:from>
    <xdr:to>
      <xdr:col>1</xdr:col>
      <xdr:colOff>281940</xdr:colOff>
      <xdr:row>286</xdr:row>
      <xdr:rowOff>5715</xdr:rowOff>
    </xdr:to>
    <xdr:sp macro="" textlink="">
      <xdr:nvSpPr>
        <xdr:cNvPr id="27856" name="Freeform 683">
          <a:extLst>
            <a:ext uri="{FF2B5EF4-FFF2-40B4-BE49-F238E27FC236}">
              <a16:creationId xmlns:a16="http://schemas.microsoft.com/office/drawing/2014/main" id="{45073366-AD92-C851-615C-9DCD54134FCA}"/>
            </a:ext>
          </a:extLst>
        </xdr:cNvPr>
        <xdr:cNvSpPr/>
      </xdr:nvSpPr>
      <xdr:spPr>
        <a:xfrm>
          <a:off x="1535430" y="38881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57" name="Freeform 311">
          <a:extLst>
            <a:ext uri="{FF2B5EF4-FFF2-40B4-BE49-F238E27FC236}">
              <a16:creationId xmlns:a16="http://schemas.microsoft.com/office/drawing/2014/main" id="{9AD048B5-A9A8-107D-AAFB-F63C5FCE75CA}"/>
            </a:ext>
          </a:extLst>
        </xdr:cNvPr>
        <xdr:cNvSpPr/>
      </xdr:nvSpPr>
      <xdr:spPr>
        <a:xfrm>
          <a:off x="599567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58" name="Freeform 621">
          <a:extLst>
            <a:ext uri="{FF2B5EF4-FFF2-40B4-BE49-F238E27FC236}">
              <a16:creationId xmlns:a16="http://schemas.microsoft.com/office/drawing/2014/main" id="{F2CFDC03-C8FD-A580-C24E-470388CA983E}"/>
            </a:ext>
          </a:extLst>
        </xdr:cNvPr>
        <xdr:cNvSpPr/>
      </xdr:nvSpPr>
      <xdr:spPr>
        <a:xfrm>
          <a:off x="24250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59" name="Freeform 622">
          <a:extLst>
            <a:ext uri="{FF2B5EF4-FFF2-40B4-BE49-F238E27FC236}">
              <a16:creationId xmlns:a16="http://schemas.microsoft.com/office/drawing/2014/main" id="{BF20916A-085D-052D-2BD8-740BF29CC036}"/>
            </a:ext>
          </a:extLst>
        </xdr:cNvPr>
        <xdr:cNvSpPr/>
      </xdr:nvSpPr>
      <xdr:spPr>
        <a:xfrm>
          <a:off x="33191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60" name="Freeform 312">
          <a:extLst>
            <a:ext uri="{FF2B5EF4-FFF2-40B4-BE49-F238E27FC236}">
              <a16:creationId xmlns:a16="http://schemas.microsoft.com/office/drawing/2014/main" id="{9238410C-2A2D-CCF6-D33C-EE3358063431}"/>
            </a:ext>
          </a:extLst>
        </xdr:cNvPr>
        <xdr:cNvSpPr/>
      </xdr:nvSpPr>
      <xdr:spPr>
        <a:xfrm>
          <a:off x="688975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0</xdr:rowOff>
    </xdr:from>
    <xdr:to>
      <xdr:col>1</xdr:col>
      <xdr:colOff>291465</xdr:colOff>
      <xdr:row>286</xdr:row>
      <xdr:rowOff>5715</xdr:rowOff>
    </xdr:to>
    <xdr:sp macro="" textlink="">
      <xdr:nvSpPr>
        <xdr:cNvPr id="27861" name="Freeform 686">
          <a:extLst>
            <a:ext uri="{FF2B5EF4-FFF2-40B4-BE49-F238E27FC236}">
              <a16:creationId xmlns:a16="http://schemas.microsoft.com/office/drawing/2014/main" id="{A849B223-2601-FC45-F5DF-344514B7D8A2}"/>
            </a:ext>
          </a:extLst>
        </xdr:cNvPr>
        <xdr:cNvSpPr/>
      </xdr:nvSpPr>
      <xdr:spPr>
        <a:xfrm>
          <a:off x="4211955" y="388112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2" name="Freeform 638">
          <a:extLst>
            <a:ext uri="{FF2B5EF4-FFF2-40B4-BE49-F238E27FC236}">
              <a16:creationId xmlns:a16="http://schemas.microsoft.com/office/drawing/2014/main" id="{438D890C-6326-40F0-A9B2-27F921D75101}"/>
            </a:ext>
          </a:extLst>
        </xdr:cNvPr>
        <xdr:cNvSpPr/>
      </xdr:nvSpPr>
      <xdr:spPr>
        <a:xfrm>
          <a:off x="510095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3" name="Freeform 658">
          <a:extLst>
            <a:ext uri="{FF2B5EF4-FFF2-40B4-BE49-F238E27FC236}">
              <a16:creationId xmlns:a16="http://schemas.microsoft.com/office/drawing/2014/main" id="{15D7B010-23D7-66C1-EBD6-000AE54011D1}"/>
            </a:ext>
          </a:extLst>
        </xdr:cNvPr>
        <xdr:cNvSpPr/>
      </xdr:nvSpPr>
      <xdr:spPr>
        <a:xfrm>
          <a:off x="59937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64" name="Freeform 659">
          <a:extLst>
            <a:ext uri="{FF2B5EF4-FFF2-40B4-BE49-F238E27FC236}">
              <a16:creationId xmlns:a16="http://schemas.microsoft.com/office/drawing/2014/main" id="{B1CB5DDB-D438-064D-765D-70864A3EB6A0}"/>
            </a:ext>
          </a:extLst>
        </xdr:cNvPr>
        <xdr:cNvSpPr/>
      </xdr:nvSpPr>
      <xdr:spPr>
        <a:xfrm>
          <a:off x="68878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65" name="Freeform 438">
          <a:extLst>
            <a:ext uri="{FF2B5EF4-FFF2-40B4-BE49-F238E27FC236}">
              <a16:creationId xmlns:a16="http://schemas.microsoft.com/office/drawing/2014/main" id="{5CFB7B25-2676-0915-46A1-798802837876}"/>
            </a:ext>
          </a:extLst>
        </xdr:cNvPr>
        <xdr:cNvSpPr/>
      </xdr:nvSpPr>
      <xdr:spPr>
        <a:xfrm>
          <a:off x="641350" y="48387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171450</xdr:rowOff>
    </xdr:from>
    <xdr:to>
      <xdr:col>1</xdr:col>
      <xdr:colOff>281940</xdr:colOff>
      <xdr:row>200</xdr:row>
      <xdr:rowOff>177165</xdr:rowOff>
    </xdr:to>
    <xdr:sp macro="" textlink="">
      <xdr:nvSpPr>
        <xdr:cNvPr id="27866" name="Freeform 439">
          <a:extLst>
            <a:ext uri="{FF2B5EF4-FFF2-40B4-BE49-F238E27FC236}">
              <a16:creationId xmlns:a16="http://schemas.microsoft.com/office/drawing/2014/main" id="{184AC36C-56DA-3DA5-4A2A-E6062627771D}"/>
            </a:ext>
          </a:extLst>
        </xdr:cNvPr>
        <xdr:cNvSpPr/>
      </xdr:nvSpPr>
      <xdr:spPr>
        <a:xfrm>
          <a:off x="1535430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0</xdr:col>
      <xdr:colOff>5715</xdr:colOff>
      <xdr:row>201</xdr:row>
      <xdr:rowOff>5715</xdr:rowOff>
    </xdr:to>
    <xdr:sp macro="" textlink="">
      <xdr:nvSpPr>
        <xdr:cNvPr id="27867" name="Freeform 453">
          <a:extLst>
            <a:ext uri="{FF2B5EF4-FFF2-40B4-BE49-F238E27FC236}">
              <a16:creationId xmlns:a16="http://schemas.microsoft.com/office/drawing/2014/main" id="{8A22EB5B-238D-998E-3BAC-69AE44634C14}"/>
            </a:ext>
          </a:extLst>
        </xdr:cNvPr>
        <xdr:cNvSpPr/>
      </xdr:nvSpPr>
      <xdr:spPr>
        <a:xfrm>
          <a:off x="2424430" y="48310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8" name="Freeform 454">
          <a:extLst>
            <a:ext uri="{FF2B5EF4-FFF2-40B4-BE49-F238E27FC236}">
              <a16:creationId xmlns:a16="http://schemas.microsoft.com/office/drawing/2014/main" id="{1603457C-8C35-8042-E724-4FEA6C3BDFB3}"/>
            </a:ext>
          </a:extLst>
        </xdr:cNvPr>
        <xdr:cNvSpPr/>
      </xdr:nvSpPr>
      <xdr:spPr>
        <a:xfrm>
          <a:off x="3318510" y="48310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9" name="Freeform 455">
          <a:extLst>
            <a:ext uri="{FF2B5EF4-FFF2-40B4-BE49-F238E27FC236}">
              <a16:creationId xmlns:a16="http://schemas.microsoft.com/office/drawing/2014/main" id="{F7B8A879-82D3-0769-EEA0-9DD1820B98CA}"/>
            </a:ext>
          </a:extLst>
        </xdr:cNvPr>
        <xdr:cNvSpPr/>
      </xdr:nvSpPr>
      <xdr:spPr>
        <a:xfrm>
          <a:off x="4211955" y="483108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71" name="Freeform 445">
          <a:extLst>
            <a:ext uri="{FF2B5EF4-FFF2-40B4-BE49-F238E27FC236}">
              <a16:creationId xmlns:a16="http://schemas.microsoft.com/office/drawing/2014/main" id="{07359F67-31CA-7A82-5E33-8C5827C9A714}"/>
            </a:ext>
          </a:extLst>
        </xdr:cNvPr>
        <xdr:cNvSpPr/>
      </xdr:nvSpPr>
      <xdr:spPr>
        <a:xfrm>
          <a:off x="5102225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9525</xdr:rowOff>
    </xdr:from>
    <xdr:to>
      <xdr:col>0</xdr:col>
      <xdr:colOff>5715</xdr:colOff>
      <xdr:row>201</xdr:row>
      <xdr:rowOff>15240</xdr:rowOff>
    </xdr:to>
    <xdr:sp macro="" textlink="">
      <xdr:nvSpPr>
        <xdr:cNvPr id="27872" name="Freeform 456">
          <a:extLst>
            <a:ext uri="{FF2B5EF4-FFF2-40B4-BE49-F238E27FC236}">
              <a16:creationId xmlns:a16="http://schemas.microsoft.com/office/drawing/2014/main" id="{EA6336C6-66FC-CFF4-B4FF-2960D65189A7}"/>
            </a:ext>
          </a:extLst>
        </xdr:cNvPr>
        <xdr:cNvSpPr/>
      </xdr:nvSpPr>
      <xdr:spPr>
        <a:xfrm>
          <a:off x="5995670" y="483679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9525</xdr:rowOff>
    </xdr:from>
    <xdr:to>
      <xdr:col>1</xdr:col>
      <xdr:colOff>291465</xdr:colOff>
      <xdr:row>201</xdr:row>
      <xdr:rowOff>15240</xdr:rowOff>
    </xdr:to>
    <xdr:sp macro="" textlink="">
      <xdr:nvSpPr>
        <xdr:cNvPr id="27874" name="Freeform 457">
          <a:extLst>
            <a:ext uri="{FF2B5EF4-FFF2-40B4-BE49-F238E27FC236}">
              <a16:creationId xmlns:a16="http://schemas.microsoft.com/office/drawing/2014/main" id="{7CC828C8-BDCC-3FD5-DDE5-C7C2E5F96294}"/>
            </a:ext>
          </a:extLst>
        </xdr:cNvPr>
        <xdr:cNvSpPr/>
      </xdr:nvSpPr>
      <xdr:spPr>
        <a:xfrm>
          <a:off x="6889750" y="483679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5" name="Freeform 623">
          <a:extLst>
            <a:ext uri="{FF2B5EF4-FFF2-40B4-BE49-F238E27FC236}">
              <a16:creationId xmlns:a16="http://schemas.microsoft.com/office/drawing/2014/main" id="{CA33DDE4-C62D-E0A5-6958-8AD7568F2167}"/>
            </a:ext>
          </a:extLst>
        </xdr:cNvPr>
        <xdr:cNvSpPr/>
      </xdr:nvSpPr>
      <xdr:spPr>
        <a:xfrm>
          <a:off x="24250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76" name="Freeform 624">
          <a:extLst>
            <a:ext uri="{FF2B5EF4-FFF2-40B4-BE49-F238E27FC236}">
              <a16:creationId xmlns:a16="http://schemas.microsoft.com/office/drawing/2014/main" id="{298EFDA8-EF78-B472-DA83-BAE077F33E41}"/>
            </a:ext>
          </a:extLst>
        </xdr:cNvPr>
        <xdr:cNvSpPr/>
      </xdr:nvSpPr>
      <xdr:spPr>
        <a:xfrm>
          <a:off x="33191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0</xdr:rowOff>
    </xdr:from>
    <xdr:to>
      <xdr:col>1</xdr:col>
      <xdr:colOff>291465</xdr:colOff>
      <xdr:row>287</xdr:row>
      <xdr:rowOff>5715</xdr:rowOff>
    </xdr:to>
    <xdr:sp macro="" textlink="">
      <xdr:nvSpPr>
        <xdr:cNvPr id="27877" name="Freeform 694">
          <a:extLst>
            <a:ext uri="{FF2B5EF4-FFF2-40B4-BE49-F238E27FC236}">
              <a16:creationId xmlns:a16="http://schemas.microsoft.com/office/drawing/2014/main" id="{B7D2D809-5701-DDBB-13DD-70349CC8C32B}"/>
            </a:ext>
          </a:extLst>
        </xdr:cNvPr>
        <xdr:cNvSpPr/>
      </xdr:nvSpPr>
      <xdr:spPr>
        <a:xfrm>
          <a:off x="4211955" y="4063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8" name="Freeform 639">
          <a:extLst>
            <a:ext uri="{FF2B5EF4-FFF2-40B4-BE49-F238E27FC236}">
              <a16:creationId xmlns:a16="http://schemas.microsoft.com/office/drawing/2014/main" id="{63B7C9B7-9CDF-57B6-21E4-F09516079880}"/>
            </a:ext>
          </a:extLst>
        </xdr:cNvPr>
        <xdr:cNvSpPr/>
      </xdr:nvSpPr>
      <xdr:spPr>
        <a:xfrm>
          <a:off x="510095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9" name="Freeform 660">
          <a:extLst>
            <a:ext uri="{FF2B5EF4-FFF2-40B4-BE49-F238E27FC236}">
              <a16:creationId xmlns:a16="http://schemas.microsoft.com/office/drawing/2014/main" id="{E69EEA1C-FE03-217E-D3EB-F2FD7EBE1937}"/>
            </a:ext>
          </a:extLst>
        </xdr:cNvPr>
        <xdr:cNvSpPr/>
      </xdr:nvSpPr>
      <xdr:spPr>
        <a:xfrm>
          <a:off x="59937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0" name="Freeform 298">
          <a:extLst>
            <a:ext uri="{FF2B5EF4-FFF2-40B4-BE49-F238E27FC236}">
              <a16:creationId xmlns:a16="http://schemas.microsoft.com/office/drawing/2014/main" id="{E5DC6EF8-1C84-0509-2317-93FD78B762FA}"/>
            </a:ext>
          </a:extLst>
        </xdr:cNvPr>
        <xdr:cNvSpPr/>
      </xdr:nvSpPr>
      <xdr:spPr>
        <a:xfrm>
          <a:off x="641350" y="5022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81" name="Freeform 661">
          <a:extLst>
            <a:ext uri="{FF2B5EF4-FFF2-40B4-BE49-F238E27FC236}">
              <a16:creationId xmlns:a16="http://schemas.microsoft.com/office/drawing/2014/main" id="{88E75610-F7B6-7CDA-6F90-D3C66D62C4EE}"/>
            </a:ext>
          </a:extLst>
        </xdr:cNvPr>
        <xdr:cNvSpPr/>
      </xdr:nvSpPr>
      <xdr:spPr>
        <a:xfrm>
          <a:off x="68878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106</xdr:row>
      <xdr:rowOff>152400</xdr:rowOff>
    </xdr:from>
    <xdr:to>
      <xdr:col>1</xdr:col>
      <xdr:colOff>281940</xdr:colOff>
      <xdr:row>106</xdr:row>
      <xdr:rowOff>158115</xdr:rowOff>
    </xdr:to>
    <xdr:sp macro="" textlink="">
      <xdr:nvSpPr>
        <xdr:cNvPr id="27882" name="Freeform 299">
          <a:extLst>
            <a:ext uri="{FF2B5EF4-FFF2-40B4-BE49-F238E27FC236}">
              <a16:creationId xmlns:a16="http://schemas.microsoft.com/office/drawing/2014/main" id="{2A8B319F-17D1-88E0-CC84-F564855E585F}"/>
            </a:ext>
          </a:extLst>
        </xdr:cNvPr>
        <xdr:cNvSpPr/>
      </xdr:nvSpPr>
      <xdr:spPr>
        <a:xfrm>
          <a:off x="1535430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3" name="Freeform 313">
          <a:extLst>
            <a:ext uri="{FF2B5EF4-FFF2-40B4-BE49-F238E27FC236}">
              <a16:creationId xmlns:a16="http://schemas.microsoft.com/office/drawing/2014/main" id="{C031C145-D5D0-1EF5-685E-31D0F74C2262}"/>
            </a:ext>
          </a:extLst>
        </xdr:cNvPr>
        <xdr:cNvSpPr/>
      </xdr:nvSpPr>
      <xdr:spPr>
        <a:xfrm>
          <a:off x="242443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4" name="Freeform 314">
          <a:extLst>
            <a:ext uri="{FF2B5EF4-FFF2-40B4-BE49-F238E27FC236}">
              <a16:creationId xmlns:a16="http://schemas.microsoft.com/office/drawing/2014/main" id="{04FA895B-5417-F23F-F0EE-B7F6D4EE3800}"/>
            </a:ext>
          </a:extLst>
        </xdr:cNvPr>
        <xdr:cNvSpPr/>
      </xdr:nvSpPr>
      <xdr:spPr>
        <a:xfrm>
          <a:off x="331851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0</xdr:rowOff>
    </xdr:from>
    <xdr:to>
      <xdr:col>1</xdr:col>
      <xdr:colOff>291465</xdr:colOff>
      <xdr:row>106</xdr:row>
      <xdr:rowOff>5715</xdr:rowOff>
    </xdr:to>
    <xdr:sp macro="" textlink="">
      <xdr:nvSpPr>
        <xdr:cNvPr id="27885" name="Freeform 315">
          <a:extLst>
            <a:ext uri="{FF2B5EF4-FFF2-40B4-BE49-F238E27FC236}">
              <a16:creationId xmlns:a16="http://schemas.microsoft.com/office/drawing/2014/main" id="{1D2EF39B-BFB4-7665-D114-2DA5776B5B4D}"/>
            </a:ext>
          </a:extLst>
        </xdr:cNvPr>
        <xdr:cNvSpPr/>
      </xdr:nvSpPr>
      <xdr:spPr>
        <a:xfrm>
          <a:off x="4211955" y="50158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6" name="Freeform 305">
          <a:extLst>
            <a:ext uri="{FF2B5EF4-FFF2-40B4-BE49-F238E27FC236}">
              <a16:creationId xmlns:a16="http://schemas.microsoft.com/office/drawing/2014/main" id="{ADCD44D6-310C-7DB2-B0A8-E4BDE8FD9D64}"/>
            </a:ext>
          </a:extLst>
        </xdr:cNvPr>
        <xdr:cNvSpPr/>
      </xdr:nvSpPr>
      <xdr:spPr>
        <a:xfrm>
          <a:off x="5102225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7" name="Freeform 316">
          <a:extLst>
            <a:ext uri="{FF2B5EF4-FFF2-40B4-BE49-F238E27FC236}">
              <a16:creationId xmlns:a16="http://schemas.microsoft.com/office/drawing/2014/main" id="{810E4581-E1A4-CAB4-1357-55F830F87E85}"/>
            </a:ext>
          </a:extLst>
        </xdr:cNvPr>
        <xdr:cNvSpPr/>
      </xdr:nvSpPr>
      <xdr:spPr>
        <a:xfrm>
          <a:off x="599567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8" name="Freeform 317">
          <a:extLst>
            <a:ext uri="{FF2B5EF4-FFF2-40B4-BE49-F238E27FC236}">
              <a16:creationId xmlns:a16="http://schemas.microsoft.com/office/drawing/2014/main" id="{58796F1F-C0A3-FE31-3A0B-59C378CDA6C7}"/>
            </a:ext>
          </a:extLst>
        </xdr:cNvPr>
        <xdr:cNvSpPr/>
      </xdr:nvSpPr>
      <xdr:spPr>
        <a:xfrm>
          <a:off x="688975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1" name="Freeform 625">
          <a:extLst>
            <a:ext uri="{FF2B5EF4-FFF2-40B4-BE49-F238E27FC236}">
              <a16:creationId xmlns:a16="http://schemas.microsoft.com/office/drawing/2014/main" id="{3CF9AAA9-0303-040C-7903-B49CDD50B82B}"/>
            </a:ext>
          </a:extLst>
        </xdr:cNvPr>
        <xdr:cNvSpPr/>
      </xdr:nvSpPr>
      <xdr:spPr>
        <a:xfrm>
          <a:off x="24250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2" name="Freeform 626">
          <a:extLst>
            <a:ext uri="{FF2B5EF4-FFF2-40B4-BE49-F238E27FC236}">
              <a16:creationId xmlns:a16="http://schemas.microsoft.com/office/drawing/2014/main" id="{156F8E14-B7B8-CB96-4F9F-657E946746C0}"/>
            </a:ext>
          </a:extLst>
        </xdr:cNvPr>
        <xdr:cNvSpPr/>
      </xdr:nvSpPr>
      <xdr:spPr>
        <a:xfrm>
          <a:off x="33191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0</xdr:rowOff>
    </xdr:from>
    <xdr:to>
      <xdr:col>1</xdr:col>
      <xdr:colOff>291465</xdr:colOff>
      <xdr:row>288</xdr:row>
      <xdr:rowOff>5715</xdr:rowOff>
    </xdr:to>
    <xdr:sp macro="" textlink="">
      <xdr:nvSpPr>
        <xdr:cNvPr id="27893" name="Freeform 695">
          <a:extLst>
            <a:ext uri="{FF2B5EF4-FFF2-40B4-BE49-F238E27FC236}">
              <a16:creationId xmlns:a16="http://schemas.microsoft.com/office/drawing/2014/main" id="{B49EB5F6-A920-465C-234E-A7310988E3B1}"/>
            </a:ext>
          </a:extLst>
        </xdr:cNvPr>
        <xdr:cNvSpPr/>
      </xdr:nvSpPr>
      <xdr:spPr>
        <a:xfrm>
          <a:off x="4211955" y="4245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4" name="Freeform 640">
          <a:extLst>
            <a:ext uri="{FF2B5EF4-FFF2-40B4-BE49-F238E27FC236}">
              <a16:creationId xmlns:a16="http://schemas.microsoft.com/office/drawing/2014/main" id="{C608EA9D-6839-40E4-F887-A7BD68BF9730}"/>
            </a:ext>
          </a:extLst>
        </xdr:cNvPr>
        <xdr:cNvSpPr/>
      </xdr:nvSpPr>
      <xdr:spPr>
        <a:xfrm>
          <a:off x="510095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5" name="Freeform 662">
          <a:extLst>
            <a:ext uri="{FF2B5EF4-FFF2-40B4-BE49-F238E27FC236}">
              <a16:creationId xmlns:a16="http://schemas.microsoft.com/office/drawing/2014/main" id="{B6AE5704-AE8A-029F-9835-5FCE63C2757F}"/>
            </a:ext>
          </a:extLst>
        </xdr:cNvPr>
        <xdr:cNvSpPr/>
      </xdr:nvSpPr>
      <xdr:spPr>
        <a:xfrm>
          <a:off x="59937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6" name="Freeform 663">
          <a:extLst>
            <a:ext uri="{FF2B5EF4-FFF2-40B4-BE49-F238E27FC236}">
              <a16:creationId xmlns:a16="http://schemas.microsoft.com/office/drawing/2014/main" id="{9D8DAE5B-9FAD-B22A-6EBB-34877BEF6D4C}"/>
            </a:ext>
          </a:extLst>
        </xdr:cNvPr>
        <xdr:cNvSpPr/>
      </xdr:nvSpPr>
      <xdr:spPr>
        <a:xfrm>
          <a:off x="68878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899" name="Freeform 627">
          <a:extLst>
            <a:ext uri="{FF2B5EF4-FFF2-40B4-BE49-F238E27FC236}">
              <a16:creationId xmlns:a16="http://schemas.microsoft.com/office/drawing/2014/main" id="{B0869DF5-9D08-1539-1854-EEE2AD3BCB0D}"/>
            </a:ext>
          </a:extLst>
        </xdr:cNvPr>
        <xdr:cNvSpPr/>
      </xdr:nvSpPr>
      <xdr:spPr>
        <a:xfrm>
          <a:off x="24250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0" name="Freeform 628">
          <a:extLst>
            <a:ext uri="{FF2B5EF4-FFF2-40B4-BE49-F238E27FC236}">
              <a16:creationId xmlns:a16="http://schemas.microsoft.com/office/drawing/2014/main" id="{0D623AA0-8320-CA6E-AAAF-FF229574157F}"/>
            </a:ext>
          </a:extLst>
        </xdr:cNvPr>
        <xdr:cNvSpPr/>
      </xdr:nvSpPr>
      <xdr:spPr>
        <a:xfrm>
          <a:off x="33191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1" name="Freeform 641">
          <a:extLst>
            <a:ext uri="{FF2B5EF4-FFF2-40B4-BE49-F238E27FC236}">
              <a16:creationId xmlns:a16="http://schemas.microsoft.com/office/drawing/2014/main" id="{2C7ADF95-66C2-EF18-8CD9-D607286FCCE9}"/>
            </a:ext>
          </a:extLst>
        </xdr:cNvPr>
        <xdr:cNvSpPr/>
      </xdr:nvSpPr>
      <xdr:spPr>
        <a:xfrm>
          <a:off x="510095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2" name="Freeform 178">
          <a:extLst>
            <a:ext uri="{FF2B5EF4-FFF2-40B4-BE49-F238E27FC236}">
              <a16:creationId xmlns:a16="http://schemas.microsoft.com/office/drawing/2014/main" id="{AD3F4EAF-8EB8-D3CC-0BE6-C924A71DCBAD}"/>
            </a:ext>
          </a:extLst>
        </xdr:cNvPr>
        <xdr:cNvSpPr/>
      </xdr:nvSpPr>
      <xdr:spPr>
        <a:xfrm>
          <a:off x="64135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3" name="Freeform 664">
          <a:extLst>
            <a:ext uri="{FF2B5EF4-FFF2-40B4-BE49-F238E27FC236}">
              <a16:creationId xmlns:a16="http://schemas.microsoft.com/office/drawing/2014/main" id="{C83AE6E7-410F-25B8-BA10-EFFA483B43FB}"/>
            </a:ext>
          </a:extLst>
        </xdr:cNvPr>
        <xdr:cNvSpPr/>
      </xdr:nvSpPr>
      <xdr:spPr>
        <a:xfrm>
          <a:off x="59937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4" name="Freeform 665">
          <a:extLst>
            <a:ext uri="{FF2B5EF4-FFF2-40B4-BE49-F238E27FC236}">
              <a16:creationId xmlns:a16="http://schemas.microsoft.com/office/drawing/2014/main" id="{C3E15F47-8BD2-A651-884E-021D5E64B0A0}"/>
            </a:ext>
          </a:extLst>
        </xdr:cNvPr>
        <xdr:cNvSpPr/>
      </xdr:nvSpPr>
      <xdr:spPr>
        <a:xfrm>
          <a:off x="68878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0</xdr:rowOff>
    </xdr:from>
    <xdr:to>
      <xdr:col>1</xdr:col>
      <xdr:colOff>281940</xdr:colOff>
      <xdr:row>17</xdr:row>
      <xdr:rowOff>5715</xdr:rowOff>
    </xdr:to>
    <xdr:sp macro="" textlink="">
      <xdr:nvSpPr>
        <xdr:cNvPr id="27905" name="Freeform 179">
          <a:extLst>
            <a:ext uri="{FF2B5EF4-FFF2-40B4-BE49-F238E27FC236}">
              <a16:creationId xmlns:a16="http://schemas.microsoft.com/office/drawing/2014/main" id="{370C0461-5335-58AA-67AF-DFB1FD7CFFC0}"/>
            </a:ext>
          </a:extLst>
        </xdr:cNvPr>
        <xdr:cNvSpPr/>
      </xdr:nvSpPr>
      <xdr:spPr>
        <a:xfrm>
          <a:off x="1535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6" name="Freeform 184">
          <a:extLst>
            <a:ext uri="{FF2B5EF4-FFF2-40B4-BE49-F238E27FC236}">
              <a16:creationId xmlns:a16="http://schemas.microsoft.com/office/drawing/2014/main" id="{819BD8A2-22EC-FB3C-895C-5718743294C9}"/>
            </a:ext>
          </a:extLst>
        </xdr:cNvPr>
        <xdr:cNvSpPr/>
      </xdr:nvSpPr>
      <xdr:spPr>
        <a:xfrm>
          <a:off x="2424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7" name="Freeform 185">
          <a:extLst>
            <a:ext uri="{FF2B5EF4-FFF2-40B4-BE49-F238E27FC236}">
              <a16:creationId xmlns:a16="http://schemas.microsoft.com/office/drawing/2014/main" id="{D616D3E1-FE81-D17C-ADF8-85880BE0680D}"/>
            </a:ext>
          </a:extLst>
        </xdr:cNvPr>
        <xdr:cNvSpPr/>
      </xdr:nvSpPr>
      <xdr:spPr>
        <a:xfrm>
          <a:off x="331851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8" name="Freeform 186">
          <a:extLst>
            <a:ext uri="{FF2B5EF4-FFF2-40B4-BE49-F238E27FC236}">
              <a16:creationId xmlns:a16="http://schemas.microsoft.com/office/drawing/2014/main" id="{0881FFB1-B413-2AE7-E5E3-C1B59AAD4DA0}"/>
            </a:ext>
          </a:extLst>
        </xdr:cNvPr>
        <xdr:cNvSpPr/>
      </xdr:nvSpPr>
      <xdr:spPr>
        <a:xfrm>
          <a:off x="4211320" y="44049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9" name="Freeform 187">
          <a:extLst>
            <a:ext uri="{FF2B5EF4-FFF2-40B4-BE49-F238E27FC236}">
              <a16:creationId xmlns:a16="http://schemas.microsoft.com/office/drawing/2014/main" id="{EB6785C5-5BCE-306B-8E7D-B22FA36BADC8}"/>
            </a:ext>
          </a:extLst>
        </xdr:cNvPr>
        <xdr:cNvSpPr/>
      </xdr:nvSpPr>
      <xdr:spPr>
        <a:xfrm>
          <a:off x="510286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10" name="Freeform 190">
          <a:extLst>
            <a:ext uri="{FF2B5EF4-FFF2-40B4-BE49-F238E27FC236}">
              <a16:creationId xmlns:a16="http://schemas.microsoft.com/office/drawing/2014/main" id="{88218D6A-1C2B-B2BB-BE06-488CB2709576}"/>
            </a:ext>
          </a:extLst>
        </xdr:cNvPr>
        <xdr:cNvSpPr/>
      </xdr:nvSpPr>
      <xdr:spPr>
        <a:xfrm>
          <a:off x="5995035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11" name="Freeform 191">
          <a:extLst>
            <a:ext uri="{FF2B5EF4-FFF2-40B4-BE49-F238E27FC236}">
              <a16:creationId xmlns:a16="http://schemas.microsoft.com/office/drawing/2014/main" id="{8AE07446-BF09-F570-4E5F-0A273E75C1BE}"/>
            </a:ext>
          </a:extLst>
        </xdr:cNvPr>
        <xdr:cNvSpPr/>
      </xdr:nvSpPr>
      <xdr:spPr>
        <a:xfrm>
          <a:off x="688975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2" name="Freeform 458">
          <a:extLst>
            <a:ext uri="{FF2B5EF4-FFF2-40B4-BE49-F238E27FC236}">
              <a16:creationId xmlns:a16="http://schemas.microsoft.com/office/drawing/2014/main" id="{4EDF8C56-41B7-5CFD-48CA-88EFC00B7B36}"/>
            </a:ext>
          </a:extLst>
        </xdr:cNvPr>
        <xdr:cNvSpPr/>
      </xdr:nvSpPr>
      <xdr:spPr>
        <a:xfrm>
          <a:off x="64135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0</xdr:rowOff>
    </xdr:from>
    <xdr:to>
      <xdr:col>1</xdr:col>
      <xdr:colOff>281940</xdr:colOff>
      <xdr:row>203</xdr:row>
      <xdr:rowOff>5715</xdr:rowOff>
    </xdr:to>
    <xdr:sp macro="" textlink="">
      <xdr:nvSpPr>
        <xdr:cNvPr id="27913" name="Freeform 459">
          <a:extLst>
            <a:ext uri="{FF2B5EF4-FFF2-40B4-BE49-F238E27FC236}">
              <a16:creationId xmlns:a16="http://schemas.microsoft.com/office/drawing/2014/main" id="{8154C160-9FCC-4599-1F79-99B395AFA7BB}"/>
            </a:ext>
          </a:extLst>
        </xdr:cNvPr>
        <xdr:cNvSpPr/>
      </xdr:nvSpPr>
      <xdr:spPr>
        <a:xfrm>
          <a:off x="1535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4" name="Freeform 464">
          <a:extLst>
            <a:ext uri="{FF2B5EF4-FFF2-40B4-BE49-F238E27FC236}">
              <a16:creationId xmlns:a16="http://schemas.microsoft.com/office/drawing/2014/main" id="{3677B450-5A11-C4F1-73D9-17780DA951DE}"/>
            </a:ext>
          </a:extLst>
        </xdr:cNvPr>
        <xdr:cNvSpPr/>
      </xdr:nvSpPr>
      <xdr:spPr>
        <a:xfrm>
          <a:off x="2424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5" name="Freeform 465">
          <a:extLst>
            <a:ext uri="{FF2B5EF4-FFF2-40B4-BE49-F238E27FC236}">
              <a16:creationId xmlns:a16="http://schemas.microsoft.com/office/drawing/2014/main" id="{2D1F3D7D-D98D-85C5-5F48-43C61342E40C}"/>
            </a:ext>
          </a:extLst>
        </xdr:cNvPr>
        <xdr:cNvSpPr/>
      </xdr:nvSpPr>
      <xdr:spPr>
        <a:xfrm>
          <a:off x="331851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6" name="Freeform 466">
          <a:extLst>
            <a:ext uri="{FF2B5EF4-FFF2-40B4-BE49-F238E27FC236}">
              <a16:creationId xmlns:a16="http://schemas.microsoft.com/office/drawing/2014/main" id="{7B09DA7F-1A11-8106-9CF1-CAD5DDEAE5D2}"/>
            </a:ext>
          </a:extLst>
        </xdr:cNvPr>
        <xdr:cNvSpPr/>
      </xdr:nvSpPr>
      <xdr:spPr>
        <a:xfrm>
          <a:off x="4211955" y="5196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7" name="Freeform 467">
          <a:extLst>
            <a:ext uri="{FF2B5EF4-FFF2-40B4-BE49-F238E27FC236}">
              <a16:creationId xmlns:a16="http://schemas.microsoft.com/office/drawing/2014/main" id="{193BCBE6-40A5-CB77-EDB6-94333E7C1E37}"/>
            </a:ext>
          </a:extLst>
        </xdr:cNvPr>
        <xdr:cNvSpPr/>
      </xdr:nvSpPr>
      <xdr:spPr>
        <a:xfrm>
          <a:off x="5103495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9525</xdr:rowOff>
    </xdr:from>
    <xdr:to>
      <xdr:col>0</xdr:col>
      <xdr:colOff>5715</xdr:colOff>
      <xdr:row>203</xdr:row>
      <xdr:rowOff>15240</xdr:rowOff>
    </xdr:to>
    <xdr:sp macro="" textlink="">
      <xdr:nvSpPr>
        <xdr:cNvPr id="27918" name="Freeform 470">
          <a:extLst>
            <a:ext uri="{FF2B5EF4-FFF2-40B4-BE49-F238E27FC236}">
              <a16:creationId xmlns:a16="http://schemas.microsoft.com/office/drawing/2014/main" id="{48A48908-E343-0F6B-BFE8-CFF1E76BA524}"/>
            </a:ext>
          </a:extLst>
        </xdr:cNvPr>
        <xdr:cNvSpPr/>
      </xdr:nvSpPr>
      <xdr:spPr>
        <a:xfrm>
          <a:off x="5995670" y="5202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9525</xdr:rowOff>
    </xdr:from>
    <xdr:to>
      <xdr:col>1</xdr:col>
      <xdr:colOff>291465</xdr:colOff>
      <xdr:row>203</xdr:row>
      <xdr:rowOff>15240</xdr:rowOff>
    </xdr:to>
    <xdr:sp macro="" textlink="">
      <xdr:nvSpPr>
        <xdr:cNvPr id="27919" name="Freeform 471">
          <a:extLst>
            <a:ext uri="{FF2B5EF4-FFF2-40B4-BE49-F238E27FC236}">
              <a16:creationId xmlns:a16="http://schemas.microsoft.com/office/drawing/2014/main" id="{FCBA1136-A338-FA4D-DC09-26FB61E8CC78}"/>
            </a:ext>
          </a:extLst>
        </xdr:cNvPr>
        <xdr:cNvSpPr/>
      </xdr:nvSpPr>
      <xdr:spPr>
        <a:xfrm>
          <a:off x="6889750" y="52025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0" name="Freeform 318">
          <a:extLst>
            <a:ext uri="{FF2B5EF4-FFF2-40B4-BE49-F238E27FC236}">
              <a16:creationId xmlns:a16="http://schemas.microsoft.com/office/drawing/2014/main" id="{2A2C6CCC-31A7-39F7-8DBD-A50BB59F2550}"/>
            </a:ext>
          </a:extLst>
        </xdr:cNvPr>
        <xdr:cNvSpPr/>
      </xdr:nvSpPr>
      <xdr:spPr>
        <a:xfrm>
          <a:off x="64135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21" name="Freeform 180">
          <a:extLst>
            <a:ext uri="{FF2B5EF4-FFF2-40B4-BE49-F238E27FC236}">
              <a16:creationId xmlns:a16="http://schemas.microsoft.com/office/drawing/2014/main" id="{AD29CBC1-4927-8BCC-279E-9CA3E0D3EF1B}"/>
            </a:ext>
          </a:extLst>
        </xdr:cNvPr>
        <xdr:cNvSpPr/>
      </xdr:nvSpPr>
      <xdr:spPr>
        <a:xfrm>
          <a:off x="641350" y="4892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108</xdr:row>
      <xdr:rowOff>0</xdr:rowOff>
    </xdr:from>
    <xdr:to>
      <xdr:col>1</xdr:col>
      <xdr:colOff>281940</xdr:colOff>
      <xdr:row>108</xdr:row>
      <xdr:rowOff>5715</xdr:rowOff>
    </xdr:to>
    <xdr:sp macro="" textlink="">
      <xdr:nvSpPr>
        <xdr:cNvPr id="27922" name="Freeform 319">
          <a:extLst>
            <a:ext uri="{FF2B5EF4-FFF2-40B4-BE49-F238E27FC236}">
              <a16:creationId xmlns:a16="http://schemas.microsoft.com/office/drawing/2014/main" id="{BA216255-0BC6-C962-93A0-3C24CCB4D5F6}"/>
            </a:ext>
          </a:extLst>
        </xdr:cNvPr>
        <xdr:cNvSpPr/>
      </xdr:nvSpPr>
      <xdr:spPr>
        <a:xfrm>
          <a:off x="1535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104775</xdr:rowOff>
    </xdr:from>
    <xdr:to>
      <xdr:col>1</xdr:col>
      <xdr:colOff>281940</xdr:colOff>
      <xdr:row>19</xdr:row>
      <xdr:rowOff>110490</xdr:rowOff>
    </xdr:to>
    <xdr:sp macro="" textlink="">
      <xdr:nvSpPr>
        <xdr:cNvPr id="27923" name="Freeform 181">
          <a:extLst>
            <a:ext uri="{FF2B5EF4-FFF2-40B4-BE49-F238E27FC236}">
              <a16:creationId xmlns:a16="http://schemas.microsoft.com/office/drawing/2014/main" id="{4E336C44-9925-6FEE-84C0-D8C61AB1B545}"/>
            </a:ext>
          </a:extLst>
        </xdr:cNvPr>
        <xdr:cNvSpPr/>
      </xdr:nvSpPr>
      <xdr:spPr>
        <a:xfrm>
          <a:off x="153543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24" name="Freeform 192">
          <a:extLst>
            <a:ext uri="{FF2B5EF4-FFF2-40B4-BE49-F238E27FC236}">
              <a16:creationId xmlns:a16="http://schemas.microsoft.com/office/drawing/2014/main" id="{7376481B-6060-5A31-9D5D-B2F4DD432C6D}"/>
            </a:ext>
          </a:extLst>
        </xdr:cNvPr>
        <xdr:cNvSpPr/>
      </xdr:nvSpPr>
      <xdr:spPr>
        <a:xfrm>
          <a:off x="242443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5" name="Freeform 324">
          <a:extLst>
            <a:ext uri="{FF2B5EF4-FFF2-40B4-BE49-F238E27FC236}">
              <a16:creationId xmlns:a16="http://schemas.microsoft.com/office/drawing/2014/main" id="{612999B4-DC8C-DE05-8C7E-907DDE1A9E28}"/>
            </a:ext>
          </a:extLst>
        </xdr:cNvPr>
        <xdr:cNvSpPr/>
      </xdr:nvSpPr>
      <xdr:spPr>
        <a:xfrm>
          <a:off x="2424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26" name="Freeform 460">
          <a:extLst>
            <a:ext uri="{FF2B5EF4-FFF2-40B4-BE49-F238E27FC236}">
              <a16:creationId xmlns:a16="http://schemas.microsoft.com/office/drawing/2014/main" id="{8DB0CD20-885B-5124-CE90-E3DB178BC3A5}"/>
            </a:ext>
          </a:extLst>
        </xdr:cNvPr>
        <xdr:cNvSpPr/>
      </xdr:nvSpPr>
      <xdr:spPr>
        <a:xfrm>
          <a:off x="641350" y="55683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204</xdr:row>
      <xdr:rowOff>180975</xdr:rowOff>
    </xdr:from>
    <xdr:to>
      <xdr:col>1</xdr:col>
      <xdr:colOff>281940</xdr:colOff>
      <xdr:row>204</xdr:row>
      <xdr:rowOff>186690</xdr:rowOff>
    </xdr:to>
    <xdr:sp macro="" textlink="">
      <xdr:nvSpPr>
        <xdr:cNvPr id="27927" name="Freeform 461">
          <a:extLst>
            <a:ext uri="{FF2B5EF4-FFF2-40B4-BE49-F238E27FC236}">
              <a16:creationId xmlns:a16="http://schemas.microsoft.com/office/drawing/2014/main" id="{37B7BAAA-E9C8-7CB0-DA44-D0644FC80FD5}"/>
            </a:ext>
          </a:extLst>
        </xdr:cNvPr>
        <xdr:cNvSpPr/>
      </xdr:nvSpPr>
      <xdr:spPr>
        <a:xfrm>
          <a:off x="1535430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28" name="Freeform 193">
          <a:extLst>
            <a:ext uri="{FF2B5EF4-FFF2-40B4-BE49-F238E27FC236}">
              <a16:creationId xmlns:a16="http://schemas.microsoft.com/office/drawing/2014/main" id="{64B8A3DC-CBE1-1212-C09C-0BC33848F875}"/>
            </a:ext>
          </a:extLst>
        </xdr:cNvPr>
        <xdr:cNvSpPr/>
      </xdr:nvSpPr>
      <xdr:spPr>
        <a:xfrm>
          <a:off x="3318510" y="488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29" name="Freeform 325">
          <a:extLst>
            <a:ext uri="{FF2B5EF4-FFF2-40B4-BE49-F238E27FC236}">
              <a16:creationId xmlns:a16="http://schemas.microsoft.com/office/drawing/2014/main" id="{0D303056-7D14-64C3-2DAB-A1AE7D0E645E}"/>
            </a:ext>
          </a:extLst>
        </xdr:cNvPr>
        <xdr:cNvSpPr/>
      </xdr:nvSpPr>
      <xdr:spPr>
        <a:xfrm>
          <a:off x="331851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0</xdr:rowOff>
    </xdr:from>
    <xdr:to>
      <xdr:col>0</xdr:col>
      <xdr:colOff>5715</xdr:colOff>
      <xdr:row>205</xdr:row>
      <xdr:rowOff>5715</xdr:rowOff>
    </xdr:to>
    <xdr:sp macro="" textlink="">
      <xdr:nvSpPr>
        <xdr:cNvPr id="27930" name="Freeform 472">
          <a:extLst>
            <a:ext uri="{FF2B5EF4-FFF2-40B4-BE49-F238E27FC236}">
              <a16:creationId xmlns:a16="http://schemas.microsoft.com/office/drawing/2014/main" id="{DCB0EC90-948A-04CE-E560-6330ED4742F1}"/>
            </a:ext>
          </a:extLst>
        </xdr:cNvPr>
        <xdr:cNvSpPr/>
      </xdr:nvSpPr>
      <xdr:spPr>
        <a:xfrm>
          <a:off x="2424430" y="55619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31" name="Freeform 194">
          <a:extLst>
            <a:ext uri="{FF2B5EF4-FFF2-40B4-BE49-F238E27FC236}">
              <a16:creationId xmlns:a16="http://schemas.microsoft.com/office/drawing/2014/main" id="{1C78EBE4-CAFF-7ACE-7A43-9683DE24F847}"/>
            </a:ext>
          </a:extLst>
        </xdr:cNvPr>
        <xdr:cNvSpPr/>
      </xdr:nvSpPr>
      <xdr:spPr>
        <a:xfrm>
          <a:off x="4211320" y="48863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2" name="Freeform 326">
          <a:extLst>
            <a:ext uri="{FF2B5EF4-FFF2-40B4-BE49-F238E27FC236}">
              <a16:creationId xmlns:a16="http://schemas.microsoft.com/office/drawing/2014/main" id="{B1B62696-7D49-929B-244A-E572A94052DD}"/>
            </a:ext>
          </a:extLst>
        </xdr:cNvPr>
        <xdr:cNvSpPr/>
      </xdr:nvSpPr>
      <xdr:spPr>
        <a:xfrm>
          <a:off x="4211955" y="556577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3" name="Freeform 473">
          <a:extLst>
            <a:ext uri="{FF2B5EF4-FFF2-40B4-BE49-F238E27FC236}">
              <a16:creationId xmlns:a16="http://schemas.microsoft.com/office/drawing/2014/main" id="{443EE847-4D6C-FA59-23E8-EF6CEE48644B}"/>
            </a:ext>
          </a:extLst>
        </xdr:cNvPr>
        <xdr:cNvSpPr/>
      </xdr:nvSpPr>
      <xdr:spPr>
        <a:xfrm>
          <a:off x="3318510" y="55619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34" name="Freeform 188">
          <a:extLst>
            <a:ext uri="{FF2B5EF4-FFF2-40B4-BE49-F238E27FC236}">
              <a16:creationId xmlns:a16="http://schemas.microsoft.com/office/drawing/2014/main" id="{7CC38007-0E52-696D-E39A-F79DCE793670}"/>
            </a:ext>
          </a:extLst>
        </xdr:cNvPr>
        <xdr:cNvSpPr/>
      </xdr:nvSpPr>
      <xdr:spPr>
        <a:xfrm>
          <a:off x="510159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5" name="Freeform 327">
          <a:extLst>
            <a:ext uri="{FF2B5EF4-FFF2-40B4-BE49-F238E27FC236}">
              <a16:creationId xmlns:a16="http://schemas.microsoft.com/office/drawing/2014/main" id="{9EA00F29-6E79-BC65-C3E1-E125683208A5}"/>
            </a:ext>
          </a:extLst>
        </xdr:cNvPr>
        <xdr:cNvSpPr/>
      </xdr:nvSpPr>
      <xdr:spPr>
        <a:xfrm>
          <a:off x="5103495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6" name="Freeform 474">
          <a:extLst>
            <a:ext uri="{FF2B5EF4-FFF2-40B4-BE49-F238E27FC236}">
              <a16:creationId xmlns:a16="http://schemas.microsoft.com/office/drawing/2014/main" id="{7D99011C-37E7-3B66-8F6C-4EE04F451B62}"/>
            </a:ext>
          </a:extLst>
        </xdr:cNvPr>
        <xdr:cNvSpPr/>
      </xdr:nvSpPr>
      <xdr:spPr>
        <a:xfrm>
          <a:off x="4211955" y="55619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37" name="Freeform 195">
          <a:extLst>
            <a:ext uri="{FF2B5EF4-FFF2-40B4-BE49-F238E27FC236}">
              <a16:creationId xmlns:a16="http://schemas.microsoft.com/office/drawing/2014/main" id="{AA329409-417E-4C08-4978-29976CAA2BF3}"/>
            </a:ext>
          </a:extLst>
        </xdr:cNvPr>
        <xdr:cNvSpPr/>
      </xdr:nvSpPr>
      <xdr:spPr>
        <a:xfrm>
          <a:off x="5995035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27938" name="Freeform 330">
          <a:extLst>
            <a:ext uri="{FF2B5EF4-FFF2-40B4-BE49-F238E27FC236}">
              <a16:creationId xmlns:a16="http://schemas.microsoft.com/office/drawing/2014/main" id="{5A9D39CB-4700-66B5-3B84-7C607B7BD1C7}"/>
            </a:ext>
          </a:extLst>
        </xdr:cNvPr>
        <xdr:cNvSpPr/>
      </xdr:nvSpPr>
      <xdr:spPr>
        <a:xfrm>
          <a:off x="5995670" y="557149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39" name="Freeform 468">
          <a:extLst>
            <a:ext uri="{FF2B5EF4-FFF2-40B4-BE49-F238E27FC236}">
              <a16:creationId xmlns:a16="http://schemas.microsoft.com/office/drawing/2014/main" id="{FE58FC91-7A47-4ABE-E9AF-3C1AFD000995}"/>
            </a:ext>
          </a:extLst>
        </xdr:cNvPr>
        <xdr:cNvSpPr/>
      </xdr:nvSpPr>
      <xdr:spPr>
        <a:xfrm>
          <a:off x="5102225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40" name="Freeform 196">
          <a:extLst>
            <a:ext uri="{FF2B5EF4-FFF2-40B4-BE49-F238E27FC236}">
              <a16:creationId xmlns:a16="http://schemas.microsoft.com/office/drawing/2014/main" id="{11DBF19C-0F86-2AE1-7944-F2DA9F1A22F0}"/>
            </a:ext>
          </a:extLst>
        </xdr:cNvPr>
        <xdr:cNvSpPr/>
      </xdr:nvSpPr>
      <xdr:spPr>
        <a:xfrm>
          <a:off x="688975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9525</xdr:rowOff>
    </xdr:from>
    <xdr:to>
      <xdr:col>0</xdr:col>
      <xdr:colOff>5715</xdr:colOff>
      <xdr:row>205</xdr:row>
      <xdr:rowOff>15240</xdr:rowOff>
    </xdr:to>
    <xdr:sp macro="" textlink="">
      <xdr:nvSpPr>
        <xdr:cNvPr id="27941" name="Freeform 475">
          <a:extLst>
            <a:ext uri="{FF2B5EF4-FFF2-40B4-BE49-F238E27FC236}">
              <a16:creationId xmlns:a16="http://schemas.microsoft.com/office/drawing/2014/main" id="{7D7A30A9-09C7-AC89-4413-470A73D5AD5C}"/>
            </a:ext>
          </a:extLst>
        </xdr:cNvPr>
        <xdr:cNvSpPr/>
      </xdr:nvSpPr>
      <xdr:spPr>
        <a:xfrm>
          <a:off x="5995670" y="55670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27942" name="Freeform 331">
          <a:extLst>
            <a:ext uri="{FF2B5EF4-FFF2-40B4-BE49-F238E27FC236}">
              <a16:creationId xmlns:a16="http://schemas.microsoft.com/office/drawing/2014/main" id="{8CD4B4CA-A591-C66A-F26E-CD24CBD1EFCE}"/>
            </a:ext>
          </a:extLst>
        </xdr:cNvPr>
        <xdr:cNvSpPr/>
      </xdr:nvSpPr>
      <xdr:spPr>
        <a:xfrm>
          <a:off x="6889750" y="557149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9525</xdr:rowOff>
    </xdr:from>
    <xdr:to>
      <xdr:col>1</xdr:col>
      <xdr:colOff>291465</xdr:colOff>
      <xdr:row>205</xdr:row>
      <xdr:rowOff>15240</xdr:rowOff>
    </xdr:to>
    <xdr:sp macro="" textlink="">
      <xdr:nvSpPr>
        <xdr:cNvPr id="27943" name="Freeform 476">
          <a:extLst>
            <a:ext uri="{FF2B5EF4-FFF2-40B4-BE49-F238E27FC236}">
              <a16:creationId xmlns:a16="http://schemas.microsoft.com/office/drawing/2014/main" id="{776B8EC2-A6B9-9126-1BEC-F26D82D86C96}"/>
            </a:ext>
          </a:extLst>
        </xdr:cNvPr>
        <xdr:cNvSpPr/>
      </xdr:nvSpPr>
      <xdr:spPr>
        <a:xfrm>
          <a:off x="6889750" y="55670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4" name="Freeform 462">
          <a:extLst>
            <a:ext uri="{FF2B5EF4-FFF2-40B4-BE49-F238E27FC236}">
              <a16:creationId xmlns:a16="http://schemas.microsoft.com/office/drawing/2014/main" id="{6F5B470F-B33D-3618-5384-3592D852F24E}"/>
            </a:ext>
          </a:extLst>
        </xdr:cNvPr>
        <xdr:cNvSpPr/>
      </xdr:nvSpPr>
      <xdr:spPr>
        <a:xfrm>
          <a:off x="641350" y="5940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171450</xdr:rowOff>
    </xdr:from>
    <xdr:to>
      <xdr:col>1</xdr:col>
      <xdr:colOff>281940</xdr:colOff>
      <xdr:row>206</xdr:row>
      <xdr:rowOff>177165</xdr:rowOff>
    </xdr:to>
    <xdr:sp macro="" textlink="">
      <xdr:nvSpPr>
        <xdr:cNvPr id="27945" name="Freeform 463">
          <a:extLst>
            <a:ext uri="{FF2B5EF4-FFF2-40B4-BE49-F238E27FC236}">
              <a16:creationId xmlns:a16="http://schemas.microsoft.com/office/drawing/2014/main" id="{8F69E923-1AF3-E5E1-B974-6E263A759148}"/>
            </a:ext>
          </a:extLst>
        </xdr:cNvPr>
        <xdr:cNvSpPr/>
      </xdr:nvSpPr>
      <xdr:spPr>
        <a:xfrm>
          <a:off x="1535430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0</xdr:rowOff>
    </xdr:from>
    <xdr:to>
      <xdr:col>0</xdr:col>
      <xdr:colOff>5715</xdr:colOff>
      <xdr:row>207</xdr:row>
      <xdr:rowOff>5715</xdr:rowOff>
    </xdr:to>
    <xdr:sp macro="" textlink="">
      <xdr:nvSpPr>
        <xdr:cNvPr id="27946" name="Freeform 477">
          <a:extLst>
            <a:ext uri="{FF2B5EF4-FFF2-40B4-BE49-F238E27FC236}">
              <a16:creationId xmlns:a16="http://schemas.microsoft.com/office/drawing/2014/main" id="{002605C8-B676-7B8D-9690-4CB08E329B1E}"/>
            </a:ext>
          </a:extLst>
        </xdr:cNvPr>
        <xdr:cNvSpPr/>
      </xdr:nvSpPr>
      <xdr:spPr>
        <a:xfrm>
          <a:off x="2424430" y="59334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7" name="Freeform 478">
          <a:extLst>
            <a:ext uri="{FF2B5EF4-FFF2-40B4-BE49-F238E27FC236}">
              <a16:creationId xmlns:a16="http://schemas.microsoft.com/office/drawing/2014/main" id="{4ABBAFA8-BACA-8082-D0F0-42C9650DEED4}"/>
            </a:ext>
          </a:extLst>
        </xdr:cNvPr>
        <xdr:cNvSpPr/>
      </xdr:nvSpPr>
      <xdr:spPr>
        <a:xfrm>
          <a:off x="3318510" y="59334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8" name="Freeform 479">
          <a:extLst>
            <a:ext uri="{FF2B5EF4-FFF2-40B4-BE49-F238E27FC236}">
              <a16:creationId xmlns:a16="http://schemas.microsoft.com/office/drawing/2014/main" id="{7FDA2DE0-556C-B807-9207-1350BFA4611E}"/>
            </a:ext>
          </a:extLst>
        </xdr:cNvPr>
        <xdr:cNvSpPr/>
      </xdr:nvSpPr>
      <xdr:spPr>
        <a:xfrm>
          <a:off x="4211955" y="59334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9" name="Freeform 469">
          <a:extLst>
            <a:ext uri="{FF2B5EF4-FFF2-40B4-BE49-F238E27FC236}">
              <a16:creationId xmlns:a16="http://schemas.microsoft.com/office/drawing/2014/main" id="{EC5D08AC-9AB2-0A73-454D-41A55AAA0B69}"/>
            </a:ext>
          </a:extLst>
        </xdr:cNvPr>
        <xdr:cNvSpPr/>
      </xdr:nvSpPr>
      <xdr:spPr>
        <a:xfrm>
          <a:off x="5102225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9525</xdr:rowOff>
    </xdr:from>
    <xdr:to>
      <xdr:col>0</xdr:col>
      <xdr:colOff>5715</xdr:colOff>
      <xdr:row>207</xdr:row>
      <xdr:rowOff>15240</xdr:rowOff>
    </xdr:to>
    <xdr:sp macro="" textlink="">
      <xdr:nvSpPr>
        <xdr:cNvPr id="27950" name="Freeform 480">
          <a:extLst>
            <a:ext uri="{FF2B5EF4-FFF2-40B4-BE49-F238E27FC236}">
              <a16:creationId xmlns:a16="http://schemas.microsoft.com/office/drawing/2014/main" id="{7387BB96-B18D-2850-8272-AB14702EA9C0}"/>
            </a:ext>
          </a:extLst>
        </xdr:cNvPr>
        <xdr:cNvSpPr/>
      </xdr:nvSpPr>
      <xdr:spPr>
        <a:xfrm>
          <a:off x="5995670" y="59391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51" name="Freeform 320">
          <a:extLst>
            <a:ext uri="{FF2B5EF4-FFF2-40B4-BE49-F238E27FC236}">
              <a16:creationId xmlns:a16="http://schemas.microsoft.com/office/drawing/2014/main" id="{59BD1E82-CFC1-4357-B70E-769CBD32E720}"/>
            </a:ext>
          </a:extLst>
        </xdr:cNvPr>
        <xdr:cNvSpPr/>
      </xdr:nvSpPr>
      <xdr:spPr>
        <a:xfrm>
          <a:off x="641350" y="6120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9525</xdr:rowOff>
    </xdr:from>
    <xdr:to>
      <xdr:col>1</xdr:col>
      <xdr:colOff>291465</xdr:colOff>
      <xdr:row>207</xdr:row>
      <xdr:rowOff>15240</xdr:rowOff>
    </xdr:to>
    <xdr:sp macro="" textlink="">
      <xdr:nvSpPr>
        <xdr:cNvPr id="27952" name="Freeform 481">
          <a:extLst>
            <a:ext uri="{FF2B5EF4-FFF2-40B4-BE49-F238E27FC236}">
              <a16:creationId xmlns:a16="http://schemas.microsoft.com/office/drawing/2014/main" id="{CAF9F58E-D142-0DA5-EE37-A772317A1F62}"/>
            </a:ext>
          </a:extLst>
        </xdr:cNvPr>
        <xdr:cNvSpPr/>
      </xdr:nvSpPr>
      <xdr:spPr>
        <a:xfrm>
          <a:off x="6889750" y="59391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171450</xdr:rowOff>
    </xdr:from>
    <xdr:to>
      <xdr:col>1</xdr:col>
      <xdr:colOff>281940</xdr:colOff>
      <xdr:row>110</xdr:row>
      <xdr:rowOff>177165</xdr:rowOff>
    </xdr:to>
    <xdr:sp macro="" textlink="">
      <xdr:nvSpPr>
        <xdr:cNvPr id="27953" name="Freeform 321">
          <a:extLst>
            <a:ext uri="{FF2B5EF4-FFF2-40B4-BE49-F238E27FC236}">
              <a16:creationId xmlns:a16="http://schemas.microsoft.com/office/drawing/2014/main" id="{A37FB891-2025-02BB-9F8E-D9F5EB9ADCC4}"/>
            </a:ext>
          </a:extLst>
        </xdr:cNvPr>
        <xdr:cNvSpPr/>
      </xdr:nvSpPr>
      <xdr:spPr>
        <a:xfrm>
          <a:off x="1535430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54" name="Freeform 182">
          <a:extLst>
            <a:ext uri="{FF2B5EF4-FFF2-40B4-BE49-F238E27FC236}">
              <a16:creationId xmlns:a16="http://schemas.microsoft.com/office/drawing/2014/main" id="{A07FF332-6079-E527-E78D-BF7D0BDA45EB}"/>
            </a:ext>
          </a:extLst>
        </xdr:cNvPr>
        <xdr:cNvSpPr/>
      </xdr:nvSpPr>
      <xdr:spPr>
        <a:xfrm>
          <a:off x="641350" y="5380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0</xdr:col>
      <xdr:colOff>5715</xdr:colOff>
      <xdr:row>111</xdr:row>
      <xdr:rowOff>5715</xdr:rowOff>
    </xdr:to>
    <xdr:sp macro="" textlink="">
      <xdr:nvSpPr>
        <xdr:cNvPr id="27955" name="Freeform 332">
          <a:extLst>
            <a:ext uri="{FF2B5EF4-FFF2-40B4-BE49-F238E27FC236}">
              <a16:creationId xmlns:a16="http://schemas.microsoft.com/office/drawing/2014/main" id="{46439A2A-A6ED-6E9F-9C61-E83CB40AFF90}"/>
            </a:ext>
          </a:extLst>
        </xdr:cNvPr>
        <xdr:cNvSpPr/>
      </xdr:nvSpPr>
      <xdr:spPr>
        <a:xfrm>
          <a:off x="2424430" y="6113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19050</xdr:rowOff>
    </xdr:from>
    <xdr:to>
      <xdr:col>1</xdr:col>
      <xdr:colOff>281940</xdr:colOff>
      <xdr:row>22</xdr:row>
      <xdr:rowOff>24765</xdr:rowOff>
    </xdr:to>
    <xdr:sp macro="" textlink="">
      <xdr:nvSpPr>
        <xdr:cNvPr id="27956" name="Freeform 183">
          <a:extLst>
            <a:ext uri="{FF2B5EF4-FFF2-40B4-BE49-F238E27FC236}">
              <a16:creationId xmlns:a16="http://schemas.microsoft.com/office/drawing/2014/main" id="{571E7B92-69AF-C6CE-6C10-C1DF87A2F5DC}"/>
            </a:ext>
          </a:extLst>
        </xdr:cNvPr>
        <xdr:cNvSpPr/>
      </xdr:nvSpPr>
      <xdr:spPr>
        <a:xfrm>
          <a:off x="153543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57" name="Freeform 197">
          <a:extLst>
            <a:ext uri="{FF2B5EF4-FFF2-40B4-BE49-F238E27FC236}">
              <a16:creationId xmlns:a16="http://schemas.microsoft.com/office/drawing/2014/main" id="{FEFD76C8-9F94-5828-A06E-81B805AC3A62}"/>
            </a:ext>
          </a:extLst>
        </xdr:cNvPr>
        <xdr:cNvSpPr/>
      </xdr:nvSpPr>
      <xdr:spPr>
        <a:xfrm>
          <a:off x="242443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58" name="Freeform 333">
          <a:extLst>
            <a:ext uri="{FF2B5EF4-FFF2-40B4-BE49-F238E27FC236}">
              <a16:creationId xmlns:a16="http://schemas.microsoft.com/office/drawing/2014/main" id="{05A53A0B-A39A-7AA3-074F-0AC2F399A074}"/>
            </a:ext>
          </a:extLst>
        </xdr:cNvPr>
        <xdr:cNvSpPr/>
      </xdr:nvSpPr>
      <xdr:spPr>
        <a:xfrm>
          <a:off x="3318510" y="6113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59" name="Freeform 198">
          <a:extLst>
            <a:ext uri="{FF2B5EF4-FFF2-40B4-BE49-F238E27FC236}">
              <a16:creationId xmlns:a16="http://schemas.microsoft.com/office/drawing/2014/main" id="{8866DB45-F476-76D8-95F0-8BAA91C6DE82}"/>
            </a:ext>
          </a:extLst>
        </xdr:cNvPr>
        <xdr:cNvSpPr/>
      </xdr:nvSpPr>
      <xdr:spPr>
        <a:xfrm>
          <a:off x="3318510" y="53733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60" name="Freeform 334">
          <a:extLst>
            <a:ext uri="{FF2B5EF4-FFF2-40B4-BE49-F238E27FC236}">
              <a16:creationId xmlns:a16="http://schemas.microsoft.com/office/drawing/2014/main" id="{6FEAAD4C-7370-C928-D97C-31393F85DAD2}"/>
            </a:ext>
          </a:extLst>
        </xdr:cNvPr>
        <xdr:cNvSpPr/>
      </xdr:nvSpPr>
      <xdr:spPr>
        <a:xfrm>
          <a:off x="4211955" y="6113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1" name="Freeform 199">
          <a:extLst>
            <a:ext uri="{FF2B5EF4-FFF2-40B4-BE49-F238E27FC236}">
              <a16:creationId xmlns:a16="http://schemas.microsoft.com/office/drawing/2014/main" id="{576D2196-8539-E4CA-A8C1-56A60841C885}"/>
            </a:ext>
          </a:extLst>
        </xdr:cNvPr>
        <xdr:cNvSpPr/>
      </xdr:nvSpPr>
      <xdr:spPr>
        <a:xfrm>
          <a:off x="4211320" y="537337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62" name="Freeform 328">
          <a:extLst>
            <a:ext uri="{FF2B5EF4-FFF2-40B4-BE49-F238E27FC236}">
              <a16:creationId xmlns:a16="http://schemas.microsoft.com/office/drawing/2014/main" id="{6AA6F08F-0240-FB44-D46B-A00AF654D2D9}"/>
            </a:ext>
          </a:extLst>
        </xdr:cNvPr>
        <xdr:cNvSpPr/>
      </xdr:nvSpPr>
      <xdr:spPr>
        <a:xfrm>
          <a:off x="5102225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9525</xdr:rowOff>
    </xdr:from>
    <xdr:to>
      <xdr:col>0</xdr:col>
      <xdr:colOff>5715</xdr:colOff>
      <xdr:row>111</xdr:row>
      <xdr:rowOff>15240</xdr:rowOff>
    </xdr:to>
    <xdr:sp macro="" textlink="">
      <xdr:nvSpPr>
        <xdr:cNvPr id="27963" name="Freeform 335">
          <a:extLst>
            <a:ext uri="{FF2B5EF4-FFF2-40B4-BE49-F238E27FC236}">
              <a16:creationId xmlns:a16="http://schemas.microsoft.com/office/drawing/2014/main" id="{3104B5D6-0472-EC36-A813-84ACDC41523C}"/>
            </a:ext>
          </a:extLst>
        </xdr:cNvPr>
        <xdr:cNvSpPr/>
      </xdr:nvSpPr>
      <xdr:spPr>
        <a:xfrm>
          <a:off x="5995670" y="6118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64" name="Freeform 189">
          <a:extLst>
            <a:ext uri="{FF2B5EF4-FFF2-40B4-BE49-F238E27FC236}">
              <a16:creationId xmlns:a16="http://schemas.microsoft.com/office/drawing/2014/main" id="{D337F921-2AAA-5CAB-89EB-D9A1BB142A8C}"/>
            </a:ext>
          </a:extLst>
        </xdr:cNvPr>
        <xdr:cNvSpPr/>
      </xdr:nvSpPr>
      <xdr:spPr>
        <a:xfrm>
          <a:off x="510159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65" name="Freeform 200">
          <a:extLst>
            <a:ext uri="{FF2B5EF4-FFF2-40B4-BE49-F238E27FC236}">
              <a16:creationId xmlns:a16="http://schemas.microsoft.com/office/drawing/2014/main" id="{95CCE692-E8A7-36C4-9287-CB0A3FF548EE}"/>
            </a:ext>
          </a:extLst>
        </xdr:cNvPr>
        <xdr:cNvSpPr/>
      </xdr:nvSpPr>
      <xdr:spPr>
        <a:xfrm>
          <a:off x="5995035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9525</xdr:rowOff>
    </xdr:from>
    <xdr:to>
      <xdr:col>1</xdr:col>
      <xdr:colOff>291465</xdr:colOff>
      <xdr:row>111</xdr:row>
      <xdr:rowOff>15240</xdr:rowOff>
    </xdr:to>
    <xdr:sp macro="" textlink="">
      <xdr:nvSpPr>
        <xdr:cNvPr id="27966" name="Freeform 336">
          <a:extLst>
            <a:ext uri="{FF2B5EF4-FFF2-40B4-BE49-F238E27FC236}">
              <a16:creationId xmlns:a16="http://schemas.microsoft.com/office/drawing/2014/main" id="{66DEDEFB-CF3C-AE01-1050-870F018A06DD}"/>
            </a:ext>
          </a:extLst>
        </xdr:cNvPr>
        <xdr:cNvSpPr/>
      </xdr:nvSpPr>
      <xdr:spPr>
        <a:xfrm>
          <a:off x="6889750" y="6118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7" name="Freeform 201">
          <a:extLst>
            <a:ext uri="{FF2B5EF4-FFF2-40B4-BE49-F238E27FC236}">
              <a16:creationId xmlns:a16="http://schemas.microsoft.com/office/drawing/2014/main" id="{B0A8F751-5701-87F9-EDA6-60224CCED295}"/>
            </a:ext>
          </a:extLst>
        </xdr:cNvPr>
        <xdr:cNvSpPr/>
      </xdr:nvSpPr>
      <xdr:spPr>
        <a:xfrm>
          <a:off x="688975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68" name="Freeform 322">
          <a:extLst>
            <a:ext uri="{FF2B5EF4-FFF2-40B4-BE49-F238E27FC236}">
              <a16:creationId xmlns:a16="http://schemas.microsoft.com/office/drawing/2014/main" id="{02EAE17C-816E-E5BC-8425-93F6A70B0C9D}"/>
            </a:ext>
          </a:extLst>
        </xdr:cNvPr>
        <xdr:cNvSpPr/>
      </xdr:nvSpPr>
      <xdr:spPr>
        <a:xfrm>
          <a:off x="641350" y="6675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113</xdr:row>
      <xdr:rowOff>152400</xdr:rowOff>
    </xdr:from>
    <xdr:to>
      <xdr:col>1</xdr:col>
      <xdr:colOff>281940</xdr:colOff>
      <xdr:row>113</xdr:row>
      <xdr:rowOff>158115</xdr:rowOff>
    </xdr:to>
    <xdr:sp macro="" textlink="">
      <xdr:nvSpPr>
        <xdr:cNvPr id="27969" name="Freeform 323">
          <a:extLst>
            <a:ext uri="{FF2B5EF4-FFF2-40B4-BE49-F238E27FC236}">
              <a16:creationId xmlns:a16="http://schemas.microsoft.com/office/drawing/2014/main" id="{0238361C-A49C-9AE7-4B99-BADCB42EA552}"/>
            </a:ext>
          </a:extLst>
        </xdr:cNvPr>
        <xdr:cNvSpPr/>
      </xdr:nvSpPr>
      <xdr:spPr>
        <a:xfrm>
          <a:off x="1535430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0</xdr:col>
      <xdr:colOff>5715</xdr:colOff>
      <xdr:row>113</xdr:row>
      <xdr:rowOff>5715</xdr:rowOff>
    </xdr:to>
    <xdr:sp macro="" textlink="">
      <xdr:nvSpPr>
        <xdr:cNvPr id="27970" name="Freeform 337">
          <a:extLst>
            <a:ext uri="{FF2B5EF4-FFF2-40B4-BE49-F238E27FC236}">
              <a16:creationId xmlns:a16="http://schemas.microsoft.com/office/drawing/2014/main" id="{5C56DEA0-B9D6-ABFF-7AB3-7272D498CD6C}"/>
            </a:ext>
          </a:extLst>
        </xdr:cNvPr>
        <xdr:cNvSpPr/>
      </xdr:nvSpPr>
      <xdr:spPr>
        <a:xfrm>
          <a:off x="2424430" y="6668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1" name="Freeform 338">
          <a:extLst>
            <a:ext uri="{FF2B5EF4-FFF2-40B4-BE49-F238E27FC236}">
              <a16:creationId xmlns:a16="http://schemas.microsoft.com/office/drawing/2014/main" id="{44394090-3A07-0805-EBA4-17FBDF5AE4C1}"/>
            </a:ext>
          </a:extLst>
        </xdr:cNvPr>
        <xdr:cNvSpPr/>
      </xdr:nvSpPr>
      <xdr:spPr>
        <a:xfrm>
          <a:off x="3318510" y="6668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2" name="Freeform 339">
          <a:extLst>
            <a:ext uri="{FF2B5EF4-FFF2-40B4-BE49-F238E27FC236}">
              <a16:creationId xmlns:a16="http://schemas.microsoft.com/office/drawing/2014/main" id="{A87F8561-3A08-AEC1-414B-2503263433EC}"/>
            </a:ext>
          </a:extLst>
        </xdr:cNvPr>
        <xdr:cNvSpPr/>
      </xdr:nvSpPr>
      <xdr:spPr>
        <a:xfrm>
          <a:off x="4211955" y="6668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3" name="Freeform 482">
          <a:extLst>
            <a:ext uri="{FF2B5EF4-FFF2-40B4-BE49-F238E27FC236}">
              <a16:creationId xmlns:a16="http://schemas.microsoft.com/office/drawing/2014/main" id="{898CE818-9EC1-F8AE-E13B-8AE14B05544B}"/>
            </a:ext>
          </a:extLst>
        </xdr:cNvPr>
        <xdr:cNvSpPr/>
      </xdr:nvSpPr>
      <xdr:spPr>
        <a:xfrm>
          <a:off x="64135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74" name="Freeform 329">
          <a:extLst>
            <a:ext uri="{FF2B5EF4-FFF2-40B4-BE49-F238E27FC236}">
              <a16:creationId xmlns:a16="http://schemas.microsoft.com/office/drawing/2014/main" id="{413A9CA6-768E-7C9D-68A3-3F179CF2119E}"/>
            </a:ext>
          </a:extLst>
        </xdr:cNvPr>
        <xdr:cNvSpPr/>
      </xdr:nvSpPr>
      <xdr:spPr>
        <a:xfrm>
          <a:off x="5102225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9525</xdr:rowOff>
    </xdr:from>
    <xdr:to>
      <xdr:col>0</xdr:col>
      <xdr:colOff>5715</xdr:colOff>
      <xdr:row>113</xdr:row>
      <xdr:rowOff>15240</xdr:rowOff>
    </xdr:to>
    <xdr:sp macro="" textlink="">
      <xdr:nvSpPr>
        <xdr:cNvPr id="27975" name="Freeform 340">
          <a:extLst>
            <a:ext uri="{FF2B5EF4-FFF2-40B4-BE49-F238E27FC236}">
              <a16:creationId xmlns:a16="http://schemas.microsoft.com/office/drawing/2014/main" id="{23606823-5844-02AC-60E4-E600B1E464F6}"/>
            </a:ext>
          </a:extLst>
        </xdr:cNvPr>
        <xdr:cNvSpPr/>
      </xdr:nvSpPr>
      <xdr:spPr>
        <a:xfrm>
          <a:off x="5995670" y="6673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0</xdr:rowOff>
    </xdr:from>
    <xdr:to>
      <xdr:col>1</xdr:col>
      <xdr:colOff>281940</xdr:colOff>
      <xdr:row>209</xdr:row>
      <xdr:rowOff>5715</xdr:rowOff>
    </xdr:to>
    <xdr:sp macro="" textlink="">
      <xdr:nvSpPr>
        <xdr:cNvPr id="27976" name="Freeform 483">
          <a:extLst>
            <a:ext uri="{FF2B5EF4-FFF2-40B4-BE49-F238E27FC236}">
              <a16:creationId xmlns:a16="http://schemas.microsoft.com/office/drawing/2014/main" id="{B831B72B-E51D-AC59-8D98-79F23FC1ECAC}"/>
            </a:ext>
          </a:extLst>
        </xdr:cNvPr>
        <xdr:cNvSpPr/>
      </xdr:nvSpPr>
      <xdr:spPr>
        <a:xfrm>
          <a:off x="1535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9525</xdr:rowOff>
    </xdr:from>
    <xdr:to>
      <xdr:col>1</xdr:col>
      <xdr:colOff>291465</xdr:colOff>
      <xdr:row>113</xdr:row>
      <xdr:rowOff>15240</xdr:rowOff>
    </xdr:to>
    <xdr:sp macro="" textlink="">
      <xdr:nvSpPr>
        <xdr:cNvPr id="27977" name="Freeform 341">
          <a:extLst>
            <a:ext uri="{FF2B5EF4-FFF2-40B4-BE49-F238E27FC236}">
              <a16:creationId xmlns:a16="http://schemas.microsoft.com/office/drawing/2014/main" id="{27E9B3C1-1433-8727-2E07-A2199299DD46}"/>
            </a:ext>
          </a:extLst>
        </xdr:cNvPr>
        <xdr:cNvSpPr/>
      </xdr:nvSpPr>
      <xdr:spPr>
        <a:xfrm>
          <a:off x="6889750" y="6673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8" name="Freeform 488">
          <a:extLst>
            <a:ext uri="{FF2B5EF4-FFF2-40B4-BE49-F238E27FC236}">
              <a16:creationId xmlns:a16="http://schemas.microsoft.com/office/drawing/2014/main" id="{6BC6231E-FA40-B7BF-03B3-98B125BE6F06}"/>
            </a:ext>
          </a:extLst>
        </xdr:cNvPr>
        <xdr:cNvSpPr/>
      </xdr:nvSpPr>
      <xdr:spPr>
        <a:xfrm>
          <a:off x="2424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79" name="Freeform 489">
          <a:extLst>
            <a:ext uri="{FF2B5EF4-FFF2-40B4-BE49-F238E27FC236}">
              <a16:creationId xmlns:a16="http://schemas.microsoft.com/office/drawing/2014/main" id="{7103D1E1-2BDB-2011-D344-EE38E7164C6E}"/>
            </a:ext>
          </a:extLst>
        </xdr:cNvPr>
        <xdr:cNvSpPr/>
      </xdr:nvSpPr>
      <xdr:spPr>
        <a:xfrm>
          <a:off x="331851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0" name="Freeform 490">
          <a:extLst>
            <a:ext uri="{FF2B5EF4-FFF2-40B4-BE49-F238E27FC236}">
              <a16:creationId xmlns:a16="http://schemas.microsoft.com/office/drawing/2014/main" id="{865E73DF-51E6-018A-E699-DDFFC202EA24}"/>
            </a:ext>
          </a:extLst>
        </xdr:cNvPr>
        <xdr:cNvSpPr/>
      </xdr:nvSpPr>
      <xdr:spPr>
        <a:xfrm>
          <a:off x="4211955" y="62985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1" name="Freeform 491">
          <a:extLst>
            <a:ext uri="{FF2B5EF4-FFF2-40B4-BE49-F238E27FC236}">
              <a16:creationId xmlns:a16="http://schemas.microsoft.com/office/drawing/2014/main" id="{C1FF3ADE-DDC5-FF91-1BE7-CE1134617582}"/>
            </a:ext>
          </a:extLst>
        </xdr:cNvPr>
        <xdr:cNvSpPr/>
      </xdr:nvSpPr>
      <xdr:spPr>
        <a:xfrm>
          <a:off x="5103495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9525</xdr:rowOff>
    </xdr:from>
    <xdr:to>
      <xdr:col>0</xdr:col>
      <xdr:colOff>5715</xdr:colOff>
      <xdr:row>209</xdr:row>
      <xdr:rowOff>15240</xdr:rowOff>
    </xdr:to>
    <xdr:sp macro="" textlink="">
      <xdr:nvSpPr>
        <xdr:cNvPr id="27982" name="Freeform 494">
          <a:extLst>
            <a:ext uri="{FF2B5EF4-FFF2-40B4-BE49-F238E27FC236}">
              <a16:creationId xmlns:a16="http://schemas.microsoft.com/office/drawing/2014/main" id="{5B11C7F1-8257-A56D-C136-45CFD4851EA5}"/>
            </a:ext>
          </a:extLst>
        </xdr:cNvPr>
        <xdr:cNvSpPr/>
      </xdr:nvSpPr>
      <xdr:spPr>
        <a:xfrm>
          <a:off x="5995670" y="63036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9525</xdr:rowOff>
    </xdr:from>
    <xdr:to>
      <xdr:col>1</xdr:col>
      <xdr:colOff>291465</xdr:colOff>
      <xdr:row>209</xdr:row>
      <xdr:rowOff>15240</xdr:rowOff>
    </xdr:to>
    <xdr:sp macro="" textlink="">
      <xdr:nvSpPr>
        <xdr:cNvPr id="27983" name="Freeform 495">
          <a:extLst>
            <a:ext uri="{FF2B5EF4-FFF2-40B4-BE49-F238E27FC236}">
              <a16:creationId xmlns:a16="http://schemas.microsoft.com/office/drawing/2014/main" id="{E922D020-F21C-F096-60A8-AC58B6A37511}"/>
            </a:ext>
          </a:extLst>
        </xdr:cNvPr>
        <xdr:cNvSpPr/>
      </xdr:nvSpPr>
      <xdr:spPr>
        <a:xfrm>
          <a:off x="6889750" y="63036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4" name="Freeform 202">
          <a:extLst>
            <a:ext uri="{FF2B5EF4-FFF2-40B4-BE49-F238E27FC236}">
              <a16:creationId xmlns:a16="http://schemas.microsoft.com/office/drawing/2014/main" id="{EC5D1B0C-5244-5B9E-D4FA-31694CB25E88}"/>
            </a:ext>
          </a:extLst>
        </xdr:cNvPr>
        <xdr:cNvSpPr/>
      </xdr:nvSpPr>
      <xdr:spPr>
        <a:xfrm>
          <a:off x="641350" y="585597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281940</xdr:colOff>
      <xdr:row>22</xdr:row>
      <xdr:rowOff>5715</xdr:rowOff>
    </xdr:to>
    <xdr:sp macro="" textlink="">
      <xdr:nvSpPr>
        <xdr:cNvPr id="27985" name="Freeform 203">
          <a:extLst>
            <a:ext uri="{FF2B5EF4-FFF2-40B4-BE49-F238E27FC236}">
              <a16:creationId xmlns:a16="http://schemas.microsoft.com/office/drawing/2014/main" id="{8ADBC74F-BDF6-643A-A41E-CF2722EC9476}"/>
            </a:ext>
          </a:extLst>
        </xdr:cNvPr>
        <xdr:cNvSpPr/>
      </xdr:nvSpPr>
      <xdr:spPr>
        <a:xfrm>
          <a:off x="153543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6" name="Freeform 208">
          <a:extLst>
            <a:ext uri="{FF2B5EF4-FFF2-40B4-BE49-F238E27FC236}">
              <a16:creationId xmlns:a16="http://schemas.microsoft.com/office/drawing/2014/main" id="{E9016F90-1A0B-19F0-FADD-9EAD4723F072}"/>
            </a:ext>
          </a:extLst>
        </xdr:cNvPr>
        <xdr:cNvSpPr/>
      </xdr:nvSpPr>
      <xdr:spPr>
        <a:xfrm>
          <a:off x="2424430" y="58553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87" name="Freeform 209">
          <a:extLst>
            <a:ext uri="{FF2B5EF4-FFF2-40B4-BE49-F238E27FC236}">
              <a16:creationId xmlns:a16="http://schemas.microsoft.com/office/drawing/2014/main" id="{092B4E5A-2635-A189-E847-B021EE4A5724}"/>
            </a:ext>
          </a:extLst>
        </xdr:cNvPr>
        <xdr:cNvSpPr/>
      </xdr:nvSpPr>
      <xdr:spPr>
        <a:xfrm>
          <a:off x="3318510" y="58553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88" name="Freeform 484">
          <a:extLst>
            <a:ext uri="{FF2B5EF4-FFF2-40B4-BE49-F238E27FC236}">
              <a16:creationId xmlns:a16="http://schemas.microsoft.com/office/drawing/2014/main" id="{7BC281AA-818D-E98D-575D-49CB3CB417E1}"/>
            </a:ext>
          </a:extLst>
        </xdr:cNvPr>
        <xdr:cNvSpPr/>
      </xdr:nvSpPr>
      <xdr:spPr>
        <a:xfrm>
          <a:off x="641350" y="6671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210</xdr:row>
      <xdr:rowOff>180975</xdr:rowOff>
    </xdr:from>
    <xdr:to>
      <xdr:col>1</xdr:col>
      <xdr:colOff>281940</xdr:colOff>
      <xdr:row>210</xdr:row>
      <xdr:rowOff>186690</xdr:rowOff>
    </xdr:to>
    <xdr:sp macro="" textlink="">
      <xdr:nvSpPr>
        <xdr:cNvPr id="27989" name="Freeform 485">
          <a:extLst>
            <a:ext uri="{FF2B5EF4-FFF2-40B4-BE49-F238E27FC236}">
              <a16:creationId xmlns:a16="http://schemas.microsoft.com/office/drawing/2014/main" id="{A3A5055F-D9E8-638E-1877-74B1A99838E9}"/>
            </a:ext>
          </a:extLst>
        </xdr:cNvPr>
        <xdr:cNvSpPr/>
      </xdr:nvSpPr>
      <xdr:spPr>
        <a:xfrm>
          <a:off x="1535430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0" name="Freeform 210">
          <a:extLst>
            <a:ext uri="{FF2B5EF4-FFF2-40B4-BE49-F238E27FC236}">
              <a16:creationId xmlns:a16="http://schemas.microsoft.com/office/drawing/2014/main" id="{194EA378-0122-B3B5-9A36-42ACF55F140D}"/>
            </a:ext>
          </a:extLst>
        </xdr:cNvPr>
        <xdr:cNvSpPr/>
      </xdr:nvSpPr>
      <xdr:spPr>
        <a:xfrm>
          <a:off x="4211320" y="585597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0</xdr:rowOff>
    </xdr:from>
    <xdr:to>
      <xdr:col>0</xdr:col>
      <xdr:colOff>5715</xdr:colOff>
      <xdr:row>211</xdr:row>
      <xdr:rowOff>5715</xdr:rowOff>
    </xdr:to>
    <xdr:sp macro="" textlink="">
      <xdr:nvSpPr>
        <xdr:cNvPr id="27991" name="Freeform 496">
          <a:extLst>
            <a:ext uri="{FF2B5EF4-FFF2-40B4-BE49-F238E27FC236}">
              <a16:creationId xmlns:a16="http://schemas.microsoft.com/office/drawing/2014/main" id="{3B0EA4A2-181D-E319-540D-B5EBDBA1331A}"/>
            </a:ext>
          </a:extLst>
        </xdr:cNvPr>
        <xdr:cNvSpPr/>
      </xdr:nvSpPr>
      <xdr:spPr>
        <a:xfrm>
          <a:off x="2424430" y="66649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2" name="Freeform 211">
          <a:extLst>
            <a:ext uri="{FF2B5EF4-FFF2-40B4-BE49-F238E27FC236}">
              <a16:creationId xmlns:a16="http://schemas.microsoft.com/office/drawing/2014/main" id="{A88189BA-9FFE-EF8F-F526-3AA1EB548406}"/>
            </a:ext>
          </a:extLst>
        </xdr:cNvPr>
        <xdr:cNvSpPr/>
      </xdr:nvSpPr>
      <xdr:spPr>
        <a:xfrm>
          <a:off x="510286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3" name="Freeform 497">
          <a:extLst>
            <a:ext uri="{FF2B5EF4-FFF2-40B4-BE49-F238E27FC236}">
              <a16:creationId xmlns:a16="http://schemas.microsoft.com/office/drawing/2014/main" id="{30F2F696-F960-4941-CA86-447EDEDE91EA}"/>
            </a:ext>
          </a:extLst>
        </xdr:cNvPr>
        <xdr:cNvSpPr/>
      </xdr:nvSpPr>
      <xdr:spPr>
        <a:xfrm>
          <a:off x="3318510" y="66649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94" name="Freeform 214">
          <a:extLst>
            <a:ext uri="{FF2B5EF4-FFF2-40B4-BE49-F238E27FC236}">
              <a16:creationId xmlns:a16="http://schemas.microsoft.com/office/drawing/2014/main" id="{9D567BA9-4978-785E-BBC1-FD454C742356}"/>
            </a:ext>
          </a:extLst>
        </xdr:cNvPr>
        <xdr:cNvSpPr/>
      </xdr:nvSpPr>
      <xdr:spPr>
        <a:xfrm>
          <a:off x="5995035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5" name="Freeform 498">
          <a:extLst>
            <a:ext uri="{FF2B5EF4-FFF2-40B4-BE49-F238E27FC236}">
              <a16:creationId xmlns:a16="http://schemas.microsoft.com/office/drawing/2014/main" id="{D35BBE1E-23C7-6542-3B0D-AD369CD31C8C}"/>
            </a:ext>
          </a:extLst>
        </xdr:cNvPr>
        <xdr:cNvSpPr/>
      </xdr:nvSpPr>
      <xdr:spPr>
        <a:xfrm>
          <a:off x="4211955" y="666496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6" name="Freeform 215">
          <a:extLst>
            <a:ext uri="{FF2B5EF4-FFF2-40B4-BE49-F238E27FC236}">
              <a16:creationId xmlns:a16="http://schemas.microsoft.com/office/drawing/2014/main" id="{EF8F28DE-30DA-E801-CCEF-5ED2FE85BF03}"/>
            </a:ext>
          </a:extLst>
        </xdr:cNvPr>
        <xdr:cNvSpPr/>
      </xdr:nvSpPr>
      <xdr:spPr>
        <a:xfrm>
          <a:off x="688975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97" name="Freeform 492">
          <a:extLst>
            <a:ext uri="{FF2B5EF4-FFF2-40B4-BE49-F238E27FC236}">
              <a16:creationId xmlns:a16="http://schemas.microsoft.com/office/drawing/2014/main" id="{64E83636-C119-2222-9207-1E29B53C72B7}"/>
            </a:ext>
          </a:extLst>
        </xdr:cNvPr>
        <xdr:cNvSpPr/>
      </xdr:nvSpPr>
      <xdr:spPr>
        <a:xfrm>
          <a:off x="5102225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9525</xdr:rowOff>
    </xdr:from>
    <xdr:to>
      <xdr:col>0</xdr:col>
      <xdr:colOff>5715</xdr:colOff>
      <xdr:row>211</xdr:row>
      <xdr:rowOff>15240</xdr:rowOff>
    </xdr:to>
    <xdr:sp macro="" textlink="">
      <xdr:nvSpPr>
        <xdr:cNvPr id="27998" name="Freeform 499">
          <a:extLst>
            <a:ext uri="{FF2B5EF4-FFF2-40B4-BE49-F238E27FC236}">
              <a16:creationId xmlns:a16="http://schemas.microsoft.com/office/drawing/2014/main" id="{096C7F38-E709-2886-EF5E-C8A5B8CE48BD}"/>
            </a:ext>
          </a:extLst>
        </xdr:cNvPr>
        <xdr:cNvSpPr/>
      </xdr:nvSpPr>
      <xdr:spPr>
        <a:xfrm>
          <a:off x="5995670" y="6670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9525</xdr:rowOff>
    </xdr:from>
    <xdr:to>
      <xdr:col>1</xdr:col>
      <xdr:colOff>291465</xdr:colOff>
      <xdr:row>211</xdr:row>
      <xdr:rowOff>15240</xdr:rowOff>
    </xdr:to>
    <xdr:sp macro="" textlink="">
      <xdr:nvSpPr>
        <xdr:cNvPr id="27999" name="Freeform 500">
          <a:extLst>
            <a:ext uri="{FF2B5EF4-FFF2-40B4-BE49-F238E27FC236}">
              <a16:creationId xmlns:a16="http://schemas.microsoft.com/office/drawing/2014/main" id="{B31F49D7-0557-F98B-97B9-FCE18E533522}"/>
            </a:ext>
          </a:extLst>
        </xdr:cNvPr>
        <xdr:cNvSpPr/>
      </xdr:nvSpPr>
      <xdr:spPr>
        <a:xfrm>
          <a:off x="6889750" y="6670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0" name="Freeform 342">
          <a:extLst>
            <a:ext uri="{FF2B5EF4-FFF2-40B4-BE49-F238E27FC236}">
              <a16:creationId xmlns:a16="http://schemas.microsoft.com/office/drawing/2014/main" id="{7EC0F266-B31C-1016-5633-853CD46363A5}"/>
            </a:ext>
          </a:extLst>
        </xdr:cNvPr>
        <xdr:cNvSpPr/>
      </xdr:nvSpPr>
      <xdr:spPr>
        <a:xfrm>
          <a:off x="64135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01" name="Freeform 486">
          <a:extLst>
            <a:ext uri="{FF2B5EF4-FFF2-40B4-BE49-F238E27FC236}">
              <a16:creationId xmlns:a16="http://schemas.microsoft.com/office/drawing/2014/main" id="{424D2E1E-ABAE-4244-563A-5D7E5C4DB509}"/>
            </a:ext>
          </a:extLst>
        </xdr:cNvPr>
        <xdr:cNvSpPr/>
      </xdr:nvSpPr>
      <xdr:spPr>
        <a:xfrm>
          <a:off x="641350" y="70434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171450</xdr:rowOff>
    </xdr:from>
    <xdr:to>
      <xdr:col>1</xdr:col>
      <xdr:colOff>281940</xdr:colOff>
      <xdr:row>212</xdr:row>
      <xdr:rowOff>177165</xdr:rowOff>
    </xdr:to>
    <xdr:sp macro="" textlink="">
      <xdr:nvSpPr>
        <xdr:cNvPr id="28002" name="Freeform 487">
          <a:extLst>
            <a:ext uri="{FF2B5EF4-FFF2-40B4-BE49-F238E27FC236}">
              <a16:creationId xmlns:a16="http://schemas.microsoft.com/office/drawing/2014/main" id="{0E66937D-9C33-2ADF-A9C1-EA795AC988A7}"/>
            </a:ext>
          </a:extLst>
        </xdr:cNvPr>
        <xdr:cNvSpPr/>
      </xdr:nvSpPr>
      <xdr:spPr>
        <a:xfrm>
          <a:off x="1535430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115</xdr:row>
      <xdr:rowOff>0</xdr:rowOff>
    </xdr:from>
    <xdr:to>
      <xdr:col>1</xdr:col>
      <xdr:colOff>281940</xdr:colOff>
      <xdr:row>115</xdr:row>
      <xdr:rowOff>5715</xdr:rowOff>
    </xdr:to>
    <xdr:sp macro="" textlink="">
      <xdr:nvSpPr>
        <xdr:cNvPr id="28003" name="Freeform 343">
          <a:extLst>
            <a:ext uri="{FF2B5EF4-FFF2-40B4-BE49-F238E27FC236}">
              <a16:creationId xmlns:a16="http://schemas.microsoft.com/office/drawing/2014/main" id="{BB582B46-17F6-F2E5-9F7A-ED2FBE85919E}"/>
            </a:ext>
          </a:extLst>
        </xdr:cNvPr>
        <xdr:cNvSpPr/>
      </xdr:nvSpPr>
      <xdr:spPr>
        <a:xfrm>
          <a:off x="1535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28004" name="Freeform 501">
          <a:extLst>
            <a:ext uri="{FF2B5EF4-FFF2-40B4-BE49-F238E27FC236}">
              <a16:creationId xmlns:a16="http://schemas.microsoft.com/office/drawing/2014/main" id="{5EFE11D5-554F-B8E3-D50A-1178FE92C0AD}"/>
            </a:ext>
          </a:extLst>
        </xdr:cNvPr>
        <xdr:cNvSpPr/>
      </xdr:nvSpPr>
      <xdr:spPr>
        <a:xfrm>
          <a:off x="2424430" y="7036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5" name="Freeform 348">
          <a:extLst>
            <a:ext uri="{FF2B5EF4-FFF2-40B4-BE49-F238E27FC236}">
              <a16:creationId xmlns:a16="http://schemas.microsoft.com/office/drawing/2014/main" id="{654E396C-D690-84CD-E44F-B0E2C706B2FD}"/>
            </a:ext>
          </a:extLst>
        </xdr:cNvPr>
        <xdr:cNvSpPr/>
      </xdr:nvSpPr>
      <xdr:spPr>
        <a:xfrm>
          <a:off x="2424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6" name="Freeform 502">
          <a:extLst>
            <a:ext uri="{FF2B5EF4-FFF2-40B4-BE49-F238E27FC236}">
              <a16:creationId xmlns:a16="http://schemas.microsoft.com/office/drawing/2014/main" id="{F7659128-5895-020C-8E87-DE066EEF03D9}"/>
            </a:ext>
          </a:extLst>
        </xdr:cNvPr>
        <xdr:cNvSpPr/>
      </xdr:nvSpPr>
      <xdr:spPr>
        <a:xfrm>
          <a:off x="3318510" y="7036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7" name="Freeform 349">
          <a:extLst>
            <a:ext uri="{FF2B5EF4-FFF2-40B4-BE49-F238E27FC236}">
              <a16:creationId xmlns:a16="http://schemas.microsoft.com/office/drawing/2014/main" id="{CA9275E7-7677-F4CD-FCBE-13F72CBD4486}"/>
            </a:ext>
          </a:extLst>
        </xdr:cNvPr>
        <xdr:cNvSpPr/>
      </xdr:nvSpPr>
      <xdr:spPr>
        <a:xfrm>
          <a:off x="331851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8" name="Freeform 503">
          <a:extLst>
            <a:ext uri="{FF2B5EF4-FFF2-40B4-BE49-F238E27FC236}">
              <a16:creationId xmlns:a16="http://schemas.microsoft.com/office/drawing/2014/main" id="{D567B707-73F8-3FE3-F4B9-54C5D6252931}"/>
            </a:ext>
          </a:extLst>
        </xdr:cNvPr>
        <xdr:cNvSpPr/>
      </xdr:nvSpPr>
      <xdr:spPr>
        <a:xfrm>
          <a:off x="4211955" y="70364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9" name="Freeform 350">
          <a:extLst>
            <a:ext uri="{FF2B5EF4-FFF2-40B4-BE49-F238E27FC236}">
              <a16:creationId xmlns:a16="http://schemas.microsoft.com/office/drawing/2014/main" id="{D5035E03-B0F6-27E3-3EF9-204D8DF60662}"/>
            </a:ext>
          </a:extLst>
        </xdr:cNvPr>
        <xdr:cNvSpPr/>
      </xdr:nvSpPr>
      <xdr:spPr>
        <a:xfrm>
          <a:off x="4211955" y="721677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10" name="Freeform 493">
          <a:extLst>
            <a:ext uri="{FF2B5EF4-FFF2-40B4-BE49-F238E27FC236}">
              <a16:creationId xmlns:a16="http://schemas.microsoft.com/office/drawing/2014/main" id="{2B9F6B58-2CE0-C57F-82C1-F9741C2E719A}"/>
            </a:ext>
          </a:extLst>
        </xdr:cNvPr>
        <xdr:cNvSpPr/>
      </xdr:nvSpPr>
      <xdr:spPr>
        <a:xfrm>
          <a:off x="5102225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9525</xdr:rowOff>
    </xdr:from>
    <xdr:to>
      <xdr:col>0</xdr:col>
      <xdr:colOff>5715</xdr:colOff>
      <xdr:row>213</xdr:row>
      <xdr:rowOff>15240</xdr:rowOff>
    </xdr:to>
    <xdr:sp macro="" textlink="">
      <xdr:nvSpPr>
        <xdr:cNvPr id="28011" name="Freeform 504">
          <a:extLst>
            <a:ext uri="{FF2B5EF4-FFF2-40B4-BE49-F238E27FC236}">
              <a16:creationId xmlns:a16="http://schemas.microsoft.com/office/drawing/2014/main" id="{CD5CBF50-AC84-C0F0-E697-93278859BA5A}"/>
            </a:ext>
          </a:extLst>
        </xdr:cNvPr>
        <xdr:cNvSpPr/>
      </xdr:nvSpPr>
      <xdr:spPr>
        <a:xfrm>
          <a:off x="5995670" y="70421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12" name="Freeform 351">
          <a:extLst>
            <a:ext uri="{FF2B5EF4-FFF2-40B4-BE49-F238E27FC236}">
              <a16:creationId xmlns:a16="http://schemas.microsoft.com/office/drawing/2014/main" id="{3E9B4E65-F741-19BE-134D-8DE5AEF9C0E5}"/>
            </a:ext>
          </a:extLst>
        </xdr:cNvPr>
        <xdr:cNvSpPr/>
      </xdr:nvSpPr>
      <xdr:spPr>
        <a:xfrm>
          <a:off x="5103495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9525</xdr:rowOff>
    </xdr:from>
    <xdr:to>
      <xdr:col>1</xdr:col>
      <xdr:colOff>291465</xdr:colOff>
      <xdr:row>213</xdr:row>
      <xdr:rowOff>15240</xdr:rowOff>
    </xdr:to>
    <xdr:sp macro="" textlink="">
      <xdr:nvSpPr>
        <xdr:cNvPr id="28013" name="Freeform 505">
          <a:extLst>
            <a:ext uri="{FF2B5EF4-FFF2-40B4-BE49-F238E27FC236}">
              <a16:creationId xmlns:a16="http://schemas.microsoft.com/office/drawing/2014/main" id="{4C9A9BE0-5C46-1FEF-7619-B9042258E9B3}"/>
            </a:ext>
          </a:extLst>
        </xdr:cNvPr>
        <xdr:cNvSpPr/>
      </xdr:nvSpPr>
      <xdr:spPr>
        <a:xfrm>
          <a:off x="6889750" y="70421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14" name="Freeform 204">
          <a:extLst>
            <a:ext uri="{FF2B5EF4-FFF2-40B4-BE49-F238E27FC236}">
              <a16:creationId xmlns:a16="http://schemas.microsoft.com/office/drawing/2014/main" id="{E94006DE-3F50-2C44-8F93-6B71AA201345}"/>
            </a:ext>
          </a:extLst>
        </xdr:cNvPr>
        <xdr:cNvSpPr/>
      </xdr:nvSpPr>
      <xdr:spPr>
        <a:xfrm>
          <a:off x="641350" y="6343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28015" name="Freeform 354">
          <a:extLst>
            <a:ext uri="{FF2B5EF4-FFF2-40B4-BE49-F238E27FC236}">
              <a16:creationId xmlns:a16="http://schemas.microsoft.com/office/drawing/2014/main" id="{699FE06B-DEEF-A4AD-EFEC-6C0BC00AB38E}"/>
            </a:ext>
          </a:extLst>
        </xdr:cNvPr>
        <xdr:cNvSpPr/>
      </xdr:nvSpPr>
      <xdr:spPr>
        <a:xfrm>
          <a:off x="5995670" y="72224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104775</xdr:rowOff>
    </xdr:from>
    <xdr:to>
      <xdr:col>1</xdr:col>
      <xdr:colOff>281940</xdr:colOff>
      <xdr:row>24</xdr:row>
      <xdr:rowOff>110490</xdr:rowOff>
    </xdr:to>
    <xdr:sp macro="" textlink="">
      <xdr:nvSpPr>
        <xdr:cNvPr id="28016" name="Freeform 205">
          <a:extLst>
            <a:ext uri="{FF2B5EF4-FFF2-40B4-BE49-F238E27FC236}">
              <a16:creationId xmlns:a16="http://schemas.microsoft.com/office/drawing/2014/main" id="{9FDE6494-4B1C-2EF1-317A-1B4FE2BF5391}"/>
            </a:ext>
          </a:extLst>
        </xdr:cNvPr>
        <xdr:cNvSpPr/>
      </xdr:nvSpPr>
      <xdr:spPr>
        <a:xfrm>
          <a:off x="153543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17" name="Freeform 216">
          <a:extLst>
            <a:ext uri="{FF2B5EF4-FFF2-40B4-BE49-F238E27FC236}">
              <a16:creationId xmlns:a16="http://schemas.microsoft.com/office/drawing/2014/main" id="{767B0858-2CC0-8F3F-68D8-9BFD584A775A}"/>
            </a:ext>
          </a:extLst>
        </xdr:cNvPr>
        <xdr:cNvSpPr/>
      </xdr:nvSpPr>
      <xdr:spPr>
        <a:xfrm>
          <a:off x="242443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28018" name="Freeform 355">
          <a:extLst>
            <a:ext uri="{FF2B5EF4-FFF2-40B4-BE49-F238E27FC236}">
              <a16:creationId xmlns:a16="http://schemas.microsoft.com/office/drawing/2014/main" id="{045B9A5E-8680-4835-8797-47817FFABB67}"/>
            </a:ext>
          </a:extLst>
        </xdr:cNvPr>
        <xdr:cNvSpPr/>
      </xdr:nvSpPr>
      <xdr:spPr>
        <a:xfrm>
          <a:off x="6889750" y="72224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19" name="Freeform 217">
          <a:extLst>
            <a:ext uri="{FF2B5EF4-FFF2-40B4-BE49-F238E27FC236}">
              <a16:creationId xmlns:a16="http://schemas.microsoft.com/office/drawing/2014/main" id="{8D5E964F-6446-A1B0-7645-27BEA216ACFE}"/>
            </a:ext>
          </a:extLst>
        </xdr:cNvPr>
        <xdr:cNvSpPr/>
      </xdr:nvSpPr>
      <xdr:spPr>
        <a:xfrm>
          <a:off x="3318510" y="63366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0" name="Freeform 218">
          <a:extLst>
            <a:ext uri="{FF2B5EF4-FFF2-40B4-BE49-F238E27FC236}">
              <a16:creationId xmlns:a16="http://schemas.microsoft.com/office/drawing/2014/main" id="{D6DE26E3-97FC-8FC5-64A5-DFC976C17A50}"/>
            </a:ext>
          </a:extLst>
        </xdr:cNvPr>
        <xdr:cNvSpPr/>
      </xdr:nvSpPr>
      <xdr:spPr>
        <a:xfrm>
          <a:off x="4211320" y="63366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21" name="Freeform 212">
          <a:extLst>
            <a:ext uri="{FF2B5EF4-FFF2-40B4-BE49-F238E27FC236}">
              <a16:creationId xmlns:a16="http://schemas.microsoft.com/office/drawing/2014/main" id="{B34B1AB9-CC24-DD47-3B13-39CD79874DE6}"/>
            </a:ext>
          </a:extLst>
        </xdr:cNvPr>
        <xdr:cNvSpPr/>
      </xdr:nvSpPr>
      <xdr:spPr>
        <a:xfrm>
          <a:off x="510159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22" name="Freeform 219">
          <a:extLst>
            <a:ext uri="{FF2B5EF4-FFF2-40B4-BE49-F238E27FC236}">
              <a16:creationId xmlns:a16="http://schemas.microsoft.com/office/drawing/2014/main" id="{9B44C576-79A6-8E4D-C4E8-368D493EDF5A}"/>
            </a:ext>
          </a:extLst>
        </xdr:cNvPr>
        <xdr:cNvSpPr/>
      </xdr:nvSpPr>
      <xdr:spPr>
        <a:xfrm>
          <a:off x="5995035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3" name="Freeform 220">
          <a:extLst>
            <a:ext uri="{FF2B5EF4-FFF2-40B4-BE49-F238E27FC236}">
              <a16:creationId xmlns:a16="http://schemas.microsoft.com/office/drawing/2014/main" id="{D9B510BC-2EE6-0BE9-65A3-50AD9E635892}"/>
            </a:ext>
          </a:extLst>
        </xdr:cNvPr>
        <xdr:cNvSpPr/>
      </xdr:nvSpPr>
      <xdr:spPr>
        <a:xfrm>
          <a:off x="688975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24" name="Freeform 344">
          <a:extLst>
            <a:ext uri="{FF2B5EF4-FFF2-40B4-BE49-F238E27FC236}">
              <a16:creationId xmlns:a16="http://schemas.microsoft.com/office/drawing/2014/main" id="{600D469A-8259-C7D6-021D-DD25D31DDA18}"/>
            </a:ext>
          </a:extLst>
        </xdr:cNvPr>
        <xdr:cNvSpPr/>
      </xdr:nvSpPr>
      <xdr:spPr>
        <a:xfrm>
          <a:off x="641350" y="7771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25" name="Freeform 506">
          <a:extLst>
            <a:ext uri="{FF2B5EF4-FFF2-40B4-BE49-F238E27FC236}">
              <a16:creationId xmlns:a16="http://schemas.microsoft.com/office/drawing/2014/main" id="{B225D1FA-9D09-733F-A7B9-891A35444086}"/>
            </a:ext>
          </a:extLst>
        </xdr:cNvPr>
        <xdr:cNvSpPr/>
      </xdr:nvSpPr>
      <xdr:spPr>
        <a:xfrm>
          <a:off x="64135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171450</xdr:rowOff>
    </xdr:from>
    <xdr:to>
      <xdr:col>1</xdr:col>
      <xdr:colOff>281940</xdr:colOff>
      <xdr:row>117</xdr:row>
      <xdr:rowOff>177165</xdr:rowOff>
    </xdr:to>
    <xdr:sp macro="" textlink="">
      <xdr:nvSpPr>
        <xdr:cNvPr id="28026" name="Freeform 345">
          <a:extLst>
            <a:ext uri="{FF2B5EF4-FFF2-40B4-BE49-F238E27FC236}">
              <a16:creationId xmlns:a16="http://schemas.microsoft.com/office/drawing/2014/main" id="{277C08E1-E15C-77F3-0A2E-B028557ED9AD}"/>
            </a:ext>
          </a:extLst>
        </xdr:cNvPr>
        <xdr:cNvSpPr/>
      </xdr:nvSpPr>
      <xdr:spPr>
        <a:xfrm>
          <a:off x="1535430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0</xdr:col>
      <xdr:colOff>5715</xdr:colOff>
      <xdr:row>118</xdr:row>
      <xdr:rowOff>5715</xdr:rowOff>
    </xdr:to>
    <xdr:sp macro="" textlink="">
      <xdr:nvSpPr>
        <xdr:cNvPr id="28027" name="Freeform 356">
          <a:extLst>
            <a:ext uri="{FF2B5EF4-FFF2-40B4-BE49-F238E27FC236}">
              <a16:creationId xmlns:a16="http://schemas.microsoft.com/office/drawing/2014/main" id="{5E0586AE-337C-3CF5-A43B-DDE9429F454B}"/>
            </a:ext>
          </a:extLst>
        </xdr:cNvPr>
        <xdr:cNvSpPr/>
      </xdr:nvSpPr>
      <xdr:spPr>
        <a:xfrm>
          <a:off x="2424430" y="7764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28028" name="Freeform 507">
          <a:extLst>
            <a:ext uri="{FF2B5EF4-FFF2-40B4-BE49-F238E27FC236}">
              <a16:creationId xmlns:a16="http://schemas.microsoft.com/office/drawing/2014/main" id="{BB791E92-DE74-78CB-352C-32F645F4E4D7}"/>
            </a:ext>
          </a:extLst>
        </xdr:cNvPr>
        <xdr:cNvSpPr/>
      </xdr:nvSpPr>
      <xdr:spPr>
        <a:xfrm>
          <a:off x="1535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29" name="Freeform 357">
          <a:extLst>
            <a:ext uri="{FF2B5EF4-FFF2-40B4-BE49-F238E27FC236}">
              <a16:creationId xmlns:a16="http://schemas.microsoft.com/office/drawing/2014/main" id="{C709BF81-35C4-89E5-939F-1BEB445517A2}"/>
            </a:ext>
          </a:extLst>
        </xdr:cNvPr>
        <xdr:cNvSpPr/>
      </xdr:nvSpPr>
      <xdr:spPr>
        <a:xfrm>
          <a:off x="3318510" y="7764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30" name="Freeform 512">
          <a:extLst>
            <a:ext uri="{FF2B5EF4-FFF2-40B4-BE49-F238E27FC236}">
              <a16:creationId xmlns:a16="http://schemas.microsoft.com/office/drawing/2014/main" id="{B29FB998-43C2-AEE1-C0E8-EF91C85483FB}"/>
            </a:ext>
          </a:extLst>
        </xdr:cNvPr>
        <xdr:cNvSpPr/>
      </xdr:nvSpPr>
      <xdr:spPr>
        <a:xfrm>
          <a:off x="2424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31" name="Freeform 358">
          <a:extLst>
            <a:ext uri="{FF2B5EF4-FFF2-40B4-BE49-F238E27FC236}">
              <a16:creationId xmlns:a16="http://schemas.microsoft.com/office/drawing/2014/main" id="{F646FBFB-BBA7-75E5-EA17-7900D90187C3}"/>
            </a:ext>
          </a:extLst>
        </xdr:cNvPr>
        <xdr:cNvSpPr/>
      </xdr:nvSpPr>
      <xdr:spPr>
        <a:xfrm>
          <a:off x="4211955" y="7764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2" name="Freeform 513">
          <a:extLst>
            <a:ext uri="{FF2B5EF4-FFF2-40B4-BE49-F238E27FC236}">
              <a16:creationId xmlns:a16="http://schemas.microsoft.com/office/drawing/2014/main" id="{E271C44E-54BE-A3AE-80FC-B8FB12B94CE7}"/>
            </a:ext>
          </a:extLst>
        </xdr:cNvPr>
        <xdr:cNvSpPr/>
      </xdr:nvSpPr>
      <xdr:spPr>
        <a:xfrm>
          <a:off x="331851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33" name="Freeform 352">
          <a:extLst>
            <a:ext uri="{FF2B5EF4-FFF2-40B4-BE49-F238E27FC236}">
              <a16:creationId xmlns:a16="http://schemas.microsoft.com/office/drawing/2014/main" id="{CD790A25-B6AA-D0E6-A2D6-7416D31F1FE5}"/>
            </a:ext>
          </a:extLst>
        </xdr:cNvPr>
        <xdr:cNvSpPr/>
      </xdr:nvSpPr>
      <xdr:spPr>
        <a:xfrm>
          <a:off x="5102225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4" name="Freeform 518">
          <a:extLst>
            <a:ext uri="{FF2B5EF4-FFF2-40B4-BE49-F238E27FC236}">
              <a16:creationId xmlns:a16="http://schemas.microsoft.com/office/drawing/2014/main" id="{B33E09FC-F80A-6CAF-FC99-5C2F11095231}"/>
            </a:ext>
          </a:extLst>
        </xdr:cNvPr>
        <xdr:cNvSpPr/>
      </xdr:nvSpPr>
      <xdr:spPr>
        <a:xfrm>
          <a:off x="4211955" y="740219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9525</xdr:rowOff>
    </xdr:from>
    <xdr:to>
      <xdr:col>0</xdr:col>
      <xdr:colOff>5715</xdr:colOff>
      <xdr:row>118</xdr:row>
      <xdr:rowOff>15240</xdr:rowOff>
    </xdr:to>
    <xdr:sp macro="" textlink="">
      <xdr:nvSpPr>
        <xdr:cNvPr id="28035" name="Freeform 359">
          <a:extLst>
            <a:ext uri="{FF2B5EF4-FFF2-40B4-BE49-F238E27FC236}">
              <a16:creationId xmlns:a16="http://schemas.microsoft.com/office/drawing/2014/main" id="{9804D97A-70FF-2913-1259-735B4042D625}"/>
            </a:ext>
          </a:extLst>
        </xdr:cNvPr>
        <xdr:cNvSpPr/>
      </xdr:nvSpPr>
      <xdr:spPr>
        <a:xfrm>
          <a:off x="5995670" y="77704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6" name="Freeform 519">
          <a:extLst>
            <a:ext uri="{FF2B5EF4-FFF2-40B4-BE49-F238E27FC236}">
              <a16:creationId xmlns:a16="http://schemas.microsoft.com/office/drawing/2014/main" id="{7E6D3DB8-52A8-9D5C-D511-DBE09AC6AE43}"/>
            </a:ext>
          </a:extLst>
        </xdr:cNvPr>
        <xdr:cNvSpPr/>
      </xdr:nvSpPr>
      <xdr:spPr>
        <a:xfrm>
          <a:off x="5103495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9525</xdr:rowOff>
    </xdr:from>
    <xdr:to>
      <xdr:col>1</xdr:col>
      <xdr:colOff>291465</xdr:colOff>
      <xdr:row>118</xdr:row>
      <xdr:rowOff>15240</xdr:rowOff>
    </xdr:to>
    <xdr:sp macro="" textlink="">
      <xdr:nvSpPr>
        <xdr:cNvPr id="28037" name="Freeform 360">
          <a:extLst>
            <a:ext uri="{FF2B5EF4-FFF2-40B4-BE49-F238E27FC236}">
              <a16:creationId xmlns:a16="http://schemas.microsoft.com/office/drawing/2014/main" id="{C31C426D-F010-88D2-FD29-919C4F028E08}"/>
            </a:ext>
          </a:extLst>
        </xdr:cNvPr>
        <xdr:cNvSpPr/>
      </xdr:nvSpPr>
      <xdr:spPr>
        <a:xfrm>
          <a:off x="6889750" y="77704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38" name="Freeform 206">
          <a:extLst>
            <a:ext uri="{FF2B5EF4-FFF2-40B4-BE49-F238E27FC236}">
              <a16:creationId xmlns:a16="http://schemas.microsoft.com/office/drawing/2014/main" id="{98C43D1B-F2ED-3135-0772-22A2CE0853AD}"/>
            </a:ext>
          </a:extLst>
        </xdr:cNvPr>
        <xdr:cNvSpPr/>
      </xdr:nvSpPr>
      <xdr:spPr>
        <a:xfrm>
          <a:off x="641350" y="683133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28039" name="Freeform 522">
          <a:extLst>
            <a:ext uri="{FF2B5EF4-FFF2-40B4-BE49-F238E27FC236}">
              <a16:creationId xmlns:a16="http://schemas.microsoft.com/office/drawing/2014/main" id="{BAB1FC3D-FD89-BF9A-7EAE-724F30175D7B}"/>
            </a:ext>
          </a:extLst>
        </xdr:cNvPr>
        <xdr:cNvSpPr/>
      </xdr:nvSpPr>
      <xdr:spPr>
        <a:xfrm>
          <a:off x="5995670" y="7407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19050</xdr:rowOff>
    </xdr:from>
    <xdr:to>
      <xdr:col>1</xdr:col>
      <xdr:colOff>281940</xdr:colOff>
      <xdr:row>27</xdr:row>
      <xdr:rowOff>24765</xdr:rowOff>
    </xdr:to>
    <xdr:sp macro="" textlink="">
      <xdr:nvSpPr>
        <xdr:cNvPr id="28040" name="Freeform 207">
          <a:extLst>
            <a:ext uri="{FF2B5EF4-FFF2-40B4-BE49-F238E27FC236}">
              <a16:creationId xmlns:a16="http://schemas.microsoft.com/office/drawing/2014/main" id="{AA840BB4-3664-D32D-4654-979F28DF8EA2}"/>
            </a:ext>
          </a:extLst>
        </xdr:cNvPr>
        <xdr:cNvSpPr/>
      </xdr:nvSpPr>
      <xdr:spPr>
        <a:xfrm>
          <a:off x="153543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1" name="Freeform 221">
          <a:extLst>
            <a:ext uri="{FF2B5EF4-FFF2-40B4-BE49-F238E27FC236}">
              <a16:creationId xmlns:a16="http://schemas.microsoft.com/office/drawing/2014/main" id="{3A83ED7B-D051-A5DF-D137-C66ECAABF7E8}"/>
            </a:ext>
          </a:extLst>
        </xdr:cNvPr>
        <xdr:cNvSpPr/>
      </xdr:nvSpPr>
      <xdr:spPr>
        <a:xfrm>
          <a:off x="2424430" y="68249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28042" name="Freeform 523">
          <a:extLst>
            <a:ext uri="{FF2B5EF4-FFF2-40B4-BE49-F238E27FC236}">
              <a16:creationId xmlns:a16="http://schemas.microsoft.com/office/drawing/2014/main" id="{886F4466-BDBE-851F-A665-8E9850F2CCA3}"/>
            </a:ext>
          </a:extLst>
        </xdr:cNvPr>
        <xdr:cNvSpPr/>
      </xdr:nvSpPr>
      <xdr:spPr>
        <a:xfrm>
          <a:off x="6889750" y="74072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3" name="Freeform 222">
          <a:extLst>
            <a:ext uri="{FF2B5EF4-FFF2-40B4-BE49-F238E27FC236}">
              <a16:creationId xmlns:a16="http://schemas.microsoft.com/office/drawing/2014/main" id="{0B327051-2CC5-2B57-37AF-332D20D07C37}"/>
            </a:ext>
          </a:extLst>
        </xdr:cNvPr>
        <xdr:cNvSpPr/>
      </xdr:nvSpPr>
      <xdr:spPr>
        <a:xfrm>
          <a:off x="3318510" y="68249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4" name="Freeform 223">
          <a:extLst>
            <a:ext uri="{FF2B5EF4-FFF2-40B4-BE49-F238E27FC236}">
              <a16:creationId xmlns:a16="http://schemas.microsoft.com/office/drawing/2014/main" id="{DD028348-AFDB-A7B3-17DE-A1332169B97C}"/>
            </a:ext>
          </a:extLst>
        </xdr:cNvPr>
        <xdr:cNvSpPr/>
      </xdr:nvSpPr>
      <xdr:spPr>
        <a:xfrm>
          <a:off x="4211320" y="68237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45" name="Freeform 213">
          <a:extLst>
            <a:ext uri="{FF2B5EF4-FFF2-40B4-BE49-F238E27FC236}">
              <a16:creationId xmlns:a16="http://schemas.microsoft.com/office/drawing/2014/main" id="{0E8D05DB-10E2-7930-01B5-B3704CB1AF40}"/>
            </a:ext>
          </a:extLst>
        </xdr:cNvPr>
        <xdr:cNvSpPr/>
      </xdr:nvSpPr>
      <xdr:spPr>
        <a:xfrm>
          <a:off x="510159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6" name="Freeform 224">
          <a:extLst>
            <a:ext uri="{FF2B5EF4-FFF2-40B4-BE49-F238E27FC236}">
              <a16:creationId xmlns:a16="http://schemas.microsoft.com/office/drawing/2014/main" id="{CA7A8DB2-5E12-AED9-76BE-8F26C89E4B82}"/>
            </a:ext>
          </a:extLst>
        </xdr:cNvPr>
        <xdr:cNvSpPr/>
      </xdr:nvSpPr>
      <xdr:spPr>
        <a:xfrm>
          <a:off x="5995035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7" name="Freeform 225">
          <a:extLst>
            <a:ext uri="{FF2B5EF4-FFF2-40B4-BE49-F238E27FC236}">
              <a16:creationId xmlns:a16="http://schemas.microsoft.com/office/drawing/2014/main" id="{1B85BB78-869E-49AE-970D-977E31EA97D0}"/>
            </a:ext>
          </a:extLst>
        </xdr:cNvPr>
        <xdr:cNvSpPr/>
      </xdr:nvSpPr>
      <xdr:spPr>
        <a:xfrm>
          <a:off x="6889750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48" name="Freeform 508">
          <a:extLst>
            <a:ext uri="{FF2B5EF4-FFF2-40B4-BE49-F238E27FC236}">
              <a16:creationId xmlns:a16="http://schemas.microsoft.com/office/drawing/2014/main" id="{6B902EB7-B53A-D1D0-8EF1-05F291C958E9}"/>
            </a:ext>
          </a:extLst>
        </xdr:cNvPr>
        <xdr:cNvSpPr/>
      </xdr:nvSpPr>
      <xdr:spPr>
        <a:xfrm>
          <a:off x="64135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28049" name="Freeform 509">
          <a:extLst>
            <a:ext uri="{FF2B5EF4-FFF2-40B4-BE49-F238E27FC236}">
              <a16:creationId xmlns:a16="http://schemas.microsoft.com/office/drawing/2014/main" id="{4A0D5068-5F53-8812-DCF3-F186C36B8E7D}"/>
            </a:ext>
          </a:extLst>
        </xdr:cNvPr>
        <xdr:cNvSpPr/>
      </xdr:nvSpPr>
      <xdr:spPr>
        <a:xfrm>
          <a:off x="1535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0" name="Freeform 514">
          <a:extLst>
            <a:ext uri="{FF2B5EF4-FFF2-40B4-BE49-F238E27FC236}">
              <a16:creationId xmlns:a16="http://schemas.microsoft.com/office/drawing/2014/main" id="{6357C169-5DEC-E4C8-28FB-5E05FE4952CC}"/>
            </a:ext>
          </a:extLst>
        </xdr:cNvPr>
        <xdr:cNvSpPr/>
      </xdr:nvSpPr>
      <xdr:spPr>
        <a:xfrm>
          <a:off x="2424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1" name="Freeform 515">
          <a:extLst>
            <a:ext uri="{FF2B5EF4-FFF2-40B4-BE49-F238E27FC236}">
              <a16:creationId xmlns:a16="http://schemas.microsoft.com/office/drawing/2014/main" id="{ADD9FB19-68EC-0233-DF52-D40B316385FC}"/>
            </a:ext>
          </a:extLst>
        </xdr:cNvPr>
        <xdr:cNvSpPr/>
      </xdr:nvSpPr>
      <xdr:spPr>
        <a:xfrm>
          <a:off x="331851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2" name="Freeform 528">
          <a:extLst>
            <a:ext uri="{FF2B5EF4-FFF2-40B4-BE49-F238E27FC236}">
              <a16:creationId xmlns:a16="http://schemas.microsoft.com/office/drawing/2014/main" id="{18BB785B-0C5E-6093-4980-D0DC397BA95C}"/>
            </a:ext>
          </a:extLst>
        </xdr:cNvPr>
        <xdr:cNvSpPr/>
      </xdr:nvSpPr>
      <xdr:spPr>
        <a:xfrm>
          <a:off x="4211955" y="75844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3" name="Freeform 520">
          <a:extLst>
            <a:ext uri="{FF2B5EF4-FFF2-40B4-BE49-F238E27FC236}">
              <a16:creationId xmlns:a16="http://schemas.microsoft.com/office/drawing/2014/main" id="{2B976597-DFF9-182B-B95B-04FE3427519B}"/>
            </a:ext>
          </a:extLst>
        </xdr:cNvPr>
        <xdr:cNvSpPr/>
      </xdr:nvSpPr>
      <xdr:spPr>
        <a:xfrm>
          <a:off x="5102225" y="75857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4" name="Freeform 524">
          <a:extLst>
            <a:ext uri="{FF2B5EF4-FFF2-40B4-BE49-F238E27FC236}">
              <a16:creationId xmlns:a16="http://schemas.microsoft.com/office/drawing/2014/main" id="{374AB53C-92AC-3098-79C6-FF4CD6E47162}"/>
            </a:ext>
          </a:extLst>
        </xdr:cNvPr>
        <xdr:cNvSpPr/>
      </xdr:nvSpPr>
      <xdr:spPr>
        <a:xfrm>
          <a:off x="5995670" y="75958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5" name="Freeform 525">
          <a:extLst>
            <a:ext uri="{FF2B5EF4-FFF2-40B4-BE49-F238E27FC236}">
              <a16:creationId xmlns:a16="http://schemas.microsoft.com/office/drawing/2014/main" id="{BDEF8B77-8DE7-E778-F6D7-549648EF91ED}"/>
            </a:ext>
          </a:extLst>
        </xdr:cNvPr>
        <xdr:cNvSpPr/>
      </xdr:nvSpPr>
      <xdr:spPr>
        <a:xfrm>
          <a:off x="6889750" y="75958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56" name="Freeform 346">
          <a:extLst>
            <a:ext uri="{FF2B5EF4-FFF2-40B4-BE49-F238E27FC236}">
              <a16:creationId xmlns:a16="http://schemas.microsoft.com/office/drawing/2014/main" id="{DFB2186A-3D71-51F2-D347-AF0D190114AB}"/>
            </a:ext>
          </a:extLst>
        </xdr:cNvPr>
        <xdr:cNvSpPr/>
      </xdr:nvSpPr>
      <xdr:spPr>
        <a:xfrm>
          <a:off x="641350" y="8326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57" name="Freeform 510">
          <a:extLst>
            <a:ext uri="{FF2B5EF4-FFF2-40B4-BE49-F238E27FC236}">
              <a16:creationId xmlns:a16="http://schemas.microsoft.com/office/drawing/2014/main" id="{1280378C-FE8E-35C5-A85E-C37BCB747AC0}"/>
            </a:ext>
          </a:extLst>
        </xdr:cNvPr>
        <xdr:cNvSpPr/>
      </xdr:nvSpPr>
      <xdr:spPr>
        <a:xfrm>
          <a:off x="64135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120</xdr:row>
      <xdr:rowOff>152400</xdr:rowOff>
    </xdr:from>
    <xdr:to>
      <xdr:col>1</xdr:col>
      <xdr:colOff>281940</xdr:colOff>
      <xdr:row>120</xdr:row>
      <xdr:rowOff>158115</xdr:rowOff>
    </xdr:to>
    <xdr:sp macro="" textlink="">
      <xdr:nvSpPr>
        <xdr:cNvPr id="28058" name="Freeform 347">
          <a:extLst>
            <a:ext uri="{FF2B5EF4-FFF2-40B4-BE49-F238E27FC236}">
              <a16:creationId xmlns:a16="http://schemas.microsoft.com/office/drawing/2014/main" id="{99B975CF-2B29-85F5-B6F1-679C0B336BEB}"/>
            </a:ext>
          </a:extLst>
        </xdr:cNvPr>
        <xdr:cNvSpPr/>
      </xdr:nvSpPr>
      <xdr:spPr>
        <a:xfrm>
          <a:off x="1535430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28059" name="Freeform 511">
          <a:extLst>
            <a:ext uri="{FF2B5EF4-FFF2-40B4-BE49-F238E27FC236}">
              <a16:creationId xmlns:a16="http://schemas.microsoft.com/office/drawing/2014/main" id="{0716F716-D95B-2886-FF24-E5E807F9EEE7}"/>
            </a:ext>
          </a:extLst>
        </xdr:cNvPr>
        <xdr:cNvSpPr/>
      </xdr:nvSpPr>
      <xdr:spPr>
        <a:xfrm>
          <a:off x="1535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0</xdr:col>
      <xdr:colOff>5715</xdr:colOff>
      <xdr:row>120</xdr:row>
      <xdr:rowOff>5715</xdr:rowOff>
    </xdr:to>
    <xdr:sp macro="" textlink="">
      <xdr:nvSpPr>
        <xdr:cNvPr id="28060" name="Freeform 361">
          <a:extLst>
            <a:ext uri="{FF2B5EF4-FFF2-40B4-BE49-F238E27FC236}">
              <a16:creationId xmlns:a16="http://schemas.microsoft.com/office/drawing/2014/main" id="{43624A20-D513-CC07-B549-09DFDDE3F83E}"/>
            </a:ext>
          </a:extLst>
        </xdr:cNvPr>
        <xdr:cNvSpPr/>
      </xdr:nvSpPr>
      <xdr:spPr>
        <a:xfrm>
          <a:off x="2424430" y="8319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1" name="Freeform 516">
          <a:extLst>
            <a:ext uri="{FF2B5EF4-FFF2-40B4-BE49-F238E27FC236}">
              <a16:creationId xmlns:a16="http://schemas.microsoft.com/office/drawing/2014/main" id="{2D8A2CA7-A173-2045-7B83-C195DA8CDA1A}"/>
            </a:ext>
          </a:extLst>
        </xdr:cNvPr>
        <xdr:cNvSpPr/>
      </xdr:nvSpPr>
      <xdr:spPr>
        <a:xfrm>
          <a:off x="2424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2" name="Freeform 517">
          <a:extLst>
            <a:ext uri="{FF2B5EF4-FFF2-40B4-BE49-F238E27FC236}">
              <a16:creationId xmlns:a16="http://schemas.microsoft.com/office/drawing/2014/main" id="{8DF25253-6065-15BB-D7E7-38C8A1B48BA7}"/>
            </a:ext>
          </a:extLst>
        </xdr:cNvPr>
        <xdr:cNvSpPr/>
      </xdr:nvSpPr>
      <xdr:spPr>
        <a:xfrm>
          <a:off x="331851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3" name="Freeform 362">
          <a:extLst>
            <a:ext uri="{FF2B5EF4-FFF2-40B4-BE49-F238E27FC236}">
              <a16:creationId xmlns:a16="http://schemas.microsoft.com/office/drawing/2014/main" id="{FE9EB429-808E-76AF-515F-91224883CA55}"/>
            </a:ext>
          </a:extLst>
        </xdr:cNvPr>
        <xdr:cNvSpPr/>
      </xdr:nvSpPr>
      <xdr:spPr>
        <a:xfrm>
          <a:off x="3318510" y="8319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4" name="Freeform 529">
          <a:extLst>
            <a:ext uri="{FF2B5EF4-FFF2-40B4-BE49-F238E27FC236}">
              <a16:creationId xmlns:a16="http://schemas.microsoft.com/office/drawing/2014/main" id="{6429B3F8-8712-4D55-37A3-E521D4AF57D2}"/>
            </a:ext>
          </a:extLst>
        </xdr:cNvPr>
        <xdr:cNvSpPr/>
      </xdr:nvSpPr>
      <xdr:spPr>
        <a:xfrm>
          <a:off x="4211955" y="77730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5" name="Freeform 363">
          <a:extLst>
            <a:ext uri="{FF2B5EF4-FFF2-40B4-BE49-F238E27FC236}">
              <a16:creationId xmlns:a16="http://schemas.microsoft.com/office/drawing/2014/main" id="{FC5C0912-D125-F31F-BD63-662EC6C43654}"/>
            </a:ext>
          </a:extLst>
        </xdr:cNvPr>
        <xdr:cNvSpPr/>
      </xdr:nvSpPr>
      <xdr:spPr>
        <a:xfrm>
          <a:off x="4211955" y="8319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6" name="Freeform 521">
          <a:extLst>
            <a:ext uri="{FF2B5EF4-FFF2-40B4-BE49-F238E27FC236}">
              <a16:creationId xmlns:a16="http://schemas.microsoft.com/office/drawing/2014/main" id="{E3D8044C-1F99-28C4-7239-CDA3034FAF9A}"/>
            </a:ext>
          </a:extLst>
        </xdr:cNvPr>
        <xdr:cNvSpPr/>
      </xdr:nvSpPr>
      <xdr:spPr>
        <a:xfrm>
          <a:off x="5102225" y="77743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67" name="Freeform 353">
          <a:extLst>
            <a:ext uri="{FF2B5EF4-FFF2-40B4-BE49-F238E27FC236}">
              <a16:creationId xmlns:a16="http://schemas.microsoft.com/office/drawing/2014/main" id="{75C7E15D-D912-CBDB-DD78-CE2D2ADF99D3}"/>
            </a:ext>
          </a:extLst>
        </xdr:cNvPr>
        <xdr:cNvSpPr/>
      </xdr:nvSpPr>
      <xdr:spPr>
        <a:xfrm>
          <a:off x="5102225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8" name="Freeform 526">
          <a:extLst>
            <a:ext uri="{FF2B5EF4-FFF2-40B4-BE49-F238E27FC236}">
              <a16:creationId xmlns:a16="http://schemas.microsoft.com/office/drawing/2014/main" id="{AB95F54E-AFBE-F8F0-3C42-1FC7B1E54622}"/>
            </a:ext>
          </a:extLst>
        </xdr:cNvPr>
        <xdr:cNvSpPr/>
      </xdr:nvSpPr>
      <xdr:spPr>
        <a:xfrm>
          <a:off x="5995670" y="7785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9525</xdr:rowOff>
    </xdr:from>
    <xdr:to>
      <xdr:col>0</xdr:col>
      <xdr:colOff>5715</xdr:colOff>
      <xdr:row>120</xdr:row>
      <xdr:rowOff>15240</xdr:rowOff>
    </xdr:to>
    <xdr:sp macro="" textlink="">
      <xdr:nvSpPr>
        <xdr:cNvPr id="28069" name="Freeform 364">
          <a:extLst>
            <a:ext uri="{FF2B5EF4-FFF2-40B4-BE49-F238E27FC236}">
              <a16:creationId xmlns:a16="http://schemas.microsoft.com/office/drawing/2014/main" id="{22325C81-94E3-EC8B-B456-F6932670FC95}"/>
            </a:ext>
          </a:extLst>
        </xdr:cNvPr>
        <xdr:cNvSpPr/>
      </xdr:nvSpPr>
      <xdr:spPr>
        <a:xfrm>
          <a:off x="5995670" y="8324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70" name="Freeform 527">
          <a:extLst>
            <a:ext uri="{FF2B5EF4-FFF2-40B4-BE49-F238E27FC236}">
              <a16:creationId xmlns:a16="http://schemas.microsoft.com/office/drawing/2014/main" id="{DFE3AABC-C6B0-FA88-87AA-641D14547AF4}"/>
            </a:ext>
          </a:extLst>
        </xdr:cNvPr>
        <xdr:cNvSpPr/>
      </xdr:nvSpPr>
      <xdr:spPr>
        <a:xfrm>
          <a:off x="6889750" y="7785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9525</xdr:rowOff>
    </xdr:from>
    <xdr:to>
      <xdr:col>1</xdr:col>
      <xdr:colOff>291465</xdr:colOff>
      <xdr:row>120</xdr:row>
      <xdr:rowOff>15240</xdr:rowOff>
    </xdr:to>
    <xdr:sp macro="" textlink="">
      <xdr:nvSpPr>
        <xdr:cNvPr id="28071" name="Freeform 365">
          <a:extLst>
            <a:ext uri="{FF2B5EF4-FFF2-40B4-BE49-F238E27FC236}">
              <a16:creationId xmlns:a16="http://schemas.microsoft.com/office/drawing/2014/main" id="{24F2B9F8-3F26-BED0-3EEA-16C9CE76D3FF}"/>
            </a:ext>
          </a:extLst>
        </xdr:cNvPr>
        <xdr:cNvSpPr/>
      </xdr:nvSpPr>
      <xdr:spPr>
        <a:xfrm>
          <a:off x="6889750" y="8324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2" name="Freeform 226">
          <a:extLst>
            <a:ext uri="{FF2B5EF4-FFF2-40B4-BE49-F238E27FC236}">
              <a16:creationId xmlns:a16="http://schemas.microsoft.com/office/drawing/2014/main" id="{3CB5608F-E198-869A-D14E-CE2F29DD7FF4}"/>
            </a:ext>
          </a:extLst>
        </xdr:cNvPr>
        <xdr:cNvSpPr/>
      </xdr:nvSpPr>
      <xdr:spPr>
        <a:xfrm>
          <a:off x="641350" y="7306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0</xdr:rowOff>
    </xdr:from>
    <xdr:to>
      <xdr:col>1</xdr:col>
      <xdr:colOff>281940</xdr:colOff>
      <xdr:row>27</xdr:row>
      <xdr:rowOff>5715</xdr:rowOff>
    </xdr:to>
    <xdr:sp macro="" textlink="">
      <xdr:nvSpPr>
        <xdr:cNvPr id="28073" name="Freeform 227">
          <a:extLst>
            <a:ext uri="{FF2B5EF4-FFF2-40B4-BE49-F238E27FC236}">
              <a16:creationId xmlns:a16="http://schemas.microsoft.com/office/drawing/2014/main" id="{841BCB61-C538-D14D-0BA1-FCAF0C0CF697}"/>
            </a:ext>
          </a:extLst>
        </xdr:cNvPr>
        <xdr:cNvSpPr/>
      </xdr:nvSpPr>
      <xdr:spPr>
        <a:xfrm>
          <a:off x="153543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4" name="Freeform 230">
          <a:extLst>
            <a:ext uri="{FF2B5EF4-FFF2-40B4-BE49-F238E27FC236}">
              <a16:creationId xmlns:a16="http://schemas.microsoft.com/office/drawing/2014/main" id="{C5823C47-75B0-DF79-6F47-6C99FDA8FD7C}"/>
            </a:ext>
          </a:extLst>
        </xdr:cNvPr>
        <xdr:cNvSpPr/>
      </xdr:nvSpPr>
      <xdr:spPr>
        <a:xfrm>
          <a:off x="2424430" y="730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5" name="Freeform 231">
          <a:extLst>
            <a:ext uri="{FF2B5EF4-FFF2-40B4-BE49-F238E27FC236}">
              <a16:creationId xmlns:a16="http://schemas.microsoft.com/office/drawing/2014/main" id="{5DD99E60-6771-413F-FB5D-054D9DB383F5}"/>
            </a:ext>
          </a:extLst>
        </xdr:cNvPr>
        <xdr:cNvSpPr/>
      </xdr:nvSpPr>
      <xdr:spPr>
        <a:xfrm>
          <a:off x="3318510" y="730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6" name="Freeform 232">
          <a:extLst>
            <a:ext uri="{FF2B5EF4-FFF2-40B4-BE49-F238E27FC236}">
              <a16:creationId xmlns:a16="http://schemas.microsoft.com/office/drawing/2014/main" id="{885BB94C-57D5-C7B5-63BF-A01C8D068AB1}"/>
            </a:ext>
          </a:extLst>
        </xdr:cNvPr>
        <xdr:cNvSpPr/>
      </xdr:nvSpPr>
      <xdr:spPr>
        <a:xfrm>
          <a:off x="4211320" y="73063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7" name="Freeform 233">
          <a:extLst>
            <a:ext uri="{FF2B5EF4-FFF2-40B4-BE49-F238E27FC236}">
              <a16:creationId xmlns:a16="http://schemas.microsoft.com/office/drawing/2014/main" id="{EC7B3C11-0B6B-7E55-04A9-6F41ACD0076C}"/>
            </a:ext>
          </a:extLst>
        </xdr:cNvPr>
        <xdr:cNvSpPr/>
      </xdr:nvSpPr>
      <xdr:spPr>
        <a:xfrm>
          <a:off x="510286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8" name="Freeform 235">
          <a:extLst>
            <a:ext uri="{FF2B5EF4-FFF2-40B4-BE49-F238E27FC236}">
              <a16:creationId xmlns:a16="http://schemas.microsoft.com/office/drawing/2014/main" id="{1E296331-CAF9-48AF-B022-B8114EB71F26}"/>
            </a:ext>
          </a:extLst>
        </xdr:cNvPr>
        <xdr:cNvSpPr/>
      </xdr:nvSpPr>
      <xdr:spPr>
        <a:xfrm>
          <a:off x="5995035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79" name="Freeform 530">
          <a:extLst>
            <a:ext uri="{FF2B5EF4-FFF2-40B4-BE49-F238E27FC236}">
              <a16:creationId xmlns:a16="http://schemas.microsoft.com/office/drawing/2014/main" id="{8A7588D2-FE3D-D5A8-7CBE-C8D661783621}"/>
            </a:ext>
          </a:extLst>
        </xdr:cNvPr>
        <xdr:cNvSpPr/>
      </xdr:nvSpPr>
      <xdr:spPr>
        <a:xfrm>
          <a:off x="64135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80" name="Freeform 236">
          <a:extLst>
            <a:ext uri="{FF2B5EF4-FFF2-40B4-BE49-F238E27FC236}">
              <a16:creationId xmlns:a16="http://schemas.microsoft.com/office/drawing/2014/main" id="{5A2F87A7-DE14-8FF2-2BA0-2F5DBDB81EFA}"/>
            </a:ext>
          </a:extLst>
        </xdr:cNvPr>
        <xdr:cNvSpPr/>
      </xdr:nvSpPr>
      <xdr:spPr>
        <a:xfrm>
          <a:off x="688975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218</xdr:row>
      <xdr:rowOff>0</xdr:rowOff>
    </xdr:from>
    <xdr:to>
      <xdr:col>1</xdr:col>
      <xdr:colOff>281940</xdr:colOff>
      <xdr:row>218</xdr:row>
      <xdr:rowOff>5715</xdr:rowOff>
    </xdr:to>
    <xdr:sp macro="" textlink="">
      <xdr:nvSpPr>
        <xdr:cNvPr id="28081" name="Freeform 531">
          <a:extLst>
            <a:ext uri="{FF2B5EF4-FFF2-40B4-BE49-F238E27FC236}">
              <a16:creationId xmlns:a16="http://schemas.microsoft.com/office/drawing/2014/main" id="{CD852EC1-1ECB-2DDA-7280-1BEDD3AFE652}"/>
            </a:ext>
          </a:extLst>
        </xdr:cNvPr>
        <xdr:cNvSpPr/>
      </xdr:nvSpPr>
      <xdr:spPr>
        <a:xfrm>
          <a:off x="1535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82" name="Freeform 536">
          <a:extLst>
            <a:ext uri="{FF2B5EF4-FFF2-40B4-BE49-F238E27FC236}">
              <a16:creationId xmlns:a16="http://schemas.microsoft.com/office/drawing/2014/main" id="{53256540-D4D3-9233-EA4E-47678D69ADF7}"/>
            </a:ext>
          </a:extLst>
        </xdr:cNvPr>
        <xdr:cNvSpPr/>
      </xdr:nvSpPr>
      <xdr:spPr>
        <a:xfrm>
          <a:off x="2424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3" name="Freeform 537">
          <a:extLst>
            <a:ext uri="{FF2B5EF4-FFF2-40B4-BE49-F238E27FC236}">
              <a16:creationId xmlns:a16="http://schemas.microsoft.com/office/drawing/2014/main" id="{A7C52C74-8268-D0A3-9F52-07B4828B652C}"/>
            </a:ext>
          </a:extLst>
        </xdr:cNvPr>
        <xdr:cNvSpPr/>
      </xdr:nvSpPr>
      <xdr:spPr>
        <a:xfrm>
          <a:off x="331851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4" name="Freeform 542">
          <a:extLst>
            <a:ext uri="{FF2B5EF4-FFF2-40B4-BE49-F238E27FC236}">
              <a16:creationId xmlns:a16="http://schemas.microsoft.com/office/drawing/2014/main" id="{35ECAFA0-BB6A-1985-7CE8-D12D743CFA27}"/>
            </a:ext>
          </a:extLst>
        </xdr:cNvPr>
        <xdr:cNvSpPr/>
      </xdr:nvSpPr>
      <xdr:spPr>
        <a:xfrm>
          <a:off x="4211955" y="7955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5" name="Freeform 543">
          <a:extLst>
            <a:ext uri="{FF2B5EF4-FFF2-40B4-BE49-F238E27FC236}">
              <a16:creationId xmlns:a16="http://schemas.microsoft.com/office/drawing/2014/main" id="{8CA59917-41CF-8517-E43C-4401425E2FE9}"/>
            </a:ext>
          </a:extLst>
        </xdr:cNvPr>
        <xdr:cNvSpPr/>
      </xdr:nvSpPr>
      <xdr:spPr>
        <a:xfrm>
          <a:off x="5103495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9525</xdr:rowOff>
    </xdr:from>
    <xdr:to>
      <xdr:col>0</xdr:col>
      <xdr:colOff>5715</xdr:colOff>
      <xdr:row>218</xdr:row>
      <xdr:rowOff>15240</xdr:rowOff>
    </xdr:to>
    <xdr:sp macro="" textlink="">
      <xdr:nvSpPr>
        <xdr:cNvPr id="28086" name="Freeform 546">
          <a:extLst>
            <a:ext uri="{FF2B5EF4-FFF2-40B4-BE49-F238E27FC236}">
              <a16:creationId xmlns:a16="http://schemas.microsoft.com/office/drawing/2014/main" id="{D60AF239-0420-BBB0-A231-3203C7064D6D}"/>
            </a:ext>
          </a:extLst>
        </xdr:cNvPr>
        <xdr:cNvSpPr/>
      </xdr:nvSpPr>
      <xdr:spPr>
        <a:xfrm>
          <a:off x="5995670" y="79622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9525</xdr:rowOff>
    </xdr:from>
    <xdr:to>
      <xdr:col>1</xdr:col>
      <xdr:colOff>291465</xdr:colOff>
      <xdr:row>218</xdr:row>
      <xdr:rowOff>15240</xdr:rowOff>
    </xdr:to>
    <xdr:sp macro="" textlink="">
      <xdr:nvSpPr>
        <xdr:cNvPr id="28087" name="Freeform 547">
          <a:extLst>
            <a:ext uri="{FF2B5EF4-FFF2-40B4-BE49-F238E27FC236}">
              <a16:creationId xmlns:a16="http://schemas.microsoft.com/office/drawing/2014/main" id="{448C52EC-6C53-728E-058A-E4F7CDAE2609}"/>
            </a:ext>
          </a:extLst>
        </xdr:cNvPr>
        <xdr:cNvSpPr/>
      </xdr:nvSpPr>
      <xdr:spPr>
        <a:xfrm>
          <a:off x="6889750" y="79622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88" name="Freeform 366">
          <a:extLst>
            <a:ext uri="{FF2B5EF4-FFF2-40B4-BE49-F238E27FC236}">
              <a16:creationId xmlns:a16="http://schemas.microsoft.com/office/drawing/2014/main" id="{6DA39302-3049-C100-6178-088C548D85E4}"/>
            </a:ext>
          </a:extLst>
        </xdr:cNvPr>
        <xdr:cNvSpPr/>
      </xdr:nvSpPr>
      <xdr:spPr>
        <a:xfrm>
          <a:off x="64135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122</xdr:row>
      <xdr:rowOff>0</xdr:rowOff>
    </xdr:from>
    <xdr:to>
      <xdr:col>1</xdr:col>
      <xdr:colOff>281940</xdr:colOff>
      <xdr:row>122</xdr:row>
      <xdr:rowOff>5715</xdr:rowOff>
    </xdr:to>
    <xdr:sp macro="" textlink="">
      <xdr:nvSpPr>
        <xdr:cNvPr id="28089" name="Freeform 367">
          <a:extLst>
            <a:ext uri="{FF2B5EF4-FFF2-40B4-BE49-F238E27FC236}">
              <a16:creationId xmlns:a16="http://schemas.microsoft.com/office/drawing/2014/main" id="{53EDA9D0-559D-BA51-6170-19A0DD2FBB12}"/>
            </a:ext>
          </a:extLst>
        </xdr:cNvPr>
        <xdr:cNvSpPr/>
      </xdr:nvSpPr>
      <xdr:spPr>
        <a:xfrm>
          <a:off x="1535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90" name="Freeform 368">
          <a:extLst>
            <a:ext uri="{FF2B5EF4-FFF2-40B4-BE49-F238E27FC236}">
              <a16:creationId xmlns:a16="http://schemas.microsoft.com/office/drawing/2014/main" id="{AE18C9CD-4A8E-3BDC-30E0-3DDF4374EBEE}"/>
            </a:ext>
          </a:extLst>
        </xdr:cNvPr>
        <xdr:cNvSpPr/>
      </xdr:nvSpPr>
      <xdr:spPr>
        <a:xfrm>
          <a:off x="2424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1" name="Freeform 369">
          <a:extLst>
            <a:ext uri="{FF2B5EF4-FFF2-40B4-BE49-F238E27FC236}">
              <a16:creationId xmlns:a16="http://schemas.microsoft.com/office/drawing/2014/main" id="{6EC3A544-1E61-4728-BB31-F931B08A5756}"/>
            </a:ext>
          </a:extLst>
        </xdr:cNvPr>
        <xdr:cNvSpPr/>
      </xdr:nvSpPr>
      <xdr:spPr>
        <a:xfrm>
          <a:off x="331851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2" name="Freeform 370">
          <a:extLst>
            <a:ext uri="{FF2B5EF4-FFF2-40B4-BE49-F238E27FC236}">
              <a16:creationId xmlns:a16="http://schemas.microsoft.com/office/drawing/2014/main" id="{E715FD8F-0D1D-E6B1-E0BA-C1644B878244}"/>
            </a:ext>
          </a:extLst>
        </xdr:cNvPr>
        <xdr:cNvSpPr/>
      </xdr:nvSpPr>
      <xdr:spPr>
        <a:xfrm>
          <a:off x="4211955" y="88671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3" name="Freeform 371">
          <a:extLst>
            <a:ext uri="{FF2B5EF4-FFF2-40B4-BE49-F238E27FC236}">
              <a16:creationId xmlns:a16="http://schemas.microsoft.com/office/drawing/2014/main" id="{562AB5B1-25C5-21BA-16FD-F881DA5B3B2B}"/>
            </a:ext>
          </a:extLst>
        </xdr:cNvPr>
        <xdr:cNvSpPr/>
      </xdr:nvSpPr>
      <xdr:spPr>
        <a:xfrm>
          <a:off x="5103495" y="88665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9525</xdr:rowOff>
    </xdr:from>
    <xdr:to>
      <xdr:col>0</xdr:col>
      <xdr:colOff>5715</xdr:colOff>
      <xdr:row>122</xdr:row>
      <xdr:rowOff>15240</xdr:rowOff>
    </xdr:to>
    <xdr:sp macro="" textlink="">
      <xdr:nvSpPr>
        <xdr:cNvPr id="28094" name="Freeform 372">
          <a:extLst>
            <a:ext uri="{FF2B5EF4-FFF2-40B4-BE49-F238E27FC236}">
              <a16:creationId xmlns:a16="http://schemas.microsoft.com/office/drawing/2014/main" id="{AE05B0D2-ADC2-747B-4CEF-05AAC6E5259C}"/>
            </a:ext>
          </a:extLst>
        </xdr:cNvPr>
        <xdr:cNvSpPr/>
      </xdr:nvSpPr>
      <xdr:spPr>
        <a:xfrm>
          <a:off x="5995670" y="88722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5" name="Freeform 532">
          <a:extLst>
            <a:ext uri="{FF2B5EF4-FFF2-40B4-BE49-F238E27FC236}">
              <a16:creationId xmlns:a16="http://schemas.microsoft.com/office/drawing/2014/main" id="{11BBBF5E-325A-7B16-F50A-377D4FD52060}"/>
            </a:ext>
          </a:extLst>
        </xdr:cNvPr>
        <xdr:cNvSpPr/>
      </xdr:nvSpPr>
      <xdr:spPr>
        <a:xfrm>
          <a:off x="64135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9525</xdr:rowOff>
    </xdr:from>
    <xdr:to>
      <xdr:col>1</xdr:col>
      <xdr:colOff>291465</xdr:colOff>
      <xdr:row>122</xdr:row>
      <xdr:rowOff>15240</xdr:rowOff>
    </xdr:to>
    <xdr:sp macro="" textlink="">
      <xdr:nvSpPr>
        <xdr:cNvPr id="28096" name="Freeform 373">
          <a:extLst>
            <a:ext uri="{FF2B5EF4-FFF2-40B4-BE49-F238E27FC236}">
              <a16:creationId xmlns:a16="http://schemas.microsoft.com/office/drawing/2014/main" id="{78223796-241E-4E0C-1098-266A4A871223}"/>
            </a:ext>
          </a:extLst>
        </xdr:cNvPr>
        <xdr:cNvSpPr/>
      </xdr:nvSpPr>
      <xdr:spPr>
        <a:xfrm>
          <a:off x="6889750" y="88722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219</xdr:row>
      <xdr:rowOff>0</xdr:rowOff>
    </xdr:from>
    <xdr:to>
      <xdr:col>1</xdr:col>
      <xdr:colOff>281940</xdr:colOff>
      <xdr:row>219</xdr:row>
      <xdr:rowOff>5715</xdr:rowOff>
    </xdr:to>
    <xdr:sp macro="" textlink="">
      <xdr:nvSpPr>
        <xdr:cNvPr id="28097" name="Freeform 533">
          <a:extLst>
            <a:ext uri="{FF2B5EF4-FFF2-40B4-BE49-F238E27FC236}">
              <a16:creationId xmlns:a16="http://schemas.microsoft.com/office/drawing/2014/main" id="{0AFAB60C-40A6-CA83-291D-68AC7317B72B}"/>
            </a:ext>
          </a:extLst>
        </xdr:cNvPr>
        <xdr:cNvSpPr/>
      </xdr:nvSpPr>
      <xdr:spPr>
        <a:xfrm>
          <a:off x="1535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8" name="Freeform 538">
          <a:extLst>
            <a:ext uri="{FF2B5EF4-FFF2-40B4-BE49-F238E27FC236}">
              <a16:creationId xmlns:a16="http://schemas.microsoft.com/office/drawing/2014/main" id="{3184ACB2-1065-F15D-53CE-48CAF7C4F803}"/>
            </a:ext>
          </a:extLst>
        </xdr:cNvPr>
        <xdr:cNvSpPr/>
      </xdr:nvSpPr>
      <xdr:spPr>
        <a:xfrm>
          <a:off x="2424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099" name="Freeform 539">
          <a:extLst>
            <a:ext uri="{FF2B5EF4-FFF2-40B4-BE49-F238E27FC236}">
              <a16:creationId xmlns:a16="http://schemas.microsoft.com/office/drawing/2014/main" id="{511EF025-41AE-1236-2BC8-22A062A2B2CC}"/>
            </a:ext>
          </a:extLst>
        </xdr:cNvPr>
        <xdr:cNvSpPr/>
      </xdr:nvSpPr>
      <xdr:spPr>
        <a:xfrm>
          <a:off x="331851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0" name="Freeform 375">
          <a:extLst>
            <a:ext uri="{FF2B5EF4-FFF2-40B4-BE49-F238E27FC236}">
              <a16:creationId xmlns:a16="http://schemas.microsoft.com/office/drawing/2014/main" id="{B71F2F19-C184-0C21-866D-3E767C39C061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101" name="Freeform 552">
          <a:extLst>
            <a:ext uri="{FF2B5EF4-FFF2-40B4-BE49-F238E27FC236}">
              <a16:creationId xmlns:a16="http://schemas.microsoft.com/office/drawing/2014/main" id="{B7B8F06D-8AC9-D55F-7A97-44FDBBBF1BE2}"/>
            </a:ext>
          </a:extLst>
        </xdr:cNvPr>
        <xdr:cNvSpPr/>
      </xdr:nvSpPr>
      <xdr:spPr>
        <a:xfrm>
          <a:off x="4211955" y="81375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2" name="Freeform 374">
          <a:extLst>
            <a:ext uri="{FF2B5EF4-FFF2-40B4-BE49-F238E27FC236}">
              <a16:creationId xmlns:a16="http://schemas.microsoft.com/office/drawing/2014/main" id="{110776A3-A6FE-8EA6-02D4-544C1432837F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103" name="Freeform 544">
          <a:extLst>
            <a:ext uri="{FF2B5EF4-FFF2-40B4-BE49-F238E27FC236}">
              <a16:creationId xmlns:a16="http://schemas.microsoft.com/office/drawing/2014/main" id="{34E25C3A-66C5-5771-8275-62710E53DCC3}"/>
            </a:ext>
          </a:extLst>
        </xdr:cNvPr>
        <xdr:cNvSpPr/>
      </xdr:nvSpPr>
      <xdr:spPr>
        <a:xfrm>
          <a:off x="5102225" y="81394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9525</xdr:rowOff>
    </xdr:from>
    <xdr:to>
      <xdr:col>0</xdr:col>
      <xdr:colOff>5715</xdr:colOff>
      <xdr:row>219</xdr:row>
      <xdr:rowOff>15240</xdr:rowOff>
    </xdr:to>
    <xdr:sp macro="" textlink="">
      <xdr:nvSpPr>
        <xdr:cNvPr id="28104" name="Freeform 548">
          <a:extLst>
            <a:ext uri="{FF2B5EF4-FFF2-40B4-BE49-F238E27FC236}">
              <a16:creationId xmlns:a16="http://schemas.microsoft.com/office/drawing/2014/main" id="{B3409290-23DA-09BC-E106-3A242E81D195}"/>
            </a:ext>
          </a:extLst>
        </xdr:cNvPr>
        <xdr:cNvSpPr/>
      </xdr:nvSpPr>
      <xdr:spPr>
        <a:xfrm>
          <a:off x="5995670" y="8150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167</xdr:row>
      <xdr:rowOff>180975</xdr:rowOff>
    </xdr:from>
    <xdr:to>
      <xdr:col>5</xdr:col>
      <xdr:colOff>291465</xdr:colOff>
      <xdr:row>167</xdr:row>
      <xdr:rowOff>186690</xdr:rowOff>
    </xdr:to>
    <xdr:sp macro="" textlink="">
      <xdr:nvSpPr>
        <xdr:cNvPr id="28105" name="Freeform 376">
          <a:extLst>
            <a:ext uri="{FF2B5EF4-FFF2-40B4-BE49-F238E27FC236}">
              <a16:creationId xmlns:a16="http://schemas.microsoft.com/office/drawing/2014/main" id="{322938AF-81C2-258D-7FE5-D82C30D51A44}"/>
            </a:ext>
          </a:extLst>
        </xdr:cNvPr>
        <xdr:cNvSpPr/>
      </xdr:nvSpPr>
      <xdr:spPr>
        <a:xfrm>
          <a:off x="3330575" y="950087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9525</xdr:rowOff>
    </xdr:from>
    <xdr:to>
      <xdr:col>1</xdr:col>
      <xdr:colOff>291465</xdr:colOff>
      <xdr:row>219</xdr:row>
      <xdr:rowOff>15240</xdr:rowOff>
    </xdr:to>
    <xdr:sp macro="" textlink="">
      <xdr:nvSpPr>
        <xdr:cNvPr id="28106" name="Freeform 549">
          <a:extLst>
            <a:ext uri="{FF2B5EF4-FFF2-40B4-BE49-F238E27FC236}">
              <a16:creationId xmlns:a16="http://schemas.microsoft.com/office/drawing/2014/main" id="{26B41966-7F1B-5541-323B-C972C5030801}"/>
            </a:ext>
          </a:extLst>
        </xdr:cNvPr>
        <xdr:cNvSpPr/>
      </xdr:nvSpPr>
      <xdr:spPr>
        <a:xfrm>
          <a:off x="6889750" y="8150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167</xdr:row>
      <xdr:rowOff>180975</xdr:rowOff>
    </xdr:from>
    <xdr:to>
      <xdr:col>6</xdr:col>
      <xdr:colOff>577215</xdr:colOff>
      <xdr:row>167</xdr:row>
      <xdr:rowOff>186690</xdr:rowOff>
    </xdr:to>
    <xdr:sp macro="" textlink="">
      <xdr:nvSpPr>
        <xdr:cNvPr id="28107" name="Freeform 377">
          <a:extLst>
            <a:ext uri="{FF2B5EF4-FFF2-40B4-BE49-F238E27FC236}">
              <a16:creationId xmlns:a16="http://schemas.microsoft.com/office/drawing/2014/main" id="{7E07682C-FCA7-7ACE-3AB0-1FBC43A3FB48}"/>
            </a:ext>
          </a:extLst>
        </xdr:cNvPr>
        <xdr:cNvSpPr/>
      </xdr:nvSpPr>
      <xdr:spPr>
        <a:xfrm>
          <a:off x="4225290" y="950087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13" name="Freeform 228">
          <a:extLst>
            <a:ext uri="{FF2B5EF4-FFF2-40B4-BE49-F238E27FC236}">
              <a16:creationId xmlns:a16="http://schemas.microsoft.com/office/drawing/2014/main" id="{651AF275-4801-1AD2-C540-74DE1C9A97C2}"/>
            </a:ext>
          </a:extLst>
        </xdr:cNvPr>
        <xdr:cNvSpPr/>
      </xdr:nvSpPr>
      <xdr:spPr>
        <a:xfrm>
          <a:off x="641350" y="77933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29</xdr:row>
      <xdr:rowOff>104775</xdr:rowOff>
    </xdr:from>
    <xdr:to>
      <xdr:col>1</xdr:col>
      <xdr:colOff>281940</xdr:colOff>
      <xdr:row>29</xdr:row>
      <xdr:rowOff>110490</xdr:rowOff>
    </xdr:to>
    <xdr:sp macro="" textlink="">
      <xdr:nvSpPr>
        <xdr:cNvPr id="28115" name="Freeform 229">
          <a:extLst>
            <a:ext uri="{FF2B5EF4-FFF2-40B4-BE49-F238E27FC236}">
              <a16:creationId xmlns:a16="http://schemas.microsoft.com/office/drawing/2014/main" id="{A190E7D1-587C-F051-1B43-23CDA045C0AC}"/>
            </a:ext>
          </a:extLst>
        </xdr:cNvPr>
        <xdr:cNvSpPr/>
      </xdr:nvSpPr>
      <xdr:spPr>
        <a:xfrm>
          <a:off x="1535430" y="77933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16" name="Freeform 237">
          <a:extLst>
            <a:ext uri="{FF2B5EF4-FFF2-40B4-BE49-F238E27FC236}">
              <a16:creationId xmlns:a16="http://schemas.microsoft.com/office/drawing/2014/main" id="{6E316922-A91D-015E-9376-E9C5AE401F49}"/>
            </a:ext>
          </a:extLst>
        </xdr:cNvPr>
        <xdr:cNvSpPr/>
      </xdr:nvSpPr>
      <xdr:spPr>
        <a:xfrm>
          <a:off x="2424430" y="77895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7" name="Freeform 238">
          <a:extLst>
            <a:ext uri="{FF2B5EF4-FFF2-40B4-BE49-F238E27FC236}">
              <a16:creationId xmlns:a16="http://schemas.microsoft.com/office/drawing/2014/main" id="{12BC40A8-0E09-7323-7DCD-A4CC8D448B33}"/>
            </a:ext>
          </a:extLst>
        </xdr:cNvPr>
        <xdr:cNvSpPr/>
      </xdr:nvSpPr>
      <xdr:spPr>
        <a:xfrm>
          <a:off x="3318510" y="77895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18" name="Freeform 534">
          <a:extLst>
            <a:ext uri="{FF2B5EF4-FFF2-40B4-BE49-F238E27FC236}">
              <a16:creationId xmlns:a16="http://schemas.microsoft.com/office/drawing/2014/main" id="{7F73F706-B1FB-CA8B-0550-6A6835DCD2CA}"/>
            </a:ext>
          </a:extLst>
        </xdr:cNvPr>
        <xdr:cNvSpPr/>
      </xdr:nvSpPr>
      <xdr:spPr>
        <a:xfrm>
          <a:off x="64135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9" name="Freeform 239">
          <a:extLst>
            <a:ext uri="{FF2B5EF4-FFF2-40B4-BE49-F238E27FC236}">
              <a16:creationId xmlns:a16="http://schemas.microsoft.com/office/drawing/2014/main" id="{B263FE13-6E65-4224-3EDA-DF50C9EAF3D3}"/>
            </a:ext>
          </a:extLst>
        </xdr:cNvPr>
        <xdr:cNvSpPr/>
      </xdr:nvSpPr>
      <xdr:spPr>
        <a:xfrm>
          <a:off x="4211320" y="77876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220</xdr:row>
      <xdr:rowOff>0</xdr:rowOff>
    </xdr:from>
    <xdr:to>
      <xdr:col>1</xdr:col>
      <xdr:colOff>281940</xdr:colOff>
      <xdr:row>220</xdr:row>
      <xdr:rowOff>5715</xdr:rowOff>
    </xdr:to>
    <xdr:sp macro="" textlink="">
      <xdr:nvSpPr>
        <xdr:cNvPr id="28120" name="Freeform 535">
          <a:extLst>
            <a:ext uri="{FF2B5EF4-FFF2-40B4-BE49-F238E27FC236}">
              <a16:creationId xmlns:a16="http://schemas.microsoft.com/office/drawing/2014/main" id="{EFF56B35-A1A4-F63E-4DD1-F6421A45582B}"/>
            </a:ext>
          </a:extLst>
        </xdr:cNvPr>
        <xdr:cNvSpPr/>
      </xdr:nvSpPr>
      <xdr:spPr>
        <a:xfrm>
          <a:off x="1535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1" name="Freeform 540">
          <a:extLst>
            <a:ext uri="{FF2B5EF4-FFF2-40B4-BE49-F238E27FC236}">
              <a16:creationId xmlns:a16="http://schemas.microsoft.com/office/drawing/2014/main" id="{C93F385F-68C6-24B0-0FD2-27EE070499E1}"/>
            </a:ext>
          </a:extLst>
        </xdr:cNvPr>
        <xdr:cNvSpPr/>
      </xdr:nvSpPr>
      <xdr:spPr>
        <a:xfrm>
          <a:off x="2424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22" name="Freeform 234">
          <a:extLst>
            <a:ext uri="{FF2B5EF4-FFF2-40B4-BE49-F238E27FC236}">
              <a16:creationId xmlns:a16="http://schemas.microsoft.com/office/drawing/2014/main" id="{F89F40ED-BF0D-3EB7-B707-8DAD90D513FE}"/>
            </a:ext>
          </a:extLst>
        </xdr:cNvPr>
        <xdr:cNvSpPr/>
      </xdr:nvSpPr>
      <xdr:spPr>
        <a:xfrm>
          <a:off x="5101590" y="7794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3" name="Freeform 541">
          <a:extLst>
            <a:ext uri="{FF2B5EF4-FFF2-40B4-BE49-F238E27FC236}">
              <a16:creationId xmlns:a16="http://schemas.microsoft.com/office/drawing/2014/main" id="{F57EAE8F-36BE-7ED9-85C6-7FFF2528476A}"/>
            </a:ext>
          </a:extLst>
        </xdr:cNvPr>
        <xdr:cNvSpPr/>
      </xdr:nvSpPr>
      <xdr:spPr>
        <a:xfrm>
          <a:off x="331851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24" name="Freeform 240">
          <a:extLst>
            <a:ext uri="{FF2B5EF4-FFF2-40B4-BE49-F238E27FC236}">
              <a16:creationId xmlns:a16="http://schemas.microsoft.com/office/drawing/2014/main" id="{64CC2DD0-6CEF-CAF8-7A6E-E9121E3873D9}"/>
            </a:ext>
          </a:extLst>
        </xdr:cNvPr>
        <xdr:cNvSpPr/>
      </xdr:nvSpPr>
      <xdr:spPr>
        <a:xfrm>
          <a:off x="5995035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5" name="Freeform 553">
          <a:extLst>
            <a:ext uri="{FF2B5EF4-FFF2-40B4-BE49-F238E27FC236}">
              <a16:creationId xmlns:a16="http://schemas.microsoft.com/office/drawing/2014/main" id="{4E6590EE-0A7D-DBEA-4E86-058B3557744D}"/>
            </a:ext>
          </a:extLst>
        </xdr:cNvPr>
        <xdr:cNvSpPr/>
      </xdr:nvSpPr>
      <xdr:spPr>
        <a:xfrm>
          <a:off x="4211955" y="83280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26" name="Freeform 241">
          <a:extLst>
            <a:ext uri="{FF2B5EF4-FFF2-40B4-BE49-F238E27FC236}">
              <a16:creationId xmlns:a16="http://schemas.microsoft.com/office/drawing/2014/main" id="{C3C54CFC-60C6-0B43-AB45-B92D80226F65}"/>
            </a:ext>
          </a:extLst>
        </xdr:cNvPr>
        <xdr:cNvSpPr/>
      </xdr:nvSpPr>
      <xdr:spPr>
        <a:xfrm>
          <a:off x="6889750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7" name="Freeform 545">
          <a:extLst>
            <a:ext uri="{FF2B5EF4-FFF2-40B4-BE49-F238E27FC236}">
              <a16:creationId xmlns:a16="http://schemas.microsoft.com/office/drawing/2014/main" id="{67C5FD33-1F3E-C119-17C7-75D61C7A7BC4}"/>
            </a:ext>
          </a:extLst>
        </xdr:cNvPr>
        <xdr:cNvSpPr/>
      </xdr:nvSpPr>
      <xdr:spPr>
        <a:xfrm>
          <a:off x="5102225" y="83292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9525</xdr:rowOff>
    </xdr:from>
    <xdr:to>
      <xdr:col>0</xdr:col>
      <xdr:colOff>5715</xdr:colOff>
      <xdr:row>220</xdr:row>
      <xdr:rowOff>15240</xdr:rowOff>
    </xdr:to>
    <xdr:sp macro="" textlink="">
      <xdr:nvSpPr>
        <xdr:cNvPr id="28128" name="Freeform 550">
          <a:extLst>
            <a:ext uri="{FF2B5EF4-FFF2-40B4-BE49-F238E27FC236}">
              <a16:creationId xmlns:a16="http://schemas.microsoft.com/office/drawing/2014/main" id="{C9A0A922-1AC7-CD0C-E130-E7CD634D9BA7}"/>
            </a:ext>
          </a:extLst>
        </xdr:cNvPr>
        <xdr:cNvSpPr/>
      </xdr:nvSpPr>
      <xdr:spPr>
        <a:xfrm>
          <a:off x="5995670" y="83413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9525</xdr:rowOff>
    </xdr:from>
    <xdr:to>
      <xdr:col>1</xdr:col>
      <xdr:colOff>291465</xdr:colOff>
      <xdr:row>220</xdr:row>
      <xdr:rowOff>15240</xdr:rowOff>
    </xdr:to>
    <xdr:sp macro="" textlink="">
      <xdr:nvSpPr>
        <xdr:cNvPr id="28129" name="Freeform 551">
          <a:extLst>
            <a:ext uri="{FF2B5EF4-FFF2-40B4-BE49-F238E27FC236}">
              <a16:creationId xmlns:a16="http://schemas.microsoft.com/office/drawing/2014/main" id="{A44321B3-A1A2-3D35-242F-CCA65A77036A}"/>
            </a:ext>
          </a:extLst>
        </xdr:cNvPr>
        <xdr:cNvSpPr/>
      </xdr:nvSpPr>
      <xdr:spPr>
        <a:xfrm>
          <a:off x="6889750" y="83413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0" name="Freeform 243">
          <a:extLst>
            <a:ext uri="{FF2B5EF4-FFF2-40B4-BE49-F238E27FC236}">
              <a16:creationId xmlns:a16="http://schemas.microsoft.com/office/drawing/2014/main" id="{101464FD-C5EE-BF58-5A64-BB9231A86517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1" name="Freeform 242">
          <a:extLst>
            <a:ext uri="{FF2B5EF4-FFF2-40B4-BE49-F238E27FC236}">
              <a16:creationId xmlns:a16="http://schemas.microsoft.com/office/drawing/2014/main" id="{683B0ACF-7E7B-E872-A028-8D72BEC84C16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64</xdr:row>
      <xdr:rowOff>171450</xdr:rowOff>
    </xdr:from>
    <xdr:to>
      <xdr:col>5</xdr:col>
      <xdr:colOff>291465</xdr:colOff>
      <xdr:row>64</xdr:row>
      <xdr:rowOff>177165</xdr:rowOff>
    </xdr:to>
    <xdr:sp macro="" textlink="">
      <xdr:nvSpPr>
        <xdr:cNvPr id="28134" name="Freeform 244">
          <a:extLst>
            <a:ext uri="{FF2B5EF4-FFF2-40B4-BE49-F238E27FC236}">
              <a16:creationId xmlns:a16="http://schemas.microsoft.com/office/drawing/2014/main" id="{D8F19F01-C34E-8030-DE0B-D2894D4FD06A}"/>
            </a:ext>
          </a:extLst>
        </xdr:cNvPr>
        <xdr:cNvSpPr/>
      </xdr:nvSpPr>
      <xdr:spPr>
        <a:xfrm>
          <a:off x="3330575" y="8195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68</xdr:row>
      <xdr:rowOff>171450</xdr:rowOff>
    </xdr:from>
    <xdr:to>
      <xdr:col>6</xdr:col>
      <xdr:colOff>577215</xdr:colOff>
      <xdr:row>68</xdr:row>
      <xdr:rowOff>177165</xdr:rowOff>
    </xdr:to>
    <xdr:sp macro="" textlink="">
      <xdr:nvSpPr>
        <xdr:cNvPr id="28136" name="Freeform 245">
          <a:extLst>
            <a:ext uri="{FF2B5EF4-FFF2-40B4-BE49-F238E27FC236}">
              <a16:creationId xmlns:a16="http://schemas.microsoft.com/office/drawing/2014/main" id="{D4244A6C-4E4B-D800-763F-EC9950CB0EF7}"/>
            </a:ext>
          </a:extLst>
        </xdr:cNvPr>
        <xdr:cNvSpPr/>
      </xdr:nvSpPr>
      <xdr:spPr>
        <a:xfrm>
          <a:off x="4225290" y="819531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4" name="Freeform 251">
          <a:extLst>
            <a:ext uri="{FF2B5EF4-FFF2-40B4-BE49-F238E27FC236}">
              <a16:creationId xmlns:a16="http://schemas.microsoft.com/office/drawing/2014/main" id="{0402E831-24BD-BD30-F0B8-55D51EDEC0BB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6" name="Freeform 250">
          <a:extLst>
            <a:ext uri="{FF2B5EF4-FFF2-40B4-BE49-F238E27FC236}">
              <a16:creationId xmlns:a16="http://schemas.microsoft.com/office/drawing/2014/main" id="{05440742-096F-20EF-6227-DC2ABC08B00C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8" name="Freeform 563">
          <a:extLst>
            <a:ext uri="{FF2B5EF4-FFF2-40B4-BE49-F238E27FC236}">
              <a16:creationId xmlns:a16="http://schemas.microsoft.com/office/drawing/2014/main" id="{1A77703F-7E2E-796E-636E-2D5630B6A8FD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9" name="Freeform 562">
          <a:extLst>
            <a:ext uri="{FF2B5EF4-FFF2-40B4-BE49-F238E27FC236}">
              <a16:creationId xmlns:a16="http://schemas.microsoft.com/office/drawing/2014/main" id="{39101D7B-195D-47C5-11A4-0DED85E80AF6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D16" sqref="D16"/>
    </sheetView>
  </sheetViews>
  <sheetFormatPr defaultColWidth="9.1796875" defaultRowHeight="40" customHeight="1" x14ac:dyDescent="0.35"/>
  <cols>
    <col min="1" max="1" width="14.54296875" style="6" customWidth="1"/>
    <col min="2" max="4" width="12.54296875" style="8" customWidth="1"/>
    <col min="5" max="8" width="17.453125" style="9" customWidth="1"/>
    <col min="9" max="9" width="17.7265625" style="9" customWidth="1"/>
    <col min="10" max="19" width="12.54296875" style="9" customWidth="1"/>
    <col min="20" max="20" width="12.54296875" style="10" customWidth="1"/>
    <col min="21" max="16384" width="9.1796875" style="1"/>
  </cols>
  <sheetData>
    <row r="1" spans="1:20" ht="40" customHeight="1" x14ac:dyDescent="0.3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3142</v>
      </c>
      <c r="F1" s="4" t="s">
        <v>3143</v>
      </c>
      <c r="G1" s="4" t="s">
        <v>3149</v>
      </c>
      <c r="H1" s="4" t="s">
        <v>3277</v>
      </c>
      <c r="I1" s="4" t="s">
        <v>0</v>
      </c>
      <c r="J1" s="4" t="s">
        <v>1</v>
      </c>
      <c r="K1" s="4" t="s">
        <v>3141</v>
      </c>
      <c r="L1" s="4" t="s">
        <v>2</v>
      </c>
      <c r="M1" s="4" t="s">
        <v>3073</v>
      </c>
      <c r="N1" s="4" t="s">
        <v>3074</v>
      </c>
      <c r="O1" s="4" t="s">
        <v>3310</v>
      </c>
      <c r="P1" s="4" t="s">
        <v>3</v>
      </c>
      <c r="Q1" s="4" t="s">
        <v>4</v>
      </c>
      <c r="R1" s="4" t="s">
        <v>5</v>
      </c>
      <c r="S1" s="4" t="s">
        <v>6</v>
      </c>
      <c r="T1" s="5" t="s">
        <v>7</v>
      </c>
    </row>
    <row r="2" spans="1:20" ht="40" customHeight="1" x14ac:dyDescent="0.35">
      <c r="A2" s="6" t="s">
        <v>2380</v>
      </c>
      <c r="B2" s="6" t="s">
        <v>9</v>
      </c>
      <c r="C2" s="8" t="s">
        <v>2378</v>
      </c>
      <c r="D2" s="8" t="s">
        <v>2340</v>
      </c>
      <c r="E2" s="8" t="s">
        <v>2391</v>
      </c>
      <c r="F2" s="7" t="s">
        <v>2341</v>
      </c>
      <c r="G2" s="8" t="s">
        <v>3145</v>
      </c>
      <c r="H2" s="8" t="s">
        <v>3276</v>
      </c>
      <c r="I2" s="8" t="s">
        <v>2390</v>
      </c>
      <c r="J2" s="8" t="s">
        <v>2986</v>
      </c>
      <c r="K2" s="8" t="s">
        <v>3140</v>
      </c>
      <c r="L2" s="7" t="s">
        <v>2341</v>
      </c>
      <c r="M2" s="8" t="s">
        <v>2393</v>
      </c>
      <c r="N2" s="8" t="s">
        <v>3072</v>
      </c>
      <c r="O2" s="8" t="s">
        <v>3309</v>
      </c>
      <c r="P2" s="7" t="s">
        <v>2341</v>
      </c>
      <c r="Q2" s="8" t="s">
        <v>2757</v>
      </c>
      <c r="R2" s="8" t="s">
        <v>2789</v>
      </c>
      <c r="S2" s="8" t="s">
        <v>2790</v>
      </c>
      <c r="T2" s="8" t="s">
        <v>2791</v>
      </c>
    </row>
    <row r="3" spans="1:20" ht="40" customHeight="1" x14ac:dyDescent="0.35">
      <c r="A3" s="6" t="s">
        <v>2380</v>
      </c>
      <c r="B3" s="6" t="s">
        <v>2394</v>
      </c>
      <c r="C3" s="8" t="s">
        <v>3254</v>
      </c>
      <c r="D3" s="8" t="s">
        <v>3254</v>
      </c>
    </row>
    <row r="4" spans="1:20" ht="40" customHeight="1" x14ac:dyDescent="0.35">
      <c r="A4" s="6" t="s">
        <v>2380</v>
      </c>
      <c r="B4" s="6" t="s">
        <v>9</v>
      </c>
      <c r="C4" s="8" t="s">
        <v>2759</v>
      </c>
      <c r="E4" s="8" t="s">
        <v>2391</v>
      </c>
      <c r="F4" s="7" t="s">
        <v>2341</v>
      </c>
      <c r="G4" s="8" t="s">
        <v>3145</v>
      </c>
      <c r="H4" s="8"/>
      <c r="I4" s="8" t="s">
        <v>2390</v>
      </c>
      <c r="J4" s="8" t="s">
        <v>2986</v>
      </c>
      <c r="K4" s="8" t="s">
        <v>3140</v>
      </c>
      <c r="L4" s="7" t="s">
        <v>2341</v>
      </c>
      <c r="M4" s="8" t="s">
        <v>2393</v>
      </c>
      <c r="N4" s="8" t="s">
        <v>3072</v>
      </c>
      <c r="O4" s="8"/>
      <c r="P4" s="7" t="s">
        <v>2341</v>
      </c>
      <c r="Q4" s="8" t="s">
        <v>2757</v>
      </c>
      <c r="R4" s="8" t="s">
        <v>2789</v>
      </c>
      <c r="S4" s="8" t="s">
        <v>2790</v>
      </c>
      <c r="T4" s="8" t="s">
        <v>2791</v>
      </c>
    </row>
    <row r="5" spans="1:20" ht="40" customHeight="1" x14ac:dyDescent="0.35">
      <c r="A5" s="6" t="s">
        <v>2380</v>
      </c>
      <c r="B5" s="6" t="s">
        <v>2797</v>
      </c>
      <c r="C5" s="8" t="s">
        <v>2796</v>
      </c>
    </row>
    <row r="6" spans="1:20" ht="40" customHeight="1" x14ac:dyDescent="0.35">
      <c r="A6" s="6" t="s">
        <v>2380</v>
      </c>
      <c r="B6" s="6" t="s">
        <v>3648</v>
      </c>
      <c r="C6" s="8" t="s">
        <v>2987</v>
      </c>
    </row>
    <row r="7" spans="1:20" ht="40" customHeight="1" x14ac:dyDescent="0.35">
      <c r="A7" s="6" t="s">
        <v>2380</v>
      </c>
      <c r="B7" s="6" t="s">
        <v>2394</v>
      </c>
      <c r="C7" s="8" t="s">
        <v>3254</v>
      </c>
    </row>
    <row r="8" spans="1:20" ht="40" customHeight="1" x14ac:dyDescent="0.35">
      <c r="A8" s="6" t="s">
        <v>2380</v>
      </c>
      <c r="B8" s="6" t="s">
        <v>3636</v>
      </c>
      <c r="C8" s="8" t="s">
        <v>3637</v>
      </c>
      <c r="D8" s="8" t="s">
        <v>3637</v>
      </c>
      <c r="E8" s="9" t="s">
        <v>3638</v>
      </c>
      <c r="F8" s="9" t="s">
        <v>2341</v>
      </c>
      <c r="G8" s="9" t="s">
        <v>2341</v>
      </c>
      <c r="H8" s="9" t="s">
        <v>2341</v>
      </c>
      <c r="I8" s="9" t="s">
        <v>3639</v>
      </c>
      <c r="J8" s="9" t="s">
        <v>2341</v>
      </c>
      <c r="K8" s="9" t="s">
        <v>2341</v>
      </c>
      <c r="L8" s="9" t="s">
        <v>2341</v>
      </c>
      <c r="M8" s="9" t="s">
        <v>3643</v>
      </c>
      <c r="N8" s="9" t="s">
        <v>2341</v>
      </c>
      <c r="O8" s="9" t="s">
        <v>2341</v>
      </c>
      <c r="P8" s="9" t="s">
        <v>2341</v>
      </c>
      <c r="Q8" s="9" t="s">
        <v>3640</v>
      </c>
      <c r="R8" s="9" t="s">
        <v>3641</v>
      </c>
      <c r="S8" s="9" t="s">
        <v>3642</v>
      </c>
      <c r="T8" s="10" t="s">
        <v>2341</v>
      </c>
    </row>
    <row r="9" spans="1:20" ht="40" customHeight="1" x14ac:dyDescent="0.35">
      <c r="A9" s="6" t="s">
        <v>2380</v>
      </c>
      <c r="B9" s="8" t="s">
        <v>3645</v>
      </c>
      <c r="C9" s="8" t="s">
        <v>3644</v>
      </c>
      <c r="D9" s="8" t="s">
        <v>3644</v>
      </c>
    </row>
    <row r="10" spans="1:20" ht="40" customHeight="1" x14ac:dyDescent="0.35">
      <c r="A10" s="6" t="s">
        <v>2380</v>
      </c>
      <c r="B10" s="8" t="s">
        <v>3646</v>
      </c>
      <c r="C10" s="8" t="s">
        <v>3647</v>
      </c>
      <c r="D10" s="8" t="s">
        <v>3647</v>
      </c>
    </row>
    <row r="11" spans="1:20" ht="40" customHeight="1" x14ac:dyDescent="0.35">
      <c r="A11" s="6" t="s">
        <v>2380</v>
      </c>
      <c r="B11" s="8" t="s">
        <v>3649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A2" sqref="A2:D5"/>
    </sheetView>
  </sheetViews>
  <sheetFormatPr defaultRowHeight="14.5" x14ac:dyDescent="0.35"/>
  <cols>
    <col min="1" max="1" width="9.1796875" style="1"/>
    <col min="2" max="2" width="9.54296875" style="1" customWidth="1"/>
    <col min="3" max="3" width="9.1796875" style="1"/>
  </cols>
  <sheetData>
    <row r="1" spans="1:5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5" x14ac:dyDescent="0.35">
      <c r="A2" s="1" t="s">
        <v>17</v>
      </c>
      <c r="B2" s="1" t="s">
        <v>65</v>
      </c>
      <c r="C2" s="1" t="s">
        <v>47</v>
      </c>
      <c r="D2">
        <v>0.56799999999999995</v>
      </c>
      <c r="E2" s="1"/>
    </row>
    <row r="3" spans="1:5" x14ac:dyDescent="0.35">
      <c r="A3" s="1" t="s">
        <v>61</v>
      </c>
      <c r="B3" s="1" t="s">
        <v>191</v>
      </c>
      <c r="C3" s="1" t="s">
        <v>18</v>
      </c>
      <c r="D3">
        <v>0.95199999999999996</v>
      </c>
      <c r="E3" s="1"/>
    </row>
    <row r="4" spans="1:5" x14ac:dyDescent="0.35">
      <c r="A4" s="1" t="s">
        <v>78</v>
      </c>
      <c r="B4" s="1" t="s">
        <v>93</v>
      </c>
      <c r="C4" s="1" t="s">
        <v>2399</v>
      </c>
      <c r="D4" t="s">
        <v>2574</v>
      </c>
      <c r="E4" s="1"/>
    </row>
    <row r="5" spans="1:5" x14ac:dyDescent="0.35">
      <c r="A5" s="1" t="s">
        <v>93</v>
      </c>
      <c r="B5" s="1" t="s">
        <v>114</v>
      </c>
      <c r="C5" s="1" t="s">
        <v>265</v>
      </c>
      <c r="D5">
        <v>1.82</v>
      </c>
      <c r="E5" s="1"/>
    </row>
    <row r="6" spans="1:5" x14ac:dyDescent="0.35">
      <c r="A6" s="1" t="s">
        <v>114</v>
      </c>
      <c r="B6" s="1" t="s">
        <v>131</v>
      </c>
      <c r="C6" s="1" t="s">
        <v>18</v>
      </c>
      <c r="D6">
        <v>1.78</v>
      </c>
      <c r="E6" s="1"/>
    </row>
    <row r="7" spans="1:5" x14ac:dyDescent="0.35">
      <c r="A7" s="1" t="s">
        <v>136</v>
      </c>
      <c r="B7" s="1" t="s">
        <v>152</v>
      </c>
      <c r="C7" s="1" t="s">
        <v>265</v>
      </c>
      <c r="D7">
        <v>2.62</v>
      </c>
      <c r="E7" s="1"/>
    </row>
    <row r="8" spans="1:5" x14ac:dyDescent="0.35">
      <c r="A8" s="1" t="s">
        <v>170</v>
      </c>
      <c r="B8" s="1" t="s">
        <v>195</v>
      </c>
      <c r="C8" s="1" t="s">
        <v>22</v>
      </c>
      <c r="D8">
        <v>4</v>
      </c>
      <c r="E8" s="1"/>
    </row>
    <row r="9" spans="1:5" x14ac:dyDescent="0.35">
      <c r="A9" s="1" t="s">
        <v>221</v>
      </c>
      <c r="B9" s="1" t="s">
        <v>258</v>
      </c>
      <c r="C9" s="1" t="s">
        <v>637</v>
      </c>
      <c r="D9">
        <v>6.26</v>
      </c>
      <c r="E9" s="1"/>
    </row>
    <row r="10" spans="1:5" x14ac:dyDescent="0.35">
      <c r="A10" s="1" t="s">
        <v>272</v>
      </c>
      <c r="B10" s="1" t="s">
        <v>298</v>
      </c>
      <c r="C10" s="1" t="s">
        <v>637</v>
      </c>
      <c r="D10">
        <v>7.38</v>
      </c>
      <c r="E10" s="1"/>
    </row>
    <row r="11" spans="1:5" x14ac:dyDescent="0.35">
      <c r="A11" s="1" t="s">
        <v>302</v>
      </c>
      <c r="B11" s="1" t="s">
        <v>342</v>
      </c>
      <c r="C11" s="1" t="s">
        <v>26</v>
      </c>
      <c r="D11">
        <v>9.67</v>
      </c>
      <c r="E11" s="1"/>
    </row>
    <row r="12" spans="1:5" x14ac:dyDescent="0.35">
      <c r="A12" s="1" t="s">
        <v>337</v>
      </c>
      <c r="B12" s="1" t="s">
        <v>358</v>
      </c>
      <c r="C12" s="1" t="s">
        <v>26</v>
      </c>
      <c r="D12">
        <v>10.26</v>
      </c>
      <c r="E12" s="1"/>
    </row>
    <row r="13" spans="1:5" x14ac:dyDescent="0.35">
      <c r="A13" s="1" t="s">
        <v>407</v>
      </c>
      <c r="B13" s="1" t="s">
        <v>428</v>
      </c>
      <c r="C13" s="1" t="s">
        <v>26</v>
      </c>
      <c r="D13">
        <v>12.72</v>
      </c>
      <c r="E13" s="1"/>
    </row>
    <row r="14" spans="1:5" x14ac:dyDescent="0.35">
      <c r="A14" s="1" t="s">
        <v>473</v>
      </c>
      <c r="B14" s="1" t="s">
        <v>498</v>
      </c>
      <c r="C14" s="1" t="s">
        <v>1037</v>
      </c>
      <c r="D14">
        <v>17.149999999999999</v>
      </c>
      <c r="E14" s="1"/>
    </row>
    <row r="15" spans="1:5" x14ac:dyDescent="0.35">
      <c r="A15" s="1" t="s">
        <v>501</v>
      </c>
      <c r="B15" s="1" t="s">
        <v>555</v>
      </c>
      <c r="C15" s="1" t="s">
        <v>26</v>
      </c>
      <c r="D15">
        <v>17.36</v>
      </c>
      <c r="E15" s="1"/>
    </row>
    <row r="16" spans="1:5" x14ac:dyDescent="0.35">
      <c r="A16" s="1" t="s">
        <v>544</v>
      </c>
      <c r="B16" s="1" t="s">
        <v>1542</v>
      </c>
      <c r="C16" s="1" t="s">
        <v>26</v>
      </c>
      <c r="D16">
        <v>18.71</v>
      </c>
      <c r="E16" s="1"/>
    </row>
    <row r="17" spans="1:5" x14ac:dyDescent="0.35">
      <c r="A17" s="1" t="s">
        <v>608</v>
      </c>
      <c r="B17" s="1" t="s">
        <v>656</v>
      </c>
      <c r="C17" s="1" t="s">
        <v>34</v>
      </c>
      <c r="D17">
        <v>31.52</v>
      </c>
      <c r="E17" s="1"/>
    </row>
    <row r="18" spans="1:5" x14ac:dyDescent="0.35">
      <c r="A18" s="1" t="s">
        <v>673</v>
      </c>
      <c r="B18" s="1" t="s">
        <v>725</v>
      </c>
      <c r="C18" s="1" t="s">
        <v>34</v>
      </c>
      <c r="D18">
        <v>39.51</v>
      </c>
      <c r="E18" s="1"/>
    </row>
    <row r="19" spans="1:5" x14ac:dyDescent="0.35">
      <c r="A19" s="1" t="s">
        <v>739</v>
      </c>
      <c r="B19" s="1" t="s">
        <v>800</v>
      </c>
      <c r="C19" s="1" t="s">
        <v>34</v>
      </c>
      <c r="D19">
        <v>39.51</v>
      </c>
      <c r="E19" s="1"/>
    </row>
    <row r="20" spans="1:5" x14ac:dyDescent="0.35">
      <c r="A20" s="1" t="s">
        <v>866</v>
      </c>
      <c r="B20" s="1" t="s">
        <v>931</v>
      </c>
      <c r="C20" s="1" t="s">
        <v>34</v>
      </c>
      <c r="D20">
        <v>47.2</v>
      </c>
      <c r="E20" s="1"/>
    </row>
    <row r="21" spans="1:5" x14ac:dyDescent="0.35">
      <c r="A21" s="1" t="s">
        <v>1142</v>
      </c>
      <c r="B21" s="1" t="s">
        <v>1221</v>
      </c>
      <c r="C21" s="1" t="s">
        <v>34</v>
      </c>
      <c r="D21">
        <v>62.15</v>
      </c>
      <c r="E21" s="1"/>
    </row>
    <row r="22" spans="1:5" x14ac:dyDescent="0.35">
      <c r="A22" s="1" t="s">
        <v>1428</v>
      </c>
      <c r="B22" s="1" t="s">
        <v>1512</v>
      </c>
      <c r="C22" s="1" t="s">
        <v>37</v>
      </c>
      <c r="D22">
        <v>90.28</v>
      </c>
      <c r="E22" s="1"/>
    </row>
    <row r="23" spans="1:5" x14ac:dyDescent="0.35">
      <c r="A23" s="1" t="s">
        <v>1721</v>
      </c>
      <c r="B23" s="1" t="s">
        <v>1809</v>
      </c>
      <c r="C23" s="1" t="s">
        <v>37</v>
      </c>
      <c r="D23">
        <v>107.55</v>
      </c>
      <c r="E23" s="1"/>
    </row>
    <row r="24" spans="1:5" x14ac:dyDescent="0.35">
      <c r="A24" s="1" t="s">
        <v>2021</v>
      </c>
      <c r="B24" s="1" t="s">
        <v>1969</v>
      </c>
      <c r="C24" s="1" t="s">
        <v>41</v>
      </c>
      <c r="D24">
        <v>140.47</v>
      </c>
      <c r="E24" s="1"/>
    </row>
    <row r="25" spans="1:5" x14ac:dyDescent="0.35">
      <c r="A25" s="1" t="s">
        <v>2322</v>
      </c>
      <c r="B25" s="1" t="s">
        <v>2042</v>
      </c>
      <c r="C25" s="1" t="s">
        <v>41</v>
      </c>
      <c r="D25">
        <v>160.19999999999999</v>
      </c>
      <c r="E25" s="1"/>
    </row>
    <row r="26" spans="1:5" x14ac:dyDescent="0.35">
      <c r="A26" s="1" t="s">
        <v>2371</v>
      </c>
      <c r="B26" s="1" t="s">
        <v>2155</v>
      </c>
      <c r="C26" s="1" t="s">
        <v>17</v>
      </c>
      <c r="D26">
        <v>249.07</v>
      </c>
      <c r="E26" s="1"/>
    </row>
    <row r="27" spans="1:5" x14ac:dyDescent="0.35">
      <c r="A27" s="1" t="s">
        <v>2372</v>
      </c>
      <c r="B27" s="1" t="s">
        <v>2269</v>
      </c>
      <c r="C27" s="1" t="s">
        <v>17</v>
      </c>
      <c r="D27">
        <v>298.39999999999998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J54" sqref="J54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3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3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3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3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3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3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3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3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3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3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3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3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3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3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3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3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3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3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3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3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3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3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3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3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3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E2" sqref="E2"/>
    </sheetView>
  </sheetViews>
  <sheetFormatPr defaultRowHeight="14.5" x14ac:dyDescent="0.35"/>
  <cols>
    <col min="1" max="3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17</v>
      </c>
      <c r="B2" s="1" t="s">
        <v>65</v>
      </c>
      <c r="C2" s="1" t="s">
        <v>2406</v>
      </c>
      <c r="D2">
        <v>0.115</v>
      </c>
      <c r="E2" s="1"/>
      <c r="F2" s="1"/>
    </row>
    <row r="3" spans="1:6" x14ac:dyDescent="0.35">
      <c r="A3" s="1" t="s">
        <v>61</v>
      </c>
      <c r="B3" s="1" t="s">
        <v>78</v>
      </c>
      <c r="C3" s="1" t="s">
        <v>2449</v>
      </c>
      <c r="D3">
        <v>0.18099999999999999</v>
      </c>
      <c r="E3" s="1"/>
      <c r="F3" s="1"/>
    </row>
    <row r="4" spans="1:6" x14ac:dyDescent="0.35">
      <c r="A4" s="1" t="s">
        <v>78</v>
      </c>
      <c r="B4" s="1" t="s">
        <v>93</v>
      </c>
      <c r="C4" s="1" t="s">
        <v>2451</v>
      </c>
      <c r="D4">
        <v>0.27400000000000002</v>
      </c>
      <c r="E4" s="1"/>
      <c r="F4" s="1"/>
    </row>
    <row r="5" spans="1:6" x14ac:dyDescent="0.35">
      <c r="A5" s="1" t="s">
        <v>93</v>
      </c>
      <c r="B5" s="1" t="s">
        <v>114</v>
      </c>
      <c r="C5" s="1" t="s">
        <v>2415</v>
      </c>
      <c r="D5">
        <v>0.443</v>
      </c>
      <c r="E5" s="1"/>
      <c r="F5" s="1"/>
    </row>
    <row r="6" spans="1:6" x14ac:dyDescent="0.35">
      <c r="A6" s="1" t="s">
        <v>114</v>
      </c>
      <c r="B6" s="1" t="s">
        <v>136</v>
      </c>
      <c r="C6" s="1" t="s">
        <v>2412</v>
      </c>
      <c r="D6">
        <v>0.70499999999999996</v>
      </c>
      <c r="E6" s="1"/>
      <c r="F6" s="1"/>
    </row>
    <row r="7" spans="1:6" x14ac:dyDescent="0.35">
      <c r="A7" s="1" t="s">
        <v>136</v>
      </c>
      <c r="B7" s="1" t="s">
        <v>170</v>
      </c>
      <c r="C7" s="1" t="s">
        <v>2485</v>
      </c>
      <c r="D7">
        <v>1.0959999999999999</v>
      </c>
      <c r="E7" s="1"/>
      <c r="F7" s="1"/>
    </row>
    <row r="8" spans="1:6" x14ac:dyDescent="0.35">
      <c r="A8" s="1" t="s">
        <v>170</v>
      </c>
      <c r="B8" s="1" t="s">
        <v>214</v>
      </c>
      <c r="C8" s="1" t="s">
        <v>2461</v>
      </c>
      <c r="D8">
        <v>1.74</v>
      </c>
      <c r="E8" s="1"/>
      <c r="F8" s="1"/>
    </row>
    <row r="9" spans="1:6" x14ac:dyDescent="0.35">
      <c r="A9" s="1" t="s">
        <v>221</v>
      </c>
      <c r="B9" s="1" t="s">
        <v>255</v>
      </c>
      <c r="C9" s="1" t="s">
        <v>2418</v>
      </c>
      <c r="D9">
        <v>2.4339999999999997</v>
      </c>
      <c r="E9" s="1"/>
      <c r="F9" s="1"/>
    </row>
    <row r="10" spans="1:6" x14ac:dyDescent="0.35">
      <c r="A10" s="1" t="s">
        <v>272</v>
      </c>
      <c r="B10" s="1" t="s">
        <v>302</v>
      </c>
      <c r="C10" s="1" t="s">
        <v>2467</v>
      </c>
      <c r="D10">
        <v>3.5189999999999997</v>
      </c>
      <c r="E10" s="1"/>
      <c r="F10" s="1"/>
    </row>
    <row r="11" spans="1:6" x14ac:dyDescent="0.3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35">
      <c r="A12" s="1" t="s">
        <v>337</v>
      </c>
      <c r="B12" s="1" t="s">
        <v>407</v>
      </c>
      <c r="C12" s="1" t="s">
        <v>2647</v>
      </c>
      <c r="D12">
        <v>6.7940000000000005</v>
      </c>
      <c r="E12" s="1"/>
      <c r="F12" s="1"/>
    </row>
    <row r="13" spans="1:6" x14ac:dyDescent="0.35">
      <c r="A13" s="1" t="s">
        <v>407</v>
      </c>
      <c r="B13" s="1" t="s">
        <v>447</v>
      </c>
      <c r="C13" s="1" t="s">
        <v>2795</v>
      </c>
      <c r="D13">
        <v>8.4829999999999988</v>
      </c>
      <c r="E13" s="1"/>
      <c r="F13" s="1"/>
    </row>
    <row r="14" spans="1:6" x14ac:dyDescent="0.35">
      <c r="A14" s="1" t="s">
        <v>473</v>
      </c>
      <c r="B14" s="1" t="s">
        <v>501</v>
      </c>
      <c r="C14" s="1" t="s">
        <v>2660</v>
      </c>
      <c r="D14">
        <v>11.135999999999999</v>
      </c>
      <c r="E14" s="1"/>
      <c r="F14" s="1"/>
    </row>
    <row r="15" spans="1:6" x14ac:dyDescent="0.35">
      <c r="A15" s="1" t="s">
        <v>501</v>
      </c>
      <c r="B15" s="1" t="s">
        <v>555</v>
      </c>
      <c r="C15" s="1" t="s">
        <v>2794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0C93-10DE-43FA-8F6F-56E8FBAF6DED}">
  <sheetPr codeName="Лист31"/>
  <dimension ref="A1:F40"/>
  <sheetViews>
    <sheetView zoomScale="115" zoomScaleNormal="115" workbookViewId="0">
      <selection activeCell="K23" sqref="K23"/>
    </sheetView>
  </sheetViews>
  <sheetFormatPr defaultRowHeight="14.5" x14ac:dyDescent="0.35"/>
  <cols>
    <col min="1" max="3" width="9.1796875" style="1"/>
    <col min="4" max="4" width="9.1796875" style="31"/>
  </cols>
  <sheetData>
    <row r="1" spans="1:6" x14ac:dyDescent="0.35">
      <c r="A1" s="1" t="s">
        <v>2760</v>
      </c>
      <c r="B1" s="1" t="s">
        <v>2343</v>
      </c>
      <c r="C1" s="1" t="s">
        <v>2761</v>
      </c>
      <c r="D1" s="31" t="s">
        <v>11</v>
      </c>
      <c r="E1" s="1" t="s">
        <v>2780</v>
      </c>
      <c r="F1" s="1" t="s">
        <v>3266</v>
      </c>
    </row>
    <row r="2" spans="1:6" x14ac:dyDescent="0.35">
      <c r="A2" s="27">
        <v>25</v>
      </c>
      <c r="B2" s="27">
        <v>25</v>
      </c>
      <c r="C2" s="28" t="s">
        <v>2406</v>
      </c>
      <c r="D2" s="32" t="s">
        <v>3315</v>
      </c>
      <c r="E2" s="27">
        <v>10</v>
      </c>
      <c r="F2" s="29">
        <v>100100251</v>
      </c>
    </row>
    <row r="3" spans="1:6" x14ac:dyDescent="0.35">
      <c r="A3" s="27">
        <v>32</v>
      </c>
      <c r="B3" s="27">
        <v>32</v>
      </c>
      <c r="C3" s="28" t="s">
        <v>2405</v>
      </c>
      <c r="D3" s="32" t="s">
        <v>3316</v>
      </c>
      <c r="E3" s="25">
        <v>10</v>
      </c>
      <c r="F3" s="29">
        <v>100100321</v>
      </c>
    </row>
    <row r="4" spans="1:6" x14ac:dyDescent="0.35">
      <c r="A4" s="27">
        <v>40</v>
      </c>
      <c r="B4" s="27">
        <v>40</v>
      </c>
      <c r="C4" s="28" t="s">
        <v>2449</v>
      </c>
      <c r="D4" s="32" t="s">
        <v>3317</v>
      </c>
      <c r="E4" s="25">
        <v>10</v>
      </c>
      <c r="F4" s="29">
        <v>100100401</v>
      </c>
    </row>
    <row r="5" spans="1:6" x14ac:dyDescent="0.35">
      <c r="A5" s="27">
        <v>50</v>
      </c>
      <c r="B5" s="27">
        <v>50</v>
      </c>
      <c r="C5" s="28" t="s">
        <v>2452</v>
      </c>
      <c r="D5" s="32" t="s">
        <v>3318</v>
      </c>
      <c r="E5" s="25">
        <v>10</v>
      </c>
      <c r="F5" s="29">
        <v>100100501</v>
      </c>
    </row>
    <row r="6" spans="1:6" x14ac:dyDescent="0.35">
      <c r="A6" s="27">
        <v>63</v>
      </c>
      <c r="B6" s="27">
        <v>63</v>
      </c>
      <c r="C6" s="28">
        <v>3</v>
      </c>
      <c r="D6" s="32" t="s">
        <v>3319</v>
      </c>
      <c r="E6" s="25">
        <v>10</v>
      </c>
      <c r="F6" s="29">
        <v>100100631</v>
      </c>
    </row>
    <row r="7" spans="1:6" x14ac:dyDescent="0.35">
      <c r="A7" s="27">
        <v>75</v>
      </c>
      <c r="B7" s="27">
        <v>75</v>
      </c>
      <c r="C7" s="28" t="s">
        <v>2458</v>
      </c>
      <c r="D7" s="32">
        <v>1.2450000000000001</v>
      </c>
      <c r="E7" s="25">
        <v>10</v>
      </c>
      <c r="F7" s="29">
        <v>100100751</v>
      </c>
    </row>
    <row r="8" spans="1:6" x14ac:dyDescent="0.35">
      <c r="A8" s="27">
        <v>90</v>
      </c>
      <c r="B8" s="27">
        <v>90</v>
      </c>
      <c r="C8" s="28" t="s">
        <v>2465</v>
      </c>
      <c r="D8" s="32">
        <v>1.784</v>
      </c>
      <c r="E8" s="25">
        <v>10</v>
      </c>
      <c r="F8" s="29">
        <v>100100901</v>
      </c>
    </row>
    <row r="9" spans="1:6" x14ac:dyDescent="0.35">
      <c r="A9" s="27">
        <v>110</v>
      </c>
      <c r="B9" s="27">
        <v>110</v>
      </c>
      <c r="C9" s="28" t="s">
        <v>3170</v>
      </c>
      <c r="D9" s="32" t="s">
        <v>3320</v>
      </c>
      <c r="E9" s="25">
        <v>10</v>
      </c>
      <c r="F9" s="29">
        <v>100101101</v>
      </c>
    </row>
    <row r="10" spans="1:6" x14ac:dyDescent="0.35">
      <c r="A10" s="27">
        <v>125</v>
      </c>
      <c r="B10" s="27">
        <v>125</v>
      </c>
      <c r="C10" s="28" t="s">
        <v>2419</v>
      </c>
      <c r="D10" s="32">
        <v>2.782</v>
      </c>
      <c r="E10" s="27">
        <v>10</v>
      </c>
      <c r="F10" s="29">
        <v>100101251</v>
      </c>
    </row>
    <row r="11" spans="1:6" x14ac:dyDescent="0.35">
      <c r="A11" s="27">
        <v>140</v>
      </c>
      <c r="B11" s="27">
        <v>140</v>
      </c>
      <c r="C11" s="28" t="s">
        <v>2469</v>
      </c>
      <c r="D11" s="32">
        <v>3.512</v>
      </c>
      <c r="E11" s="25">
        <v>10</v>
      </c>
      <c r="F11" s="29">
        <v>100101401</v>
      </c>
    </row>
    <row r="12" spans="1:6" x14ac:dyDescent="0.35">
      <c r="A12" s="27">
        <v>160</v>
      </c>
      <c r="B12" s="27">
        <v>160</v>
      </c>
      <c r="C12" s="28" t="s">
        <v>2484</v>
      </c>
      <c r="D12" s="32">
        <v>4.6070000000000002</v>
      </c>
      <c r="E12" s="25">
        <v>10</v>
      </c>
      <c r="F12" s="29">
        <v>100101601</v>
      </c>
    </row>
    <row r="13" spans="1:6" x14ac:dyDescent="0.35">
      <c r="A13" s="27">
        <v>200</v>
      </c>
      <c r="B13" s="27">
        <v>200</v>
      </c>
      <c r="C13" s="28" t="s">
        <v>2653</v>
      </c>
      <c r="D13" s="32">
        <v>7.1230000000000002</v>
      </c>
      <c r="E13" s="25">
        <v>10</v>
      </c>
      <c r="F13" s="29">
        <v>100102001</v>
      </c>
    </row>
    <row r="14" spans="1:6" x14ac:dyDescent="0.35">
      <c r="A14" s="27">
        <v>225</v>
      </c>
      <c r="B14" s="27">
        <v>225</v>
      </c>
      <c r="C14" s="28" t="s">
        <v>3146</v>
      </c>
      <c r="D14" s="32">
        <v>8.9570000000000007</v>
      </c>
      <c r="E14" s="25">
        <v>10</v>
      </c>
      <c r="F14" s="29">
        <v>100102253</v>
      </c>
    </row>
    <row r="15" spans="1:6" x14ac:dyDescent="0.35">
      <c r="A15" s="27">
        <v>250</v>
      </c>
      <c r="B15" s="27">
        <v>250</v>
      </c>
      <c r="C15" s="28" t="s">
        <v>3220</v>
      </c>
      <c r="D15" s="32">
        <v>11.19</v>
      </c>
      <c r="E15" s="25">
        <v>10</v>
      </c>
      <c r="F15" s="29">
        <v>100102503</v>
      </c>
    </row>
    <row r="16" spans="1:6" x14ac:dyDescent="0.35">
      <c r="A16" s="27">
        <v>280</v>
      </c>
      <c r="B16" s="27">
        <v>280</v>
      </c>
      <c r="C16" s="28" t="s">
        <v>2615</v>
      </c>
      <c r="D16" s="32">
        <v>14.007</v>
      </c>
      <c r="E16" s="25">
        <v>10</v>
      </c>
      <c r="F16" s="29">
        <v>100102803</v>
      </c>
    </row>
    <row r="17" spans="1:6" x14ac:dyDescent="0.35">
      <c r="A17" s="27">
        <v>315</v>
      </c>
      <c r="B17" s="27">
        <v>315</v>
      </c>
      <c r="C17" s="28" t="s">
        <v>3321</v>
      </c>
      <c r="D17" s="32">
        <v>17.404</v>
      </c>
      <c r="E17" s="25">
        <v>10</v>
      </c>
      <c r="F17" s="29">
        <v>100103153</v>
      </c>
    </row>
    <row r="18" spans="1:6" x14ac:dyDescent="0.35">
      <c r="A18" s="27">
        <v>355</v>
      </c>
      <c r="B18" s="27">
        <v>355</v>
      </c>
      <c r="C18" s="28" t="s">
        <v>3322</v>
      </c>
      <c r="D18" s="32">
        <v>22.170999999999999</v>
      </c>
      <c r="E18" s="25">
        <v>10</v>
      </c>
      <c r="F18" s="29">
        <v>100103553</v>
      </c>
    </row>
    <row r="19" spans="1:6" x14ac:dyDescent="0.35">
      <c r="A19" s="27">
        <v>400</v>
      </c>
      <c r="B19" s="27">
        <v>400</v>
      </c>
      <c r="C19" s="28" t="s">
        <v>3183</v>
      </c>
      <c r="D19" s="32">
        <v>28.013999999999999</v>
      </c>
      <c r="E19" s="25">
        <v>10</v>
      </c>
      <c r="F19" s="29">
        <v>100104003</v>
      </c>
    </row>
    <row r="20" spans="1:6" x14ac:dyDescent="0.35">
      <c r="A20" s="27">
        <v>450</v>
      </c>
      <c r="B20" s="27">
        <v>450</v>
      </c>
      <c r="C20" s="28" t="s">
        <v>3232</v>
      </c>
      <c r="D20" s="32" t="s">
        <v>3323</v>
      </c>
      <c r="E20" s="25">
        <v>10</v>
      </c>
      <c r="F20" s="29">
        <v>100104503</v>
      </c>
    </row>
    <row r="21" spans="1:6" x14ac:dyDescent="0.35">
      <c r="A21" s="27">
        <v>500</v>
      </c>
      <c r="B21" s="27">
        <v>500</v>
      </c>
      <c r="C21" s="28" t="s">
        <v>3241</v>
      </c>
      <c r="D21" s="32">
        <v>43.975999999999999</v>
      </c>
      <c r="E21" s="25">
        <v>10</v>
      </c>
      <c r="F21" s="29">
        <v>100105003</v>
      </c>
    </row>
    <row r="22" spans="1:6" x14ac:dyDescent="0.35">
      <c r="A22" s="27">
        <v>20</v>
      </c>
      <c r="B22" s="27">
        <v>20</v>
      </c>
      <c r="C22" s="30">
        <v>1.5</v>
      </c>
      <c r="D22" s="32" t="s">
        <v>3324</v>
      </c>
      <c r="E22" s="27">
        <v>16</v>
      </c>
      <c r="F22" s="29">
        <v>100160201</v>
      </c>
    </row>
    <row r="23" spans="1:6" x14ac:dyDescent="0.35">
      <c r="A23" s="25">
        <v>25</v>
      </c>
      <c r="B23" s="25">
        <v>25</v>
      </c>
      <c r="C23" s="30">
        <v>1.9</v>
      </c>
      <c r="D23" s="32" t="s">
        <v>3325</v>
      </c>
      <c r="E23" s="27">
        <v>16</v>
      </c>
      <c r="F23" s="29">
        <v>100160251</v>
      </c>
    </row>
    <row r="24" spans="1:6" x14ac:dyDescent="0.35">
      <c r="A24" s="25">
        <v>32</v>
      </c>
      <c r="B24" s="25">
        <v>32</v>
      </c>
      <c r="C24" s="30">
        <v>2.4</v>
      </c>
      <c r="D24" s="32" t="s">
        <v>3326</v>
      </c>
      <c r="E24" s="27">
        <v>16</v>
      </c>
      <c r="F24" s="29">
        <v>100160321</v>
      </c>
    </row>
    <row r="25" spans="1:6" x14ac:dyDescent="0.35">
      <c r="A25" s="25">
        <v>40</v>
      </c>
      <c r="B25" s="25">
        <v>40</v>
      </c>
      <c r="C25" s="30">
        <v>3</v>
      </c>
      <c r="D25" s="32" t="s">
        <v>3327</v>
      </c>
      <c r="E25" s="27">
        <v>16</v>
      </c>
      <c r="F25" s="29">
        <v>100160401</v>
      </c>
    </row>
    <row r="26" spans="1:6" x14ac:dyDescent="0.35">
      <c r="A26" s="25">
        <v>50</v>
      </c>
      <c r="B26" s="25">
        <v>50</v>
      </c>
      <c r="C26" s="30">
        <v>3.7</v>
      </c>
      <c r="D26" s="32" t="s">
        <v>3328</v>
      </c>
      <c r="E26" s="27">
        <v>16</v>
      </c>
      <c r="F26" s="29">
        <v>100160501</v>
      </c>
    </row>
    <row r="27" spans="1:6" x14ac:dyDescent="0.35">
      <c r="A27" s="25">
        <v>63</v>
      </c>
      <c r="B27" s="25">
        <v>63</v>
      </c>
      <c r="C27" s="30">
        <v>4.7</v>
      </c>
      <c r="D27" s="32">
        <v>1.3129999999999999</v>
      </c>
      <c r="E27" s="27">
        <v>16</v>
      </c>
      <c r="F27" s="29">
        <v>100160631</v>
      </c>
    </row>
    <row r="28" spans="1:6" x14ac:dyDescent="0.35">
      <c r="A28" s="25">
        <v>75</v>
      </c>
      <c r="B28" s="25">
        <v>75</v>
      </c>
      <c r="C28" s="30">
        <v>5.6</v>
      </c>
      <c r="D28" s="32">
        <v>1.86</v>
      </c>
      <c r="E28" s="27">
        <v>16</v>
      </c>
      <c r="F28" s="29">
        <v>100160751</v>
      </c>
    </row>
    <row r="29" spans="1:6" x14ac:dyDescent="0.35">
      <c r="A29" s="25">
        <v>90</v>
      </c>
      <c r="B29" s="25">
        <v>90</v>
      </c>
      <c r="C29" s="30">
        <v>6.7</v>
      </c>
      <c r="D29" s="32">
        <v>2.6629999999999998</v>
      </c>
      <c r="E29" s="27">
        <v>16</v>
      </c>
      <c r="F29" s="29">
        <v>100160901</v>
      </c>
    </row>
    <row r="30" spans="1:6" x14ac:dyDescent="0.35">
      <c r="A30" s="26">
        <v>110</v>
      </c>
      <c r="B30" s="26">
        <v>110</v>
      </c>
      <c r="C30" s="30">
        <v>6.6</v>
      </c>
      <c r="D30" s="32">
        <v>3.2679999999999998</v>
      </c>
      <c r="E30" s="27">
        <v>16</v>
      </c>
      <c r="F30" s="29">
        <v>100161101</v>
      </c>
    </row>
    <row r="31" spans="1:6" x14ac:dyDescent="0.35">
      <c r="A31" s="27">
        <v>125</v>
      </c>
      <c r="B31" s="27">
        <v>125</v>
      </c>
      <c r="C31" s="30">
        <v>7.4</v>
      </c>
      <c r="D31" s="32">
        <v>4.1689999999999996</v>
      </c>
      <c r="E31" s="27">
        <v>16</v>
      </c>
      <c r="F31" s="29">
        <v>100161251</v>
      </c>
    </row>
    <row r="32" spans="1:6" x14ac:dyDescent="0.35">
      <c r="A32" s="26">
        <v>140</v>
      </c>
      <c r="B32" s="26">
        <v>140</v>
      </c>
      <c r="C32" s="30">
        <v>8.3000000000000007</v>
      </c>
      <c r="D32" s="32">
        <v>5.2370000000000001</v>
      </c>
      <c r="E32" s="27">
        <v>16</v>
      </c>
      <c r="F32" s="29">
        <v>100161401</v>
      </c>
    </row>
    <row r="33" spans="1:6" x14ac:dyDescent="0.35">
      <c r="A33" s="26">
        <v>160</v>
      </c>
      <c r="B33" s="26">
        <v>160</v>
      </c>
      <c r="C33" s="30">
        <v>9.5</v>
      </c>
      <c r="D33" s="32">
        <v>6.8390000000000004</v>
      </c>
      <c r="E33" s="27">
        <v>16</v>
      </c>
      <c r="F33" s="29">
        <v>100161601</v>
      </c>
    </row>
    <row r="34" spans="1:6" x14ac:dyDescent="0.35">
      <c r="A34" s="26">
        <v>200</v>
      </c>
      <c r="B34" s="26">
        <v>200</v>
      </c>
      <c r="C34" s="30">
        <v>11.9</v>
      </c>
      <c r="D34" s="32">
        <v>10.616</v>
      </c>
      <c r="E34" s="27">
        <v>16</v>
      </c>
      <c r="F34" s="29">
        <v>100162001</v>
      </c>
    </row>
    <row r="35" spans="1:6" x14ac:dyDescent="0.35">
      <c r="A35" s="26">
        <v>225</v>
      </c>
      <c r="B35" s="26">
        <v>225</v>
      </c>
      <c r="C35" s="30">
        <v>13.4</v>
      </c>
      <c r="D35" s="32">
        <v>13.441000000000001</v>
      </c>
      <c r="E35" s="27">
        <v>16</v>
      </c>
      <c r="F35" s="29">
        <v>100162253</v>
      </c>
    </row>
    <row r="36" spans="1:6" x14ac:dyDescent="0.35">
      <c r="A36" s="26">
        <v>250</v>
      </c>
      <c r="B36" s="26">
        <v>250</v>
      </c>
      <c r="C36" s="30">
        <v>14.8</v>
      </c>
      <c r="D36" s="32">
        <v>16.524000000000001</v>
      </c>
      <c r="E36" s="27">
        <v>16</v>
      </c>
      <c r="F36" s="29">
        <v>100162503</v>
      </c>
    </row>
    <row r="37" spans="1:6" x14ac:dyDescent="0.35">
      <c r="A37" s="26">
        <v>280</v>
      </c>
      <c r="B37" s="26">
        <v>280</v>
      </c>
      <c r="C37" s="30">
        <v>16.600000000000001</v>
      </c>
      <c r="D37" s="32">
        <v>20.423999999999999</v>
      </c>
      <c r="E37" s="27">
        <v>16</v>
      </c>
      <c r="F37" s="29">
        <v>100162803</v>
      </c>
    </row>
    <row r="38" spans="1:6" x14ac:dyDescent="0.35">
      <c r="A38" s="26">
        <v>315</v>
      </c>
      <c r="B38" s="26">
        <v>315</v>
      </c>
      <c r="C38" s="30">
        <v>18.7</v>
      </c>
      <c r="D38" s="32">
        <v>26.815000000000001</v>
      </c>
      <c r="E38" s="27">
        <v>16</v>
      </c>
      <c r="F38" s="29">
        <v>100163153</v>
      </c>
    </row>
    <row r="39" spans="1:6" x14ac:dyDescent="0.35">
      <c r="A39" s="26">
        <v>355</v>
      </c>
      <c r="B39" s="26">
        <v>355</v>
      </c>
      <c r="C39" s="30">
        <v>21.1</v>
      </c>
      <c r="D39" s="32">
        <v>33.634999999999998</v>
      </c>
      <c r="E39" s="27">
        <v>16</v>
      </c>
      <c r="F39" s="29">
        <v>100163553</v>
      </c>
    </row>
    <row r="40" spans="1:6" x14ac:dyDescent="0.35">
      <c r="A40" s="26">
        <v>400</v>
      </c>
      <c r="B40" s="26">
        <v>400</v>
      </c>
      <c r="C40" s="30">
        <v>23.7</v>
      </c>
      <c r="D40" s="32">
        <v>42.811999999999998</v>
      </c>
      <c r="E40" s="27">
        <v>16</v>
      </c>
      <c r="F40" s="29">
        <v>100164003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H181"/>
  <sheetViews>
    <sheetView workbookViewId="0">
      <selection activeCell="L14" sqref="L14"/>
    </sheetView>
  </sheetViews>
  <sheetFormatPr defaultRowHeight="14.5" x14ac:dyDescent="0.35"/>
  <sheetData>
    <row r="1" spans="1:8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s="11" t="s">
        <v>3355</v>
      </c>
      <c r="H1" t="s">
        <v>3405</v>
      </c>
    </row>
    <row r="2" spans="1:8" ht="18" x14ac:dyDescent="0.35">
      <c r="A2" s="33">
        <v>20</v>
      </c>
      <c r="B2" s="33">
        <v>20</v>
      </c>
      <c r="C2" s="35">
        <v>11</v>
      </c>
      <c r="D2" s="34">
        <v>16</v>
      </c>
      <c r="E2" s="34" t="s">
        <v>3347</v>
      </c>
      <c r="F2" s="34">
        <v>90</v>
      </c>
      <c r="G2" s="34" t="s">
        <v>3382</v>
      </c>
      <c r="H2" s="37">
        <v>16</v>
      </c>
    </row>
    <row r="3" spans="1:8" ht="18" x14ac:dyDescent="0.35">
      <c r="A3" s="33">
        <v>25</v>
      </c>
      <c r="B3" s="33">
        <v>25</v>
      </c>
      <c r="C3" s="36">
        <v>13.5</v>
      </c>
      <c r="D3" s="34">
        <v>16</v>
      </c>
      <c r="E3" s="34" t="s">
        <v>3348</v>
      </c>
      <c r="F3" s="34">
        <v>90</v>
      </c>
      <c r="G3" s="34" t="s">
        <v>3329</v>
      </c>
      <c r="H3" s="34">
        <v>18.5</v>
      </c>
    </row>
    <row r="4" spans="1:8" ht="18" x14ac:dyDescent="0.35">
      <c r="A4" s="33">
        <v>32</v>
      </c>
      <c r="B4" s="33">
        <v>32</v>
      </c>
      <c r="C4" s="35">
        <v>17</v>
      </c>
      <c r="D4" s="34">
        <v>16</v>
      </c>
      <c r="E4" s="34" t="s">
        <v>3348</v>
      </c>
      <c r="F4" s="34">
        <v>90</v>
      </c>
      <c r="G4" s="34" t="s">
        <v>3330</v>
      </c>
      <c r="H4" s="37">
        <v>22</v>
      </c>
    </row>
    <row r="5" spans="1:8" ht="18" x14ac:dyDescent="0.35">
      <c r="A5" s="33">
        <v>40</v>
      </c>
      <c r="B5" s="33">
        <v>40</v>
      </c>
      <c r="C5" s="35">
        <v>21</v>
      </c>
      <c r="D5" s="34">
        <v>16</v>
      </c>
      <c r="E5" s="34" t="s">
        <v>3349</v>
      </c>
      <c r="F5" s="34">
        <v>90</v>
      </c>
      <c r="G5" s="34" t="s">
        <v>3331</v>
      </c>
      <c r="H5" s="37">
        <v>26</v>
      </c>
    </row>
    <row r="6" spans="1:8" ht="18" x14ac:dyDescent="0.35">
      <c r="A6" s="33">
        <v>50</v>
      </c>
      <c r="B6" s="33">
        <v>50</v>
      </c>
      <c r="C6" s="35">
        <v>26</v>
      </c>
      <c r="D6" s="34">
        <v>16</v>
      </c>
      <c r="E6" s="34" t="s">
        <v>3350</v>
      </c>
      <c r="F6" s="34">
        <v>90</v>
      </c>
      <c r="G6" s="34" t="s">
        <v>3332</v>
      </c>
      <c r="H6" s="37">
        <v>31</v>
      </c>
    </row>
    <row r="7" spans="1:8" ht="18" x14ac:dyDescent="0.35">
      <c r="A7" s="33">
        <v>63</v>
      </c>
      <c r="B7" s="33">
        <v>63</v>
      </c>
      <c r="C7" s="36">
        <v>32.5</v>
      </c>
      <c r="D7" s="34">
        <v>16</v>
      </c>
      <c r="E7" s="34" t="s">
        <v>3351</v>
      </c>
      <c r="F7" s="34">
        <v>90</v>
      </c>
      <c r="G7" s="34" t="s">
        <v>3333</v>
      </c>
      <c r="H7" s="37">
        <v>38</v>
      </c>
    </row>
    <row r="8" spans="1:8" ht="18" x14ac:dyDescent="0.35">
      <c r="A8" s="33">
        <v>75</v>
      </c>
      <c r="B8" s="33">
        <v>75</v>
      </c>
      <c r="C8" s="36">
        <v>38.5</v>
      </c>
      <c r="D8" s="34">
        <v>16</v>
      </c>
      <c r="E8" s="34" t="s">
        <v>3352</v>
      </c>
      <c r="F8" s="34">
        <v>90</v>
      </c>
      <c r="G8" s="34" t="s">
        <v>3334</v>
      </c>
      <c r="H8" s="34">
        <v>43.5</v>
      </c>
    </row>
    <row r="9" spans="1:8" ht="18" x14ac:dyDescent="0.35">
      <c r="A9" s="33">
        <v>90</v>
      </c>
      <c r="B9" s="33">
        <v>90</v>
      </c>
      <c r="C9" s="35">
        <v>46</v>
      </c>
      <c r="D9" s="34">
        <v>16</v>
      </c>
      <c r="E9" s="34" t="s">
        <v>3353</v>
      </c>
      <c r="F9" s="34">
        <v>90</v>
      </c>
      <c r="G9" s="34" t="s">
        <v>3335</v>
      </c>
      <c r="H9" s="37">
        <v>51</v>
      </c>
    </row>
    <row r="10" spans="1:8" ht="18" x14ac:dyDescent="0.35">
      <c r="A10" s="33">
        <v>110</v>
      </c>
      <c r="B10" s="33">
        <v>110</v>
      </c>
      <c r="C10" s="35">
        <v>56</v>
      </c>
      <c r="D10" s="34">
        <v>16</v>
      </c>
      <c r="E10" s="34" t="s">
        <v>3354</v>
      </c>
      <c r="F10" s="34">
        <v>90</v>
      </c>
      <c r="G10" s="34" t="s">
        <v>3336</v>
      </c>
      <c r="H10" s="37">
        <v>61</v>
      </c>
    </row>
    <row r="11" spans="1:8" ht="18" x14ac:dyDescent="0.35">
      <c r="A11" s="33">
        <v>125</v>
      </c>
      <c r="B11" s="33">
        <v>125</v>
      </c>
      <c r="C11" s="36">
        <v>63.5</v>
      </c>
      <c r="D11" s="34">
        <v>16</v>
      </c>
      <c r="E11" s="34">
        <v>1.1499999999999999</v>
      </c>
      <c r="F11" s="34">
        <v>90</v>
      </c>
      <c r="G11" s="34" t="s">
        <v>3337</v>
      </c>
      <c r="H11" s="34">
        <v>68.5</v>
      </c>
    </row>
    <row r="12" spans="1:8" ht="18" x14ac:dyDescent="0.35">
      <c r="A12" s="33">
        <v>140</v>
      </c>
      <c r="B12" s="33">
        <v>140</v>
      </c>
      <c r="C12" s="35">
        <v>71</v>
      </c>
      <c r="D12" s="34">
        <v>16</v>
      </c>
      <c r="E12" s="34">
        <v>1.53</v>
      </c>
      <c r="F12" s="34">
        <v>90</v>
      </c>
      <c r="G12" s="34" t="s">
        <v>3338</v>
      </c>
      <c r="H12" s="37">
        <v>76</v>
      </c>
    </row>
    <row r="13" spans="1:8" ht="18" x14ac:dyDescent="0.35">
      <c r="A13" s="33">
        <v>160</v>
      </c>
      <c r="B13" s="33">
        <v>160</v>
      </c>
      <c r="C13" s="35">
        <v>81</v>
      </c>
      <c r="D13" s="34">
        <v>16</v>
      </c>
      <c r="E13" s="34">
        <v>2.25</v>
      </c>
      <c r="F13" s="34">
        <v>90</v>
      </c>
      <c r="G13" s="34" t="s">
        <v>3339</v>
      </c>
      <c r="H13" s="37">
        <v>86</v>
      </c>
    </row>
    <row r="14" spans="1:8" ht="18" x14ac:dyDescent="0.35">
      <c r="A14" s="33">
        <v>200</v>
      </c>
      <c r="B14" s="33">
        <v>200</v>
      </c>
      <c r="C14" s="36">
        <v>101</v>
      </c>
      <c r="D14" s="34">
        <v>16</v>
      </c>
      <c r="E14" s="34">
        <v>4.6500000000000004</v>
      </c>
      <c r="F14" s="34">
        <v>90</v>
      </c>
      <c r="G14" s="34" t="s">
        <v>3340</v>
      </c>
      <c r="H14" s="34">
        <v>106</v>
      </c>
    </row>
    <row r="15" spans="1:8" ht="18" x14ac:dyDescent="0.35">
      <c r="A15" s="33">
        <v>225</v>
      </c>
      <c r="B15" s="33">
        <v>225</v>
      </c>
      <c r="C15" s="35">
        <v>114</v>
      </c>
      <c r="D15" s="34">
        <v>10</v>
      </c>
      <c r="E15" s="34">
        <v>4.83</v>
      </c>
      <c r="F15" s="34">
        <v>90</v>
      </c>
      <c r="G15" s="34" t="s">
        <v>3341</v>
      </c>
      <c r="H15" s="34">
        <v>118.5</v>
      </c>
    </row>
    <row r="16" spans="1:8" ht="18" x14ac:dyDescent="0.35">
      <c r="A16" s="33">
        <v>250</v>
      </c>
      <c r="B16" s="33">
        <v>250</v>
      </c>
      <c r="C16" s="36">
        <v>131</v>
      </c>
      <c r="D16" s="34">
        <v>10</v>
      </c>
      <c r="E16" s="34">
        <v>6.97</v>
      </c>
      <c r="F16" s="34">
        <v>90</v>
      </c>
      <c r="G16" s="34" t="s">
        <v>3342</v>
      </c>
      <c r="H16" s="34">
        <v>131</v>
      </c>
    </row>
    <row r="17" spans="1:8" ht="18" x14ac:dyDescent="0.35">
      <c r="A17" s="33">
        <v>280</v>
      </c>
      <c r="B17" s="33">
        <v>280</v>
      </c>
      <c r="C17" s="36">
        <v>141</v>
      </c>
      <c r="D17" s="34">
        <v>10</v>
      </c>
      <c r="E17" s="34">
        <v>8.5500000000000007</v>
      </c>
      <c r="F17" s="34">
        <v>90</v>
      </c>
      <c r="G17" s="34" t="s">
        <v>3343</v>
      </c>
      <c r="H17" s="34">
        <v>146</v>
      </c>
    </row>
    <row r="18" spans="1:8" ht="18" x14ac:dyDescent="0.35">
      <c r="A18" s="33">
        <v>315</v>
      </c>
      <c r="B18" s="33">
        <v>315</v>
      </c>
      <c r="C18" s="36">
        <v>163</v>
      </c>
      <c r="D18" s="34">
        <v>10</v>
      </c>
      <c r="E18" s="34">
        <v>12.3</v>
      </c>
      <c r="F18" s="34">
        <v>90</v>
      </c>
      <c r="G18" s="34" t="s">
        <v>3344</v>
      </c>
      <c r="H18" s="34">
        <v>163.5</v>
      </c>
    </row>
    <row r="19" spans="1:8" ht="18" x14ac:dyDescent="0.35">
      <c r="A19" s="33">
        <v>355</v>
      </c>
      <c r="B19" s="33">
        <v>355</v>
      </c>
      <c r="C19" s="36">
        <v>184</v>
      </c>
      <c r="D19" s="34">
        <v>10</v>
      </c>
      <c r="E19" s="34">
        <v>17.5</v>
      </c>
      <c r="F19" s="34">
        <v>90</v>
      </c>
      <c r="G19" s="34" t="s">
        <v>3345</v>
      </c>
      <c r="H19" s="34">
        <v>183.5</v>
      </c>
    </row>
    <row r="20" spans="1:8" ht="18" x14ac:dyDescent="0.35">
      <c r="A20" s="33">
        <v>400</v>
      </c>
      <c r="B20" s="33">
        <v>400</v>
      </c>
      <c r="C20" s="36">
        <v>206</v>
      </c>
      <c r="D20" s="34">
        <v>10</v>
      </c>
      <c r="E20" s="34">
        <v>23.5</v>
      </c>
      <c r="F20" s="34">
        <v>90</v>
      </c>
      <c r="G20" s="34" t="s">
        <v>3346</v>
      </c>
      <c r="H20" s="34">
        <v>206</v>
      </c>
    </row>
    <row r="21" spans="1:8" ht="18" x14ac:dyDescent="0.35">
      <c r="A21" s="33">
        <v>20</v>
      </c>
      <c r="B21" s="33">
        <v>20</v>
      </c>
      <c r="C21" s="35">
        <v>5</v>
      </c>
      <c r="D21" s="34">
        <v>16</v>
      </c>
      <c r="E21" s="37" t="s">
        <v>3347</v>
      </c>
      <c r="F21" s="34">
        <v>45</v>
      </c>
      <c r="G21" s="37" t="s">
        <v>3356</v>
      </c>
      <c r="H21" s="37">
        <v>16</v>
      </c>
    </row>
    <row r="22" spans="1:8" ht="18" x14ac:dyDescent="0.35">
      <c r="A22" s="33">
        <v>25</v>
      </c>
      <c r="B22" s="33">
        <v>25</v>
      </c>
      <c r="C22" s="35">
        <v>6</v>
      </c>
      <c r="D22" s="34">
        <v>16</v>
      </c>
      <c r="E22" s="37" t="s">
        <v>3347</v>
      </c>
      <c r="F22" s="34">
        <v>45</v>
      </c>
      <c r="G22" s="37" t="s">
        <v>3357</v>
      </c>
      <c r="H22" s="34">
        <v>18.5</v>
      </c>
    </row>
    <row r="23" spans="1:8" ht="18" x14ac:dyDescent="0.35">
      <c r="A23" s="33">
        <v>32</v>
      </c>
      <c r="B23" s="33">
        <v>32</v>
      </c>
      <c r="C23" s="36">
        <v>7.5</v>
      </c>
      <c r="D23" s="34">
        <v>16</v>
      </c>
      <c r="E23" s="37" t="s">
        <v>3348</v>
      </c>
      <c r="F23" s="34">
        <v>45</v>
      </c>
      <c r="G23" s="37" t="s">
        <v>3358</v>
      </c>
      <c r="H23" s="37">
        <v>22</v>
      </c>
    </row>
    <row r="24" spans="1:8" ht="15" customHeight="1" x14ac:dyDescent="0.35">
      <c r="A24" s="33">
        <v>40</v>
      </c>
      <c r="B24" s="33">
        <v>40</v>
      </c>
      <c r="C24" s="36">
        <v>9.5</v>
      </c>
      <c r="D24" s="34">
        <v>16</v>
      </c>
      <c r="E24" s="37" t="s">
        <v>3374</v>
      </c>
      <c r="F24" s="34">
        <v>45</v>
      </c>
      <c r="G24" s="37" t="s">
        <v>3359</v>
      </c>
      <c r="H24" s="37">
        <v>26</v>
      </c>
    </row>
    <row r="25" spans="1:8" ht="18" x14ac:dyDescent="0.35">
      <c r="A25" s="33">
        <v>50</v>
      </c>
      <c r="B25" s="33">
        <v>50</v>
      </c>
      <c r="C25" s="36">
        <v>11.5</v>
      </c>
      <c r="D25" s="34">
        <v>16</v>
      </c>
      <c r="E25" s="37" t="s">
        <v>3375</v>
      </c>
      <c r="F25" s="34">
        <v>45</v>
      </c>
      <c r="G25" s="37" t="s">
        <v>3360</v>
      </c>
      <c r="H25" s="37">
        <v>31</v>
      </c>
    </row>
    <row r="26" spans="1:8" ht="18" x14ac:dyDescent="0.35">
      <c r="A26" s="33">
        <v>63</v>
      </c>
      <c r="B26" s="33">
        <v>63</v>
      </c>
      <c r="C26" s="35">
        <v>14</v>
      </c>
      <c r="D26" s="34">
        <v>16</v>
      </c>
      <c r="E26" s="37" t="s">
        <v>3376</v>
      </c>
      <c r="F26" s="34">
        <v>45</v>
      </c>
      <c r="G26" s="37" t="s">
        <v>3361</v>
      </c>
      <c r="H26" s="37">
        <v>38</v>
      </c>
    </row>
    <row r="27" spans="1:8" ht="18" x14ac:dyDescent="0.35">
      <c r="A27" s="33">
        <v>75</v>
      </c>
      <c r="B27" s="33">
        <v>75</v>
      </c>
      <c r="C27" s="36">
        <v>16.5</v>
      </c>
      <c r="D27" s="34">
        <v>16</v>
      </c>
      <c r="E27" s="37" t="s">
        <v>3377</v>
      </c>
      <c r="F27" s="34">
        <v>45</v>
      </c>
      <c r="G27" s="37" t="s">
        <v>3362</v>
      </c>
      <c r="H27" s="34">
        <v>43.5</v>
      </c>
    </row>
    <row r="28" spans="1:8" ht="18" x14ac:dyDescent="0.35">
      <c r="A28" s="33">
        <v>90</v>
      </c>
      <c r="B28" s="33">
        <v>90</v>
      </c>
      <c r="C28" s="36">
        <v>19.5</v>
      </c>
      <c r="D28" s="34">
        <v>16</v>
      </c>
      <c r="E28" s="37" t="s">
        <v>3378</v>
      </c>
      <c r="F28" s="34">
        <v>45</v>
      </c>
      <c r="G28" s="37" t="s">
        <v>3363</v>
      </c>
      <c r="H28" s="37">
        <v>51</v>
      </c>
    </row>
    <row r="29" spans="1:8" ht="18" x14ac:dyDescent="0.35">
      <c r="A29" s="33">
        <v>110</v>
      </c>
      <c r="B29" s="33">
        <v>110</v>
      </c>
      <c r="C29" s="35">
        <v>24</v>
      </c>
      <c r="D29" s="34">
        <v>16</v>
      </c>
      <c r="E29" s="37" t="s">
        <v>3379</v>
      </c>
      <c r="F29" s="34">
        <v>45</v>
      </c>
      <c r="G29" s="37" t="s">
        <v>3364</v>
      </c>
      <c r="H29" s="37">
        <v>61</v>
      </c>
    </row>
    <row r="30" spans="1:8" ht="18" x14ac:dyDescent="0.35">
      <c r="A30" s="33">
        <v>125</v>
      </c>
      <c r="B30" s="33">
        <v>125</v>
      </c>
      <c r="C30" s="35">
        <v>27</v>
      </c>
      <c r="D30" s="34">
        <v>16</v>
      </c>
      <c r="E30" s="37" t="s">
        <v>3380</v>
      </c>
      <c r="F30" s="34">
        <v>45</v>
      </c>
      <c r="G30" s="37" t="s">
        <v>3365</v>
      </c>
      <c r="H30" s="34">
        <v>68.5</v>
      </c>
    </row>
    <row r="31" spans="1:8" ht="18" x14ac:dyDescent="0.35">
      <c r="A31" s="33">
        <v>140</v>
      </c>
      <c r="B31" s="33">
        <v>140</v>
      </c>
      <c r="C31" s="35">
        <v>30</v>
      </c>
      <c r="D31" s="34">
        <v>16</v>
      </c>
      <c r="E31" s="37">
        <v>1.35</v>
      </c>
      <c r="F31" s="34">
        <v>45</v>
      </c>
      <c r="G31" s="37" t="s">
        <v>3366</v>
      </c>
      <c r="H31" s="37">
        <v>76</v>
      </c>
    </row>
    <row r="32" spans="1:8" ht="18" x14ac:dyDescent="0.35">
      <c r="A32" s="33">
        <v>160</v>
      </c>
      <c r="B32" s="33">
        <v>160</v>
      </c>
      <c r="C32" s="35">
        <v>34</v>
      </c>
      <c r="D32" s="34">
        <v>16</v>
      </c>
      <c r="E32" s="37">
        <v>2</v>
      </c>
      <c r="F32" s="34">
        <v>45</v>
      </c>
      <c r="G32" s="37" t="s">
        <v>3367</v>
      </c>
      <c r="H32" s="37">
        <v>86</v>
      </c>
    </row>
    <row r="33" spans="1:8" ht="18" x14ac:dyDescent="0.35">
      <c r="A33" s="33">
        <v>200</v>
      </c>
      <c r="B33" s="33">
        <v>200</v>
      </c>
      <c r="C33" s="35">
        <v>43</v>
      </c>
      <c r="D33" s="34">
        <v>10</v>
      </c>
      <c r="E33" s="37">
        <v>3.7</v>
      </c>
      <c r="F33" s="34">
        <v>45</v>
      </c>
      <c r="G33" s="37" t="s">
        <v>3368</v>
      </c>
      <c r="H33" s="34">
        <v>106</v>
      </c>
    </row>
    <row r="34" spans="1:8" ht="18" x14ac:dyDescent="0.35">
      <c r="A34" s="33">
        <v>225</v>
      </c>
      <c r="B34" s="33">
        <v>225</v>
      </c>
      <c r="C34" s="35">
        <v>48</v>
      </c>
      <c r="D34" s="34">
        <v>10</v>
      </c>
      <c r="E34" s="37">
        <v>4</v>
      </c>
      <c r="F34" s="34">
        <v>45</v>
      </c>
      <c r="G34" s="37" t="s">
        <v>3369</v>
      </c>
      <c r="H34" s="34">
        <v>118.5</v>
      </c>
    </row>
    <row r="35" spans="1:8" ht="18" x14ac:dyDescent="0.35">
      <c r="A35" s="33">
        <v>250</v>
      </c>
      <c r="B35" s="33">
        <v>250</v>
      </c>
      <c r="C35" s="35">
        <v>53</v>
      </c>
      <c r="D35" s="34">
        <v>10</v>
      </c>
      <c r="E35" s="37">
        <v>5.47</v>
      </c>
      <c r="F35" s="34">
        <v>45</v>
      </c>
      <c r="G35" s="37" t="s">
        <v>3370</v>
      </c>
      <c r="H35" s="34">
        <v>131</v>
      </c>
    </row>
    <row r="36" spans="1:8" ht="18" x14ac:dyDescent="0.35">
      <c r="A36" s="33">
        <v>280</v>
      </c>
      <c r="B36" s="33">
        <v>280</v>
      </c>
      <c r="C36" s="35">
        <v>59</v>
      </c>
      <c r="D36" s="34">
        <v>10</v>
      </c>
      <c r="E36" s="37">
        <v>7.51</v>
      </c>
      <c r="F36" s="34">
        <v>45</v>
      </c>
      <c r="G36" s="37" t="s">
        <v>3381</v>
      </c>
      <c r="H36" s="34">
        <v>146</v>
      </c>
    </row>
    <row r="37" spans="1:8" ht="18" x14ac:dyDescent="0.35">
      <c r="A37" s="33">
        <v>315</v>
      </c>
      <c r="B37" s="33">
        <v>315</v>
      </c>
      <c r="C37" s="35">
        <v>63</v>
      </c>
      <c r="D37" s="34">
        <v>10</v>
      </c>
      <c r="E37" s="37">
        <v>9.1999999999999993</v>
      </c>
      <c r="F37" s="34">
        <v>45</v>
      </c>
      <c r="G37" s="37" t="s">
        <v>3371</v>
      </c>
      <c r="H37" s="34">
        <v>163.5</v>
      </c>
    </row>
    <row r="38" spans="1:8" ht="18" x14ac:dyDescent="0.35">
      <c r="A38" s="33">
        <v>355</v>
      </c>
      <c r="B38" s="33">
        <v>355</v>
      </c>
      <c r="C38" s="35">
        <v>67</v>
      </c>
      <c r="D38" s="34">
        <v>10</v>
      </c>
      <c r="E38" s="37">
        <v>9.65</v>
      </c>
      <c r="F38" s="34">
        <v>45</v>
      </c>
      <c r="G38" s="37" t="s">
        <v>3372</v>
      </c>
      <c r="H38" s="34">
        <v>183.5</v>
      </c>
    </row>
    <row r="39" spans="1:8" ht="18" x14ac:dyDescent="0.35">
      <c r="A39" s="33">
        <v>400</v>
      </c>
      <c r="B39" s="33">
        <v>400</v>
      </c>
      <c r="C39" s="35">
        <v>72</v>
      </c>
      <c r="D39" s="34">
        <v>10</v>
      </c>
      <c r="E39" s="37">
        <v>5</v>
      </c>
      <c r="F39" s="34">
        <v>45</v>
      </c>
      <c r="G39" s="37" t="s">
        <v>3373</v>
      </c>
      <c r="H39" s="34">
        <v>206</v>
      </c>
    </row>
    <row r="40" spans="1:8" x14ac:dyDescent="0.35">
      <c r="A40" s="11"/>
      <c r="C40" s="11"/>
      <c r="E40" s="11"/>
    </row>
    <row r="41" spans="1:8" x14ac:dyDescent="0.35">
      <c r="A41" s="11"/>
      <c r="C41" s="11"/>
      <c r="E41" s="11"/>
    </row>
    <row r="42" spans="1:8" x14ac:dyDescent="0.35">
      <c r="A42" s="11"/>
      <c r="C42" s="11"/>
      <c r="E42" s="11"/>
    </row>
    <row r="43" spans="1:8" x14ac:dyDescent="0.35">
      <c r="A43" s="11"/>
      <c r="C43" s="11"/>
      <c r="E43" s="11"/>
    </row>
    <row r="44" spans="1:8" x14ac:dyDescent="0.35">
      <c r="A44" s="11"/>
      <c r="C44" s="11"/>
      <c r="E44" s="11"/>
    </row>
    <row r="45" spans="1:8" x14ac:dyDescent="0.35">
      <c r="A45" s="11"/>
      <c r="C45" s="11"/>
      <c r="E45" s="11"/>
    </row>
    <row r="46" spans="1:8" x14ac:dyDescent="0.35">
      <c r="A46" s="11"/>
      <c r="C46" s="11"/>
      <c r="E46" s="11"/>
    </row>
    <row r="47" spans="1:8" x14ac:dyDescent="0.35">
      <c r="A47" s="11"/>
      <c r="C47" s="11"/>
      <c r="E47" s="11"/>
    </row>
    <row r="48" spans="1:8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820F-24F3-42D4-8238-E99795B9F906}">
  <sheetPr codeName="Лист26"/>
  <dimension ref="A1:G181"/>
  <sheetViews>
    <sheetView zoomScale="175" zoomScaleNormal="175" workbookViewId="0">
      <selection activeCell="E27" sqref="E27"/>
    </sheetView>
  </sheetViews>
  <sheetFormatPr defaultRowHeight="14.5" x14ac:dyDescent="0.35"/>
  <sheetData>
    <row r="1" spans="1:7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t="s">
        <v>3405</v>
      </c>
    </row>
    <row r="2" spans="1:7" x14ac:dyDescent="0.35">
      <c r="A2" s="33">
        <v>20</v>
      </c>
      <c r="B2" s="33">
        <v>20</v>
      </c>
      <c r="C2" s="34">
        <v>11</v>
      </c>
      <c r="D2" s="34">
        <v>20</v>
      </c>
      <c r="E2" s="34" t="s">
        <v>3347</v>
      </c>
      <c r="F2" s="34">
        <v>90</v>
      </c>
      <c r="G2" s="37">
        <v>14</v>
      </c>
    </row>
    <row r="3" spans="1:7" x14ac:dyDescent="0.35">
      <c r="A3" s="33">
        <v>25</v>
      </c>
      <c r="B3" s="33">
        <v>25</v>
      </c>
      <c r="C3" s="34">
        <v>14</v>
      </c>
      <c r="D3" s="34">
        <v>20</v>
      </c>
      <c r="E3" s="34" t="s">
        <v>3348</v>
      </c>
      <c r="F3" s="34">
        <v>90</v>
      </c>
      <c r="G3" s="34">
        <v>16</v>
      </c>
    </row>
    <row r="4" spans="1:7" x14ac:dyDescent="0.35">
      <c r="A4" s="33">
        <v>32</v>
      </c>
      <c r="B4" s="33">
        <v>32</v>
      </c>
      <c r="C4" s="34">
        <v>18</v>
      </c>
      <c r="D4" s="34">
        <v>20</v>
      </c>
      <c r="E4" s="34" t="s">
        <v>3348</v>
      </c>
      <c r="F4" s="34">
        <v>90</v>
      </c>
      <c r="G4" s="37">
        <v>18</v>
      </c>
    </row>
    <row r="5" spans="1:7" x14ac:dyDescent="0.35">
      <c r="A5" s="33">
        <v>40</v>
      </c>
      <c r="B5" s="33">
        <v>40</v>
      </c>
      <c r="C5" s="25">
        <v>20</v>
      </c>
      <c r="D5" s="34">
        <v>20</v>
      </c>
      <c r="E5" s="34" t="s">
        <v>3349</v>
      </c>
      <c r="F5" s="34">
        <v>90</v>
      </c>
      <c r="G5" s="37">
        <v>20.5</v>
      </c>
    </row>
    <row r="6" spans="1:7" x14ac:dyDescent="0.35">
      <c r="A6" s="33">
        <v>50</v>
      </c>
      <c r="B6" s="33">
        <v>50</v>
      </c>
      <c r="C6" s="25">
        <v>26</v>
      </c>
      <c r="D6" s="34">
        <v>20</v>
      </c>
      <c r="E6" s="34" t="s">
        <v>3350</v>
      </c>
      <c r="F6" s="34">
        <v>90</v>
      </c>
      <c r="G6" s="37">
        <v>23.5</v>
      </c>
    </row>
    <row r="7" spans="1:7" x14ac:dyDescent="0.35">
      <c r="A7" s="33">
        <v>63</v>
      </c>
      <c r="B7" s="33">
        <v>63</v>
      </c>
      <c r="C7" s="25">
        <v>32.5</v>
      </c>
      <c r="D7" s="34">
        <v>20</v>
      </c>
      <c r="E7" s="34" t="s">
        <v>3351</v>
      </c>
      <c r="F7" s="34">
        <v>90</v>
      </c>
      <c r="G7" s="37">
        <v>27</v>
      </c>
    </row>
    <row r="8" spans="1:7" x14ac:dyDescent="0.35">
      <c r="A8" s="33">
        <v>75</v>
      </c>
      <c r="B8" s="33">
        <v>75</v>
      </c>
      <c r="C8" s="25">
        <v>39</v>
      </c>
      <c r="D8" s="34">
        <v>20</v>
      </c>
      <c r="E8" s="34" t="s">
        <v>3352</v>
      </c>
      <c r="F8" s="34">
        <v>90</v>
      </c>
      <c r="G8" s="34">
        <v>30.5</v>
      </c>
    </row>
    <row r="9" spans="1:7" x14ac:dyDescent="0.35">
      <c r="A9" s="33">
        <v>90</v>
      </c>
      <c r="B9" s="33">
        <v>90</v>
      </c>
      <c r="C9" s="25">
        <v>46.5</v>
      </c>
      <c r="D9" s="34">
        <v>20</v>
      </c>
      <c r="E9" s="34" t="s">
        <v>3353</v>
      </c>
      <c r="F9" s="34">
        <v>90</v>
      </c>
      <c r="G9" s="37">
        <v>33</v>
      </c>
    </row>
    <row r="10" spans="1:7" x14ac:dyDescent="0.35">
      <c r="A10" s="33">
        <v>110</v>
      </c>
      <c r="B10" s="33">
        <v>110</v>
      </c>
      <c r="C10" s="25">
        <v>56</v>
      </c>
      <c r="D10" s="34">
        <v>20</v>
      </c>
      <c r="E10" s="34" t="s">
        <v>3354</v>
      </c>
      <c r="F10" s="34">
        <v>90</v>
      </c>
      <c r="G10" s="37">
        <v>37</v>
      </c>
    </row>
    <row r="11" spans="1:7" x14ac:dyDescent="0.35">
      <c r="A11" s="33">
        <v>20</v>
      </c>
      <c r="B11" s="33">
        <v>20</v>
      </c>
      <c r="C11" s="34">
        <v>11</v>
      </c>
      <c r="D11" s="34">
        <v>20</v>
      </c>
      <c r="E11" s="34">
        <v>5.0000000000000001E-3</v>
      </c>
      <c r="F11" s="34">
        <v>45</v>
      </c>
      <c r="G11" s="37">
        <v>14</v>
      </c>
    </row>
    <row r="12" spans="1:7" x14ac:dyDescent="0.35">
      <c r="A12" s="33">
        <v>25</v>
      </c>
      <c r="B12" s="33">
        <v>25</v>
      </c>
      <c r="C12" s="34">
        <v>14</v>
      </c>
      <c r="D12" s="34">
        <v>20</v>
      </c>
      <c r="E12" s="34">
        <v>0.01</v>
      </c>
      <c r="F12" s="34">
        <v>45</v>
      </c>
      <c r="G12" s="34">
        <v>16</v>
      </c>
    </row>
    <row r="13" spans="1:7" x14ac:dyDescent="0.35">
      <c r="A13" s="33">
        <v>32</v>
      </c>
      <c r="B13" s="33">
        <v>32</v>
      </c>
      <c r="C13" s="34">
        <v>18</v>
      </c>
      <c r="D13" s="34">
        <v>20</v>
      </c>
      <c r="E13" s="34">
        <v>0.01</v>
      </c>
      <c r="F13" s="34">
        <v>45</v>
      </c>
      <c r="G13" s="37">
        <v>18</v>
      </c>
    </row>
    <row r="14" spans="1:7" x14ac:dyDescent="0.35">
      <c r="A14" s="33">
        <v>40</v>
      </c>
      <c r="B14" s="33">
        <v>40</v>
      </c>
      <c r="C14" s="25">
        <v>20</v>
      </c>
      <c r="D14" s="34">
        <v>20</v>
      </c>
      <c r="E14" s="34">
        <v>2.5000000000000001E-2</v>
      </c>
      <c r="F14" s="34">
        <v>45</v>
      </c>
      <c r="G14" s="37">
        <v>20.5</v>
      </c>
    </row>
    <row r="15" spans="1:7" x14ac:dyDescent="0.35">
      <c r="A15" s="33">
        <v>50</v>
      </c>
      <c r="B15" s="33">
        <v>50</v>
      </c>
      <c r="C15" s="25">
        <v>26</v>
      </c>
      <c r="D15" s="34">
        <v>20</v>
      </c>
      <c r="E15" s="34">
        <v>4.4999999999999998E-2</v>
      </c>
      <c r="F15" s="34">
        <v>45</v>
      </c>
      <c r="G15" s="37">
        <v>23.5</v>
      </c>
    </row>
    <row r="16" spans="1:7" x14ac:dyDescent="0.35">
      <c r="A16" s="33">
        <v>63</v>
      </c>
      <c r="B16" s="33">
        <v>63</v>
      </c>
      <c r="C16" s="25">
        <v>32.5</v>
      </c>
      <c r="D16" s="34">
        <v>20</v>
      </c>
      <c r="E16" s="34">
        <v>0.09</v>
      </c>
      <c r="F16" s="34">
        <v>45</v>
      </c>
      <c r="G16" s="37">
        <v>27</v>
      </c>
    </row>
    <row r="17" spans="1:7" x14ac:dyDescent="0.35">
      <c r="A17" s="33">
        <v>75</v>
      </c>
      <c r="B17" s="33">
        <v>75</v>
      </c>
      <c r="C17" s="25">
        <v>39</v>
      </c>
      <c r="D17" s="34">
        <v>20</v>
      </c>
      <c r="E17" s="34">
        <v>0.155</v>
      </c>
      <c r="F17" s="34">
        <v>45</v>
      </c>
      <c r="G17" s="34">
        <v>30.5</v>
      </c>
    </row>
    <row r="18" spans="1:7" x14ac:dyDescent="0.35">
      <c r="A18" s="33">
        <v>90</v>
      </c>
      <c r="B18" s="33">
        <v>90</v>
      </c>
      <c r="C18" s="25">
        <v>46.5</v>
      </c>
      <c r="D18" s="34">
        <v>20</v>
      </c>
      <c r="E18" s="34">
        <v>0.21</v>
      </c>
      <c r="F18" s="34">
        <v>45</v>
      </c>
      <c r="G18" s="37">
        <v>33</v>
      </c>
    </row>
    <row r="19" spans="1:7" x14ac:dyDescent="0.35">
      <c r="A19" s="33">
        <v>110</v>
      </c>
      <c r="B19" s="33">
        <v>110</v>
      </c>
      <c r="C19" s="25">
        <v>56</v>
      </c>
      <c r="D19" s="34">
        <v>20</v>
      </c>
      <c r="E19" s="34">
        <v>0.375</v>
      </c>
      <c r="F19" s="34">
        <v>45</v>
      </c>
      <c r="G19" s="37">
        <v>37</v>
      </c>
    </row>
    <row r="20" spans="1:7" x14ac:dyDescent="0.35">
      <c r="A20" s="33"/>
      <c r="B20" s="33"/>
      <c r="C20" s="36"/>
      <c r="D20" s="34"/>
      <c r="E20" s="34"/>
      <c r="F20" s="34"/>
      <c r="G20" s="34"/>
    </row>
    <row r="21" spans="1:7" x14ac:dyDescent="0.35">
      <c r="A21" s="33"/>
      <c r="B21" s="33"/>
      <c r="C21" s="35"/>
      <c r="D21" s="34"/>
      <c r="E21" s="37"/>
      <c r="F21" s="34"/>
      <c r="G21" s="37"/>
    </row>
    <row r="22" spans="1:7" x14ac:dyDescent="0.35">
      <c r="A22" s="33"/>
      <c r="B22" s="33"/>
      <c r="C22" s="35"/>
      <c r="D22" s="34"/>
      <c r="E22" s="37"/>
      <c r="F22" s="34"/>
      <c r="G22" s="34"/>
    </row>
    <row r="23" spans="1:7" x14ac:dyDescent="0.35">
      <c r="A23" s="33"/>
      <c r="B23" s="33"/>
      <c r="C23" s="36"/>
      <c r="D23" s="34"/>
      <c r="E23" s="37"/>
      <c r="F23" s="34"/>
      <c r="G23" s="37"/>
    </row>
    <row r="24" spans="1:7" ht="15" customHeight="1" x14ac:dyDescent="0.35">
      <c r="A24" s="33"/>
      <c r="B24" s="33"/>
      <c r="C24" s="36"/>
      <c r="D24" s="34"/>
      <c r="E24" s="37"/>
      <c r="F24" s="34"/>
      <c r="G24" s="37"/>
    </row>
    <row r="25" spans="1:7" x14ac:dyDescent="0.35">
      <c r="A25" s="33"/>
      <c r="B25" s="33"/>
      <c r="C25" s="36"/>
      <c r="D25" s="34"/>
      <c r="E25" s="37"/>
      <c r="F25" s="34"/>
      <c r="G25" s="37"/>
    </row>
    <row r="26" spans="1:7" x14ac:dyDescent="0.35">
      <c r="A26" s="33"/>
      <c r="B26" s="33"/>
      <c r="C26" s="35"/>
      <c r="D26" s="34"/>
      <c r="E26" s="37"/>
      <c r="F26" s="34"/>
      <c r="G26" s="37"/>
    </row>
    <row r="27" spans="1:7" x14ac:dyDescent="0.35">
      <c r="A27" s="33"/>
      <c r="B27" s="33"/>
      <c r="C27" s="36"/>
      <c r="D27" s="34"/>
      <c r="E27" s="37"/>
      <c r="F27" s="34"/>
      <c r="G27" s="34"/>
    </row>
    <row r="28" spans="1:7" x14ac:dyDescent="0.35">
      <c r="A28" s="33"/>
      <c r="B28" s="33"/>
      <c r="C28" s="36"/>
      <c r="D28" s="34"/>
      <c r="E28" s="37"/>
      <c r="F28" s="34"/>
      <c r="G28" s="37"/>
    </row>
    <row r="29" spans="1:7" x14ac:dyDescent="0.35">
      <c r="A29" s="33"/>
      <c r="B29" s="33"/>
      <c r="C29" s="35"/>
      <c r="D29" s="34"/>
      <c r="E29" s="37"/>
      <c r="F29" s="34"/>
      <c r="G29" s="37"/>
    </row>
    <row r="30" spans="1:7" x14ac:dyDescent="0.35">
      <c r="A30" s="33"/>
      <c r="B30" s="33"/>
      <c r="C30" s="35"/>
      <c r="D30" s="34"/>
      <c r="E30" s="37"/>
      <c r="F30" s="34"/>
      <c r="G30" s="34"/>
    </row>
    <row r="31" spans="1:7" x14ac:dyDescent="0.35">
      <c r="A31" s="33"/>
      <c r="B31" s="33"/>
      <c r="C31" s="35"/>
      <c r="D31" s="34"/>
      <c r="E31" s="37"/>
      <c r="F31" s="34"/>
      <c r="G31" s="37"/>
    </row>
    <row r="32" spans="1:7" x14ac:dyDescent="0.35">
      <c r="A32" s="33"/>
      <c r="B32" s="33"/>
      <c r="C32" s="35"/>
      <c r="D32" s="34"/>
      <c r="E32" s="37"/>
      <c r="F32" s="34"/>
      <c r="G32" s="37"/>
    </row>
    <row r="33" spans="1:7" x14ac:dyDescent="0.35">
      <c r="A33" s="33"/>
      <c r="B33" s="33"/>
      <c r="C33" s="35"/>
      <c r="D33" s="34"/>
      <c r="E33" s="37"/>
      <c r="F33" s="34"/>
      <c r="G33" s="34"/>
    </row>
    <row r="34" spans="1:7" x14ac:dyDescent="0.35">
      <c r="A34" s="33"/>
      <c r="B34" s="33"/>
      <c r="C34" s="35"/>
      <c r="D34" s="34"/>
      <c r="E34" s="37"/>
      <c r="F34" s="34"/>
      <c r="G34" s="34"/>
    </row>
    <row r="35" spans="1:7" x14ac:dyDescent="0.35">
      <c r="A35" s="33"/>
      <c r="B35" s="33"/>
      <c r="C35" s="35"/>
      <c r="D35" s="34"/>
      <c r="E35" s="37"/>
      <c r="F35" s="34"/>
      <c r="G35" s="34"/>
    </row>
    <row r="36" spans="1:7" x14ac:dyDescent="0.35">
      <c r="A36" s="33"/>
      <c r="B36" s="33"/>
      <c r="C36" s="35"/>
      <c r="D36" s="34"/>
      <c r="E36" s="37"/>
      <c r="F36" s="34"/>
      <c r="G36" s="34"/>
    </row>
    <row r="37" spans="1:7" x14ac:dyDescent="0.35">
      <c r="A37" s="33"/>
      <c r="B37" s="33"/>
      <c r="C37" s="35"/>
      <c r="D37" s="34"/>
      <c r="E37" s="37"/>
      <c r="F37" s="34"/>
      <c r="G37" s="34"/>
    </row>
    <row r="38" spans="1:7" x14ac:dyDescent="0.35">
      <c r="A38" s="33"/>
      <c r="B38" s="33"/>
      <c r="C38" s="35"/>
      <c r="D38" s="34"/>
      <c r="E38" s="37"/>
      <c r="F38" s="34"/>
      <c r="G38" s="34"/>
    </row>
    <row r="39" spans="1:7" x14ac:dyDescent="0.35">
      <c r="A39" s="33"/>
      <c r="B39" s="33"/>
      <c r="C39" s="35"/>
      <c r="D39" s="34"/>
      <c r="E39" s="37"/>
      <c r="F39" s="34"/>
      <c r="G39" s="34"/>
    </row>
    <row r="40" spans="1:7" x14ac:dyDescent="0.35">
      <c r="A40" s="11"/>
      <c r="C40" s="11"/>
      <c r="E40" s="11"/>
    </row>
    <row r="41" spans="1:7" x14ac:dyDescent="0.35">
      <c r="A41" s="11"/>
      <c r="C41" s="11"/>
      <c r="E41" s="11"/>
    </row>
    <row r="42" spans="1:7" x14ac:dyDescent="0.35">
      <c r="A42" s="11"/>
      <c r="C42" s="11"/>
      <c r="E42" s="11"/>
    </row>
    <row r="43" spans="1:7" x14ac:dyDescent="0.35">
      <c r="A43" s="11"/>
      <c r="C43" s="11"/>
      <c r="E43" s="11"/>
    </row>
    <row r="44" spans="1:7" x14ac:dyDescent="0.35">
      <c r="A44" s="11"/>
      <c r="C44" s="11"/>
      <c r="E44" s="11"/>
    </row>
    <row r="45" spans="1:7" x14ac:dyDescent="0.35">
      <c r="A45" s="11"/>
      <c r="C45" s="11"/>
      <c r="E45" s="11"/>
    </row>
    <row r="46" spans="1:7" x14ac:dyDescent="0.35">
      <c r="A46" s="11"/>
      <c r="C46" s="11"/>
      <c r="E46" s="11"/>
    </row>
    <row r="47" spans="1:7" x14ac:dyDescent="0.35">
      <c r="A47" s="11"/>
      <c r="C47" s="11"/>
      <c r="E47" s="11"/>
    </row>
    <row r="48" spans="1:7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B922-C9C8-472F-A4E2-6A4025E45F8A}">
  <sheetPr codeName="Лист32"/>
  <dimension ref="A1:S225"/>
  <sheetViews>
    <sheetView zoomScale="85" zoomScaleNormal="85" workbookViewId="0">
      <selection activeCell="L38" sqref="L38"/>
    </sheetView>
  </sheetViews>
  <sheetFormatPr defaultRowHeight="14.5" x14ac:dyDescent="0.35"/>
  <cols>
    <col min="8" max="8" width="29.54296875" customWidth="1"/>
  </cols>
  <sheetData>
    <row r="1" spans="1:9" ht="50.25" customHeight="1" x14ac:dyDescent="0.35">
      <c r="A1" s="11" t="s">
        <v>2381</v>
      </c>
      <c r="B1" t="s">
        <v>12</v>
      </c>
      <c r="C1" t="s">
        <v>2383</v>
      </c>
      <c r="D1" t="s">
        <v>2392</v>
      </c>
      <c r="E1" t="s">
        <v>2386</v>
      </c>
      <c r="F1" s="13" t="s">
        <v>2982</v>
      </c>
      <c r="G1" s="11" t="s">
        <v>2387</v>
      </c>
      <c r="H1" t="s">
        <v>3355</v>
      </c>
      <c r="I1" t="s">
        <v>3405</v>
      </c>
    </row>
    <row r="2" spans="1:9" ht="15" customHeight="1" x14ac:dyDescent="0.35">
      <c r="A2" s="33">
        <v>20</v>
      </c>
      <c r="B2" s="33">
        <v>20</v>
      </c>
      <c r="C2" s="33">
        <v>20</v>
      </c>
      <c r="D2">
        <v>22</v>
      </c>
      <c r="E2">
        <v>2</v>
      </c>
      <c r="F2" s="34">
        <v>16</v>
      </c>
      <c r="G2" s="37" t="s">
        <v>3348</v>
      </c>
      <c r="H2" s="37" t="s">
        <v>3388</v>
      </c>
      <c r="I2" s="37">
        <v>16</v>
      </c>
    </row>
    <row r="3" spans="1:9" x14ac:dyDescent="0.35">
      <c r="A3" s="33">
        <v>25</v>
      </c>
      <c r="B3" s="33">
        <v>25</v>
      </c>
      <c r="C3" s="33">
        <v>25</v>
      </c>
      <c r="D3">
        <v>27</v>
      </c>
      <c r="E3">
        <v>2</v>
      </c>
      <c r="F3" s="34">
        <v>16</v>
      </c>
      <c r="G3" s="37" t="s">
        <v>3374</v>
      </c>
      <c r="H3" s="37" t="s">
        <v>3389</v>
      </c>
      <c r="I3" s="34">
        <v>18.5</v>
      </c>
    </row>
    <row r="4" spans="1:9" x14ac:dyDescent="0.35">
      <c r="A4" s="33">
        <v>32</v>
      </c>
      <c r="B4" s="33">
        <v>32</v>
      </c>
      <c r="C4" s="33">
        <v>32</v>
      </c>
      <c r="D4">
        <v>34</v>
      </c>
      <c r="E4">
        <v>2</v>
      </c>
      <c r="F4" s="34">
        <v>16</v>
      </c>
      <c r="G4" s="37" t="s">
        <v>3375</v>
      </c>
      <c r="H4" s="37" t="s">
        <v>3390</v>
      </c>
      <c r="I4" s="37">
        <v>22</v>
      </c>
    </row>
    <row r="5" spans="1:9" x14ac:dyDescent="0.35">
      <c r="A5" s="33">
        <v>40</v>
      </c>
      <c r="B5" s="33">
        <v>40</v>
      </c>
      <c r="C5" s="33">
        <v>40</v>
      </c>
      <c r="D5">
        <v>42</v>
      </c>
      <c r="E5">
        <v>2</v>
      </c>
      <c r="F5" s="34">
        <v>16</v>
      </c>
      <c r="G5" s="37" t="s">
        <v>3383</v>
      </c>
      <c r="H5" s="37" t="s">
        <v>3391</v>
      </c>
      <c r="I5" s="37">
        <v>26</v>
      </c>
    </row>
    <row r="6" spans="1:9" ht="15" customHeight="1" x14ac:dyDescent="0.35">
      <c r="A6" s="33">
        <v>50</v>
      </c>
      <c r="B6" s="33">
        <v>50</v>
      </c>
      <c r="C6" s="33">
        <v>50</v>
      </c>
      <c r="D6">
        <v>52</v>
      </c>
      <c r="E6">
        <v>2</v>
      </c>
      <c r="F6" s="34">
        <v>16</v>
      </c>
      <c r="G6" s="37" t="s">
        <v>3384</v>
      </c>
      <c r="H6" s="37" t="s">
        <v>3392</v>
      </c>
      <c r="I6" s="37">
        <v>31</v>
      </c>
    </row>
    <row r="7" spans="1:9" x14ac:dyDescent="0.35">
      <c r="A7" s="33">
        <v>63</v>
      </c>
      <c r="B7" s="33">
        <v>63</v>
      </c>
      <c r="C7" s="33">
        <v>63</v>
      </c>
      <c r="D7">
        <v>65</v>
      </c>
      <c r="E7">
        <v>2</v>
      </c>
      <c r="F7" s="34">
        <v>16</v>
      </c>
      <c r="G7" s="37" t="s">
        <v>3385</v>
      </c>
      <c r="H7" s="37" t="s">
        <v>3393</v>
      </c>
      <c r="I7" s="37">
        <v>38</v>
      </c>
    </row>
    <row r="8" spans="1:9" ht="15" customHeight="1" x14ac:dyDescent="0.35">
      <c r="A8" s="33">
        <v>75</v>
      </c>
      <c r="B8" s="33">
        <v>75</v>
      </c>
      <c r="C8" s="33">
        <v>75</v>
      </c>
      <c r="D8">
        <v>77</v>
      </c>
      <c r="E8">
        <v>2</v>
      </c>
      <c r="F8" s="34">
        <v>16</v>
      </c>
      <c r="G8" s="37" t="s">
        <v>3386</v>
      </c>
      <c r="H8" s="37" t="s">
        <v>3394</v>
      </c>
      <c r="I8" s="34">
        <v>43.5</v>
      </c>
    </row>
    <row r="9" spans="1:9" x14ac:dyDescent="0.35">
      <c r="A9" s="33">
        <v>90</v>
      </c>
      <c r="B9" s="33">
        <v>90</v>
      </c>
      <c r="C9" s="33">
        <v>90</v>
      </c>
      <c r="D9">
        <v>92</v>
      </c>
      <c r="E9">
        <v>2</v>
      </c>
      <c r="F9" s="34">
        <v>16</v>
      </c>
      <c r="G9" s="37" t="s">
        <v>3387</v>
      </c>
      <c r="H9" s="37" t="s">
        <v>3395</v>
      </c>
      <c r="I9" s="37">
        <v>51</v>
      </c>
    </row>
    <row r="10" spans="1:9" ht="15" customHeight="1" x14ac:dyDescent="0.35">
      <c r="A10" s="33">
        <v>110</v>
      </c>
      <c r="B10" s="33">
        <v>110</v>
      </c>
      <c r="C10" s="33">
        <v>110</v>
      </c>
      <c r="D10">
        <v>112</v>
      </c>
      <c r="E10">
        <v>2</v>
      </c>
      <c r="F10" s="34">
        <v>16</v>
      </c>
      <c r="G10" s="37">
        <v>1.05</v>
      </c>
      <c r="H10" s="37" t="s">
        <v>3396</v>
      </c>
      <c r="I10" s="37">
        <v>61</v>
      </c>
    </row>
    <row r="11" spans="1:9" x14ac:dyDescent="0.35">
      <c r="A11" s="33">
        <v>125</v>
      </c>
      <c r="B11" s="33">
        <v>125</v>
      </c>
      <c r="C11" s="33">
        <v>125</v>
      </c>
      <c r="D11">
        <v>127</v>
      </c>
      <c r="E11">
        <v>2</v>
      </c>
      <c r="F11" s="34">
        <v>16</v>
      </c>
      <c r="G11" s="37">
        <v>2.09</v>
      </c>
      <c r="H11" s="37" t="s">
        <v>3397</v>
      </c>
      <c r="I11" s="34">
        <v>68.5</v>
      </c>
    </row>
    <row r="12" spans="1:9" x14ac:dyDescent="0.35">
      <c r="A12" s="33">
        <v>140</v>
      </c>
      <c r="B12" s="33">
        <v>140</v>
      </c>
      <c r="C12" s="33">
        <v>140</v>
      </c>
      <c r="D12">
        <v>142</v>
      </c>
      <c r="E12">
        <v>2</v>
      </c>
      <c r="F12" s="34">
        <v>16</v>
      </c>
      <c r="G12" s="37">
        <v>2.1800000000000002</v>
      </c>
      <c r="H12" s="37" t="s">
        <v>3398</v>
      </c>
      <c r="I12" s="37">
        <v>76</v>
      </c>
    </row>
    <row r="13" spans="1:9" x14ac:dyDescent="0.35">
      <c r="A13" s="33">
        <v>160</v>
      </c>
      <c r="B13" s="33">
        <v>160</v>
      </c>
      <c r="C13" s="33">
        <v>160</v>
      </c>
      <c r="D13">
        <v>162</v>
      </c>
      <c r="E13">
        <v>2</v>
      </c>
      <c r="F13" s="34">
        <v>16</v>
      </c>
      <c r="G13" s="37">
        <v>3.3</v>
      </c>
      <c r="H13" s="37" t="s">
        <v>3399</v>
      </c>
      <c r="I13" s="37">
        <v>86</v>
      </c>
    </row>
    <row r="14" spans="1:9" ht="15" customHeight="1" x14ac:dyDescent="0.35">
      <c r="A14" s="33">
        <v>200</v>
      </c>
      <c r="B14" s="33">
        <v>200</v>
      </c>
      <c r="C14" s="33">
        <v>200</v>
      </c>
      <c r="D14">
        <v>202</v>
      </c>
      <c r="E14">
        <v>2</v>
      </c>
      <c r="F14" s="34">
        <v>16</v>
      </c>
      <c r="G14" s="37">
        <v>4.57</v>
      </c>
      <c r="H14" s="37" t="s">
        <v>3400</v>
      </c>
      <c r="I14" s="34">
        <v>106</v>
      </c>
    </row>
    <row r="15" spans="1:9" x14ac:dyDescent="0.35">
      <c r="A15" s="33">
        <v>225</v>
      </c>
      <c r="B15" s="33">
        <v>225</v>
      </c>
      <c r="C15" s="33">
        <v>225</v>
      </c>
      <c r="D15">
        <v>228</v>
      </c>
      <c r="E15">
        <v>3</v>
      </c>
      <c r="F15" s="34">
        <v>10</v>
      </c>
      <c r="G15" s="37">
        <v>6.5</v>
      </c>
      <c r="H15" s="37" t="s">
        <v>3401</v>
      </c>
      <c r="I15" s="34">
        <v>118.5</v>
      </c>
    </row>
    <row r="16" spans="1:9" ht="15" customHeight="1" x14ac:dyDescent="0.35">
      <c r="A16" s="33">
        <v>250</v>
      </c>
      <c r="B16" s="33">
        <v>250</v>
      </c>
      <c r="C16" s="33">
        <v>250</v>
      </c>
      <c r="D16">
        <v>252</v>
      </c>
      <c r="E16">
        <v>2</v>
      </c>
      <c r="F16" s="34">
        <v>10</v>
      </c>
      <c r="G16" s="37">
        <v>8.92</v>
      </c>
      <c r="H16" s="37" t="s">
        <v>3402</v>
      </c>
      <c r="I16" s="34">
        <v>131</v>
      </c>
    </row>
    <row r="17" spans="1:19" x14ac:dyDescent="0.35">
      <c r="A17" s="33">
        <v>280</v>
      </c>
      <c r="B17" s="33">
        <v>280</v>
      </c>
      <c r="C17" s="33">
        <v>280</v>
      </c>
      <c r="D17">
        <v>282</v>
      </c>
      <c r="E17">
        <v>2</v>
      </c>
      <c r="F17" s="34">
        <v>10</v>
      </c>
      <c r="G17" s="37">
        <v>11.3</v>
      </c>
      <c r="H17" s="37" t="s">
        <v>3403</v>
      </c>
      <c r="I17" s="34">
        <v>146</v>
      </c>
    </row>
    <row r="18" spans="1:19" ht="15" customHeight="1" x14ac:dyDescent="0.35">
      <c r="A18" s="33">
        <v>315</v>
      </c>
      <c r="B18" s="33">
        <v>315</v>
      </c>
      <c r="C18" s="33">
        <v>315</v>
      </c>
      <c r="D18">
        <v>318</v>
      </c>
      <c r="E18">
        <v>3</v>
      </c>
      <c r="F18" s="34">
        <v>10</v>
      </c>
      <c r="G18" s="37">
        <v>16.399999999999999</v>
      </c>
      <c r="H18" s="37" t="s">
        <v>3404</v>
      </c>
      <c r="I18" s="34">
        <v>163.5</v>
      </c>
    </row>
    <row r="19" spans="1:19" ht="15" customHeight="1" x14ac:dyDescent="0.35">
      <c r="A19" s="33">
        <v>355</v>
      </c>
      <c r="B19" s="33">
        <v>355</v>
      </c>
      <c r="C19" s="33">
        <v>355</v>
      </c>
      <c r="D19">
        <f>183.5*2</f>
        <v>367</v>
      </c>
      <c r="E19">
        <f>184-A19/2</f>
        <v>6.5</v>
      </c>
      <c r="F19" s="34">
        <v>10</v>
      </c>
      <c r="G19" s="37">
        <v>23.6</v>
      </c>
      <c r="H19" s="37" t="s">
        <v>3459</v>
      </c>
      <c r="I19" s="25">
        <v>184</v>
      </c>
    </row>
    <row r="20" spans="1:19" ht="15" customHeight="1" x14ac:dyDescent="0.35">
      <c r="A20" s="33">
        <v>400</v>
      </c>
      <c r="B20" s="33">
        <v>400</v>
      </c>
      <c r="C20" s="33">
        <v>400</v>
      </c>
      <c r="D20">
        <f>206*2</f>
        <v>412</v>
      </c>
      <c r="E20">
        <f>206-A20/2</f>
        <v>6</v>
      </c>
      <c r="F20" s="34">
        <v>10</v>
      </c>
      <c r="G20" s="37">
        <v>28.1</v>
      </c>
      <c r="H20" s="37" t="s">
        <v>3460</v>
      </c>
      <c r="I20" s="25">
        <v>206</v>
      </c>
    </row>
    <row r="21" spans="1:19" x14ac:dyDescent="0.35">
      <c r="A21" s="38">
        <v>32</v>
      </c>
      <c r="B21" s="38">
        <v>32</v>
      </c>
      <c r="C21" s="39">
        <v>20</v>
      </c>
      <c r="D21" s="42">
        <v>28</v>
      </c>
      <c r="E21" s="13">
        <v>3</v>
      </c>
      <c r="F21" s="41">
        <v>16</v>
      </c>
      <c r="G21" s="41" t="s">
        <v>3412</v>
      </c>
      <c r="H21" s="41" t="s">
        <v>3406</v>
      </c>
      <c r="I21">
        <v>22</v>
      </c>
      <c r="J21" s="42"/>
      <c r="N21" s="42"/>
      <c r="O21" s="41"/>
      <c r="P21" s="41"/>
      <c r="Q21" s="41"/>
      <c r="R21" s="41"/>
      <c r="S21" s="43"/>
    </row>
    <row r="22" spans="1:19" ht="15" customHeight="1" x14ac:dyDescent="0.35">
      <c r="A22" s="38">
        <v>32</v>
      </c>
      <c r="B22" s="38">
        <v>32</v>
      </c>
      <c r="C22" s="39">
        <v>25</v>
      </c>
      <c r="D22" s="42">
        <v>28</v>
      </c>
      <c r="E22" s="13">
        <v>3</v>
      </c>
      <c r="F22" s="41">
        <v>16</v>
      </c>
      <c r="G22" s="41" t="s">
        <v>3412</v>
      </c>
      <c r="H22" s="41" t="s">
        <v>3407</v>
      </c>
      <c r="I22">
        <v>22</v>
      </c>
      <c r="J22" s="42"/>
      <c r="N22" s="42"/>
      <c r="O22" s="41"/>
      <c r="P22" s="41"/>
      <c r="Q22" s="41"/>
      <c r="R22" s="41"/>
      <c r="S22" s="43"/>
    </row>
    <row r="23" spans="1:19" x14ac:dyDescent="0.35">
      <c r="A23" s="38">
        <v>32</v>
      </c>
      <c r="B23" s="38">
        <v>32</v>
      </c>
      <c r="C23" s="39">
        <v>50</v>
      </c>
      <c r="D23" s="42">
        <v>28</v>
      </c>
      <c r="E23" s="13">
        <v>3</v>
      </c>
      <c r="F23" s="41">
        <v>16</v>
      </c>
      <c r="G23" s="41" t="s">
        <v>3413</v>
      </c>
      <c r="H23" s="41" t="s">
        <v>3408</v>
      </c>
      <c r="I23">
        <v>22</v>
      </c>
      <c r="J23" s="42"/>
      <c r="N23" s="42"/>
      <c r="O23" s="41"/>
      <c r="P23" s="41"/>
      <c r="Q23" s="41"/>
      <c r="R23" s="41"/>
      <c r="S23" s="43"/>
    </row>
    <row r="24" spans="1:19" ht="15" customHeight="1" x14ac:dyDescent="0.35">
      <c r="A24" s="38">
        <v>40</v>
      </c>
      <c r="B24" s="38">
        <v>40</v>
      </c>
      <c r="C24" s="39">
        <v>20</v>
      </c>
      <c r="D24" s="42">
        <v>34</v>
      </c>
      <c r="E24" s="13">
        <v>6</v>
      </c>
      <c r="F24" s="41">
        <v>16</v>
      </c>
      <c r="G24" s="41" t="s">
        <v>3414</v>
      </c>
      <c r="H24" s="41" t="s">
        <v>3409</v>
      </c>
      <c r="I24">
        <v>26</v>
      </c>
      <c r="J24" s="42"/>
      <c r="N24" s="42"/>
      <c r="O24" s="41"/>
      <c r="P24" s="41"/>
      <c r="Q24" s="41"/>
      <c r="R24" s="41"/>
      <c r="S24" s="43"/>
    </row>
    <row r="25" spans="1:19" x14ac:dyDescent="0.35">
      <c r="A25" s="38">
        <v>40</v>
      </c>
      <c r="B25" s="38">
        <v>40</v>
      </c>
      <c r="C25" s="39">
        <v>25</v>
      </c>
      <c r="D25" s="42">
        <v>34</v>
      </c>
      <c r="E25" s="13">
        <v>6</v>
      </c>
      <c r="F25" s="41">
        <v>16</v>
      </c>
      <c r="G25" s="41" t="s">
        <v>3414</v>
      </c>
      <c r="H25" s="41" t="s">
        <v>3410</v>
      </c>
      <c r="I25">
        <v>26</v>
      </c>
      <c r="J25" s="42"/>
      <c r="N25" s="42"/>
      <c r="O25" s="41"/>
      <c r="P25" s="41"/>
      <c r="Q25" s="41"/>
      <c r="R25" s="41"/>
      <c r="S25" s="43"/>
    </row>
    <row r="26" spans="1:19" x14ac:dyDescent="0.35">
      <c r="A26" s="38">
        <v>40</v>
      </c>
      <c r="B26" s="38">
        <v>40</v>
      </c>
      <c r="C26" s="39">
        <v>32</v>
      </c>
      <c r="D26" s="42">
        <v>34</v>
      </c>
      <c r="E26" s="13">
        <v>6</v>
      </c>
      <c r="F26" s="41">
        <v>16</v>
      </c>
      <c r="G26" s="41" t="s">
        <v>3414</v>
      </c>
      <c r="H26" s="41" t="s">
        <v>3411</v>
      </c>
      <c r="I26">
        <v>26</v>
      </c>
      <c r="J26" s="42"/>
      <c r="N26" s="42"/>
      <c r="O26" s="41"/>
      <c r="P26" s="41"/>
      <c r="Q26" s="41"/>
      <c r="R26" s="41"/>
      <c r="S26" s="43"/>
    </row>
    <row r="27" spans="1:19" ht="15" customHeight="1" x14ac:dyDescent="0.35">
      <c r="A27" s="38">
        <v>50</v>
      </c>
      <c r="B27" s="38">
        <v>50</v>
      </c>
      <c r="C27" s="40">
        <v>20</v>
      </c>
      <c r="D27" s="13">
        <v>62</v>
      </c>
      <c r="E27" s="13">
        <v>3</v>
      </c>
      <c r="F27" s="40">
        <v>16</v>
      </c>
      <c r="G27" s="40" t="s">
        <v>3449</v>
      </c>
      <c r="H27" s="40" t="s">
        <v>3415</v>
      </c>
      <c r="I27" s="40">
        <v>28</v>
      </c>
    </row>
    <row r="28" spans="1:19" x14ac:dyDescent="0.35">
      <c r="A28" s="38">
        <v>50</v>
      </c>
      <c r="B28" s="38">
        <v>50</v>
      </c>
      <c r="C28" s="40">
        <v>25</v>
      </c>
      <c r="D28" s="13">
        <v>62</v>
      </c>
      <c r="E28" s="13">
        <v>3</v>
      </c>
      <c r="F28" s="40">
        <v>16</v>
      </c>
      <c r="G28" s="40" t="s">
        <v>3449</v>
      </c>
      <c r="H28" s="40" t="s">
        <v>3416</v>
      </c>
      <c r="I28" s="40">
        <v>28</v>
      </c>
    </row>
    <row r="29" spans="1:19" ht="15" customHeight="1" x14ac:dyDescent="0.35">
      <c r="A29" s="38">
        <v>50</v>
      </c>
      <c r="B29" s="38">
        <v>50</v>
      </c>
      <c r="C29" s="40">
        <v>32</v>
      </c>
      <c r="D29" s="13">
        <v>62</v>
      </c>
      <c r="E29" s="13">
        <v>3</v>
      </c>
      <c r="F29" s="40">
        <v>16</v>
      </c>
      <c r="G29" s="40" t="s">
        <v>3449</v>
      </c>
      <c r="H29" s="40" t="s">
        <v>3417</v>
      </c>
      <c r="I29" s="40">
        <v>28</v>
      </c>
    </row>
    <row r="30" spans="1:19" x14ac:dyDescent="0.35">
      <c r="A30" s="38">
        <v>50</v>
      </c>
      <c r="B30" s="38">
        <v>50</v>
      </c>
      <c r="C30" s="40">
        <v>40</v>
      </c>
      <c r="D30" s="13">
        <v>62</v>
      </c>
      <c r="E30" s="13">
        <v>3</v>
      </c>
      <c r="F30" s="40">
        <v>16</v>
      </c>
      <c r="G30" s="40" t="s">
        <v>3449</v>
      </c>
      <c r="H30" s="40" t="s">
        <v>3418</v>
      </c>
      <c r="I30" s="40">
        <v>28</v>
      </c>
    </row>
    <row r="31" spans="1:19" x14ac:dyDescent="0.35">
      <c r="A31" s="38">
        <v>63</v>
      </c>
      <c r="B31" s="38">
        <v>63</v>
      </c>
      <c r="C31" s="40">
        <v>25</v>
      </c>
      <c r="D31" s="13">
        <v>76</v>
      </c>
      <c r="E31" s="13">
        <v>3.5</v>
      </c>
      <c r="F31" s="40">
        <v>16</v>
      </c>
      <c r="G31" s="40" t="s">
        <v>3450</v>
      </c>
      <c r="H31" s="40" t="s">
        <v>3419</v>
      </c>
      <c r="I31" s="40">
        <v>28</v>
      </c>
    </row>
    <row r="32" spans="1:19" x14ac:dyDescent="0.35">
      <c r="A32" s="38">
        <v>63</v>
      </c>
      <c r="B32" s="38">
        <v>63</v>
      </c>
      <c r="C32" s="40">
        <v>32</v>
      </c>
      <c r="D32" s="13">
        <v>76</v>
      </c>
      <c r="E32" s="13">
        <v>3.5</v>
      </c>
      <c r="F32" s="40">
        <v>16</v>
      </c>
      <c r="G32" s="40" t="s">
        <v>3450</v>
      </c>
      <c r="H32" s="40" t="s">
        <v>3420</v>
      </c>
      <c r="I32" s="40">
        <v>35</v>
      </c>
    </row>
    <row r="33" spans="1:9" x14ac:dyDescent="0.35">
      <c r="A33" s="38">
        <v>63</v>
      </c>
      <c r="B33" s="38">
        <v>63</v>
      </c>
      <c r="C33" s="40">
        <v>40</v>
      </c>
      <c r="D33" s="13">
        <v>76</v>
      </c>
      <c r="E33" s="13">
        <v>3.5</v>
      </c>
      <c r="F33" s="40">
        <v>16</v>
      </c>
      <c r="G33" s="40" t="s">
        <v>3451</v>
      </c>
      <c r="H33" s="40" t="s">
        <v>3421</v>
      </c>
      <c r="I33" s="40">
        <v>35</v>
      </c>
    </row>
    <row r="34" spans="1:9" x14ac:dyDescent="0.35">
      <c r="A34" s="38">
        <v>63</v>
      </c>
      <c r="B34" s="38">
        <v>63</v>
      </c>
      <c r="C34" s="40">
        <v>50</v>
      </c>
      <c r="D34" s="13">
        <v>76</v>
      </c>
      <c r="E34" s="13">
        <v>3.5</v>
      </c>
      <c r="F34" s="40">
        <v>16</v>
      </c>
      <c r="G34" s="40" t="s">
        <v>3452</v>
      </c>
      <c r="H34" s="40" t="s">
        <v>3422</v>
      </c>
      <c r="I34" s="40">
        <v>35</v>
      </c>
    </row>
    <row r="35" spans="1:9" x14ac:dyDescent="0.35">
      <c r="A35" s="38">
        <v>75</v>
      </c>
      <c r="B35" s="38">
        <v>75</v>
      </c>
      <c r="C35" s="40">
        <v>32</v>
      </c>
      <c r="D35" s="13">
        <v>87</v>
      </c>
      <c r="E35" s="13">
        <v>1</v>
      </c>
      <c r="F35" s="40">
        <v>16</v>
      </c>
      <c r="G35" s="45"/>
      <c r="H35" s="44" t="s">
        <v>3423</v>
      </c>
      <c r="I35" s="39">
        <v>38.5</v>
      </c>
    </row>
    <row r="36" spans="1:9" x14ac:dyDescent="0.35">
      <c r="A36" s="38">
        <v>75</v>
      </c>
      <c r="B36" s="38">
        <v>75</v>
      </c>
      <c r="C36" s="40">
        <v>63</v>
      </c>
      <c r="D36" s="13">
        <v>87</v>
      </c>
      <c r="E36" s="13">
        <v>1</v>
      </c>
      <c r="F36" s="40">
        <v>16</v>
      </c>
      <c r="G36" s="40" t="s">
        <v>3453</v>
      </c>
      <c r="H36" s="44" t="s">
        <v>3424</v>
      </c>
      <c r="I36" s="39">
        <v>38.5</v>
      </c>
    </row>
    <row r="37" spans="1:9" x14ac:dyDescent="0.35">
      <c r="A37" s="38">
        <v>90</v>
      </c>
      <c r="B37" s="38">
        <v>90</v>
      </c>
      <c r="C37" s="40">
        <v>63</v>
      </c>
      <c r="D37" s="13">
        <v>102</v>
      </c>
      <c r="E37" s="13">
        <v>1</v>
      </c>
      <c r="F37" s="40">
        <v>16</v>
      </c>
      <c r="G37" s="40" t="s">
        <v>3454</v>
      </c>
      <c r="H37" s="44" t="s">
        <v>3425</v>
      </c>
      <c r="I37" s="40">
        <v>46</v>
      </c>
    </row>
    <row r="38" spans="1:9" ht="15" customHeight="1" x14ac:dyDescent="0.35">
      <c r="A38" s="38">
        <v>90</v>
      </c>
      <c r="B38" s="38">
        <v>90</v>
      </c>
      <c r="C38" s="40">
        <v>75</v>
      </c>
      <c r="D38" s="13">
        <v>102</v>
      </c>
      <c r="E38" s="13">
        <v>1</v>
      </c>
      <c r="F38" s="40">
        <v>16</v>
      </c>
      <c r="G38" s="40" t="s">
        <v>3455</v>
      </c>
      <c r="H38" s="44" t="s">
        <v>3426</v>
      </c>
      <c r="I38" s="40">
        <v>46</v>
      </c>
    </row>
    <row r="39" spans="1:9" x14ac:dyDescent="0.35">
      <c r="A39" s="38">
        <v>110</v>
      </c>
      <c r="B39" s="38">
        <v>110</v>
      </c>
      <c r="C39" s="40">
        <v>50</v>
      </c>
      <c r="D39" s="13">
        <v>122</v>
      </c>
      <c r="E39" s="13">
        <v>1</v>
      </c>
      <c r="F39" s="40">
        <v>16</v>
      </c>
      <c r="G39" s="45"/>
      <c r="H39" s="40" t="s">
        <v>3427</v>
      </c>
      <c r="I39" s="40">
        <v>56</v>
      </c>
    </row>
    <row r="40" spans="1:9" x14ac:dyDescent="0.35">
      <c r="A40" s="38">
        <v>110</v>
      </c>
      <c r="B40" s="38">
        <v>110</v>
      </c>
      <c r="C40" s="40">
        <v>63</v>
      </c>
      <c r="D40" s="13">
        <v>122</v>
      </c>
      <c r="E40" s="13">
        <v>1</v>
      </c>
      <c r="F40" s="40">
        <v>16</v>
      </c>
      <c r="G40" s="40" t="s">
        <v>3456</v>
      </c>
      <c r="H40" s="40" t="s">
        <v>3428</v>
      </c>
      <c r="I40" s="40">
        <v>56</v>
      </c>
    </row>
    <row r="41" spans="1:9" x14ac:dyDescent="0.35">
      <c r="A41" s="38">
        <v>110</v>
      </c>
      <c r="B41" s="38">
        <v>110</v>
      </c>
      <c r="C41" s="40">
        <v>75</v>
      </c>
      <c r="D41" s="13">
        <v>122</v>
      </c>
      <c r="E41" s="13">
        <v>1</v>
      </c>
      <c r="F41" s="40">
        <v>16</v>
      </c>
      <c r="G41" s="40" t="s">
        <v>3457</v>
      </c>
      <c r="H41" s="40" t="s">
        <v>3429</v>
      </c>
      <c r="I41" s="40">
        <v>56</v>
      </c>
    </row>
    <row r="42" spans="1:9" ht="15" customHeight="1" x14ac:dyDescent="0.35">
      <c r="A42" s="38">
        <v>110</v>
      </c>
      <c r="B42" s="38">
        <v>110</v>
      </c>
      <c r="C42" s="40">
        <v>90</v>
      </c>
      <c r="D42" s="13">
        <v>122</v>
      </c>
      <c r="E42" s="13">
        <v>1</v>
      </c>
      <c r="F42" s="40">
        <v>16</v>
      </c>
      <c r="G42" s="40" t="s">
        <v>3458</v>
      </c>
      <c r="H42" s="40" t="s">
        <v>3430</v>
      </c>
      <c r="I42" s="40">
        <v>56</v>
      </c>
    </row>
    <row r="43" spans="1:9" x14ac:dyDescent="0.35">
      <c r="A43" s="38">
        <v>125</v>
      </c>
      <c r="B43" s="38">
        <v>125</v>
      </c>
      <c r="C43" s="40">
        <v>63</v>
      </c>
      <c r="D43" s="13">
        <v>137</v>
      </c>
      <c r="E43" s="13">
        <v>1.5</v>
      </c>
      <c r="F43" s="40">
        <v>16</v>
      </c>
      <c r="G43" s="40">
        <v>1.26</v>
      </c>
      <c r="H43" s="44" t="s">
        <v>3431</v>
      </c>
      <c r="I43" s="40">
        <v>64</v>
      </c>
    </row>
    <row r="44" spans="1:9" x14ac:dyDescent="0.35">
      <c r="A44" s="38">
        <v>125</v>
      </c>
      <c r="B44" s="38">
        <v>125</v>
      </c>
      <c r="C44" s="40">
        <v>90</v>
      </c>
      <c r="D44" s="13">
        <v>137</v>
      </c>
      <c r="E44" s="13">
        <v>1.5</v>
      </c>
      <c r="F44" s="40">
        <v>16</v>
      </c>
      <c r="G44" s="40">
        <v>1.58</v>
      </c>
      <c r="H44" s="44" t="s">
        <v>3432</v>
      </c>
      <c r="I44" s="40">
        <v>64</v>
      </c>
    </row>
    <row r="45" spans="1:9" x14ac:dyDescent="0.35">
      <c r="A45" s="38">
        <v>125</v>
      </c>
      <c r="B45" s="38">
        <v>125</v>
      </c>
      <c r="C45" s="39">
        <v>110</v>
      </c>
      <c r="D45" s="13">
        <v>137</v>
      </c>
      <c r="E45" s="13">
        <v>1.5</v>
      </c>
      <c r="F45" s="40">
        <v>16</v>
      </c>
      <c r="G45" s="40">
        <v>1.59</v>
      </c>
      <c r="H45" s="40" t="s">
        <v>3433</v>
      </c>
      <c r="I45" s="40">
        <v>64</v>
      </c>
    </row>
    <row r="46" spans="1:9" x14ac:dyDescent="0.35">
      <c r="A46" s="38">
        <v>140</v>
      </c>
      <c r="B46" s="38">
        <v>140</v>
      </c>
      <c r="C46" s="39">
        <v>110</v>
      </c>
      <c r="D46" s="13">
        <v>152</v>
      </c>
      <c r="E46" s="13">
        <v>2</v>
      </c>
      <c r="F46" s="40">
        <v>16</v>
      </c>
      <c r="G46" s="40">
        <v>2.27</v>
      </c>
      <c r="H46" s="40" t="s">
        <v>3434</v>
      </c>
      <c r="I46" s="40">
        <v>72</v>
      </c>
    </row>
    <row r="47" spans="1:9" x14ac:dyDescent="0.35">
      <c r="A47" s="38">
        <v>160</v>
      </c>
      <c r="B47" s="38">
        <v>160</v>
      </c>
      <c r="C47" s="39">
        <v>110</v>
      </c>
      <c r="D47" s="13">
        <v>172</v>
      </c>
      <c r="E47" s="13">
        <v>1</v>
      </c>
      <c r="F47" s="40">
        <v>16</v>
      </c>
      <c r="G47" s="40">
        <v>2.4300000000000002</v>
      </c>
      <c r="H47" s="40" t="s">
        <v>3435</v>
      </c>
      <c r="I47" s="40">
        <v>81</v>
      </c>
    </row>
    <row r="48" spans="1:9" ht="15" customHeight="1" x14ac:dyDescent="0.35">
      <c r="A48" s="38">
        <v>200</v>
      </c>
      <c r="B48" s="38">
        <v>200</v>
      </c>
      <c r="C48" s="39">
        <v>110</v>
      </c>
      <c r="D48" s="13">
        <v>212</v>
      </c>
      <c r="E48" s="11">
        <v>7</v>
      </c>
      <c r="F48" s="40">
        <v>16</v>
      </c>
      <c r="G48" s="40">
        <v>4.03</v>
      </c>
      <c r="H48" s="40" t="s">
        <v>3436</v>
      </c>
      <c r="I48" s="39">
        <v>107</v>
      </c>
    </row>
    <row r="49" spans="1:10" x14ac:dyDescent="0.35">
      <c r="A49" s="38">
        <v>200</v>
      </c>
      <c r="B49" s="38">
        <v>200</v>
      </c>
      <c r="C49" s="39">
        <v>160</v>
      </c>
      <c r="D49" s="13">
        <v>212</v>
      </c>
      <c r="E49" s="13">
        <v>7</v>
      </c>
      <c r="F49" s="40">
        <v>16</v>
      </c>
      <c r="G49" s="40">
        <v>4.4000000000000004</v>
      </c>
      <c r="H49" s="44" t="s">
        <v>3437</v>
      </c>
      <c r="I49" s="39">
        <v>107</v>
      </c>
    </row>
    <row r="50" spans="1:10" x14ac:dyDescent="0.35">
      <c r="A50" s="38">
        <v>225</v>
      </c>
      <c r="B50" s="38">
        <v>225</v>
      </c>
      <c r="C50" s="39">
        <v>110</v>
      </c>
      <c r="D50" s="13">
        <v>237</v>
      </c>
      <c r="E50" s="13">
        <v>7.5</v>
      </c>
      <c r="F50" s="40">
        <v>10</v>
      </c>
      <c r="G50" s="40">
        <v>4.32</v>
      </c>
      <c r="H50" s="40" t="s">
        <v>3438</v>
      </c>
      <c r="I50" s="39">
        <v>120</v>
      </c>
    </row>
    <row r="51" spans="1:10" x14ac:dyDescent="0.35">
      <c r="A51" s="38">
        <v>225</v>
      </c>
      <c r="B51" s="38">
        <v>225</v>
      </c>
      <c r="C51" s="39">
        <v>160</v>
      </c>
      <c r="D51" s="13">
        <v>237</v>
      </c>
      <c r="E51" s="13">
        <v>7.5</v>
      </c>
      <c r="F51" s="40">
        <v>10</v>
      </c>
      <c r="G51" s="40">
        <v>4.58</v>
      </c>
      <c r="H51" s="44" t="s">
        <v>3439</v>
      </c>
      <c r="I51" s="39">
        <v>120</v>
      </c>
    </row>
    <row r="52" spans="1:10" x14ac:dyDescent="0.35">
      <c r="A52" s="38">
        <v>250</v>
      </c>
      <c r="B52" s="38">
        <v>250</v>
      </c>
      <c r="C52" s="39">
        <v>110</v>
      </c>
      <c r="D52" s="13">
        <v>262</v>
      </c>
      <c r="E52" s="13">
        <v>7</v>
      </c>
      <c r="F52" s="40">
        <v>10</v>
      </c>
      <c r="G52" s="40">
        <v>7.75</v>
      </c>
      <c r="H52" s="40" t="s">
        <v>3440</v>
      </c>
      <c r="I52" s="39">
        <v>132</v>
      </c>
    </row>
    <row r="53" spans="1:10" ht="15" customHeight="1" x14ac:dyDescent="0.35">
      <c r="A53" s="38">
        <v>250</v>
      </c>
      <c r="B53" s="38">
        <v>250</v>
      </c>
      <c r="C53" s="39">
        <v>160</v>
      </c>
      <c r="D53" s="13">
        <v>262</v>
      </c>
      <c r="E53" s="13">
        <v>7</v>
      </c>
      <c r="F53" s="40">
        <v>10</v>
      </c>
      <c r="G53" s="40">
        <v>7.95</v>
      </c>
      <c r="H53" s="44" t="s">
        <v>3441</v>
      </c>
      <c r="I53" s="39">
        <v>132</v>
      </c>
    </row>
    <row r="54" spans="1:10" x14ac:dyDescent="0.35">
      <c r="A54" s="38">
        <v>250</v>
      </c>
      <c r="B54" s="38">
        <v>250</v>
      </c>
      <c r="C54" s="39">
        <v>200</v>
      </c>
      <c r="D54" s="13">
        <v>262</v>
      </c>
      <c r="E54" s="13">
        <v>7</v>
      </c>
      <c r="F54" s="40">
        <v>10</v>
      </c>
      <c r="G54" s="40">
        <v>8.15</v>
      </c>
      <c r="H54" s="44" t="s">
        <v>3442</v>
      </c>
      <c r="I54" s="39">
        <v>132</v>
      </c>
    </row>
    <row r="55" spans="1:10" x14ac:dyDescent="0.35">
      <c r="A55" s="38">
        <v>280</v>
      </c>
      <c r="B55" s="38">
        <v>280</v>
      </c>
      <c r="C55" s="39">
        <v>110</v>
      </c>
      <c r="D55" s="13">
        <v>292</v>
      </c>
      <c r="E55" s="13">
        <v>6</v>
      </c>
      <c r="F55" s="40">
        <v>10</v>
      </c>
      <c r="G55" s="40">
        <v>8.15</v>
      </c>
      <c r="H55" s="40" t="s">
        <v>3443</v>
      </c>
      <c r="I55" s="39">
        <v>146</v>
      </c>
    </row>
    <row r="56" spans="1:10" x14ac:dyDescent="0.35">
      <c r="A56" s="38">
        <v>280</v>
      </c>
      <c r="B56" s="38">
        <v>280</v>
      </c>
      <c r="C56" s="39">
        <v>160</v>
      </c>
      <c r="D56" s="13">
        <v>292</v>
      </c>
      <c r="E56" s="13">
        <v>6</v>
      </c>
      <c r="F56" s="40">
        <v>10</v>
      </c>
      <c r="G56" s="40">
        <v>8.15</v>
      </c>
      <c r="H56" s="44" t="s">
        <v>3444</v>
      </c>
      <c r="I56" s="39">
        <v>146</v>
      </c>
    </row>
    <row r="57" spans="1:10" x14ac:dyDescent="0.35">
      <c r="A57" s="38">
        <v>280</v>
      </c>
      <c r="B57" s="38">
        <v>280</v>
      </c>
      <c r="C57" s="39">
        <v>225</v>
      </c>
      <c r="D57" s="13">
        <v>292</v>
      </c>
      <c r="E57" s="13">
        <v>6</v>
      </c>
      <c r="F57" s="40">
        <v>10</v>
      </c>
      <c r="G57" s="40">
        <v>8.15</v>
      </c>
      <c r="H57" s="44" t="s">
        <v>3445</v>
      </c>
      <c r="I57" s="39">
        <v>146</v>
      </c>
    </row>
    <row r="58" spans="1:10" x14ac:dyDescent="0.35">
      <c r="A58" s="38">
        <v>315</v>
      </c>
      <c r="B58" s="38">
        <v>315</v>
      </c>
      <c r="C58" s="39">
        <v>110</v>
      </c>
      <c r="D58" s="13">
        <v>292</v>
      </c>
      <c r="E58" s="13">
        <v>10.5</v>
      </c>
      <c r="F58" s="40">
        <v>10</v>
      </c>
      <c r="G58" s="40">
        <v>14.2</v>
      </c>
      <c r="H58" s="40" t="s">
        <v>3446</v>
      </c>
      <c r="I58" s="39">
        <v>146</v>
      </c>
    </row>
    <row r="59" spans="1:10" ht="15" customHeight="1" x14ac:dyDescent="0.35">
      <c r="A59" s="38">
        <v>315</v>
      </c>
      <c r="B59" s="38">
        <v>315</v>
      </c>
      <c r="C59" s="39">
        <v>160</v>
      </c>
      <c r="D59" s="13">
        <v>327</v>
      </c>
      <c r="E59" s="13">
        <v>10.5</v>
      </c>
      <c r="F59" s="40">
        <v>10</v>
      </c>
      <c r="G59" s="40">
        <v>13.5</v>
      </c>
      <c r="H59" s="40" t="s">
        <v>3447</v>
      </c>
      <c r="I59" s="39">
        <v>168</v>
      </c>
    </row>
    <row r="60" spans="1:10" x14ac:dyDescent="0.35">
      <c r="A60" s="38">
        <v>315</v>
      </c>
      <c r="B60" s="38">
        <v>315</v>
      </c>
      <c r="C60" s="39">
        <v>225</v>
      </c>
      <c r="D60" s="13">
        <v>327</v>
      </c>
      <c r="E60" s="11">
        <v>10.5</v>
      </c>
      <c r="F60" s="40">
        <v>10</v>
      </c>
      <c r="G60" s="40">
        <v>14.1</v>
      </c>
      <c r="H60" s="40" t="s">
        <v>3448</v>
      </c>
      <c r="I60" s="39">
        <v>168</v>
      </c>
    </row>
    <row r="61" spans="1:10" ht="15" customHeight="1" x14ac:dyDescent="0.35">
      <c r="A61" s="47">
        <v>315</v>
      </c>
      <c r="B61" s="47">
        <v>315</v>
      </c>
      <c r="C61" s="50">
        <v>160</v>
      </c>
      <c r="D61" s="13">
        <v>336</v>
      </c>
      <c r="E61" s="11">
        <v>10.5</v>
      </c>
      <c r="F61" s="13">
        <v>10</v>
      </c>
      <c r="G61" t="s">
        <v>3461</v>
      </c>
      <c r="H61" t="s">
        <v>3467</v>
      </c>
      <c r="I61" s="54">
        <v>164</v>
      </c>
      <c r="J61" s="52"/>
    </row>
    <row r="62" spans="1:10" x14ac:dyDescent="0.35">
      <c r="A62" s="48">
        <v>315</v>
      </c>
      <c r="B62" s="48">
        <v>315</v>
      </c>
      <c r="C62" s="51">
        <v>225</v>
      </c>
      <c r="D62" s="13">
        <v>336</v>
      </c>
      <c r="E62" s="11">
        <v>10.5</v>
      </c>
      <c r="F62" s="13">
        <v>10</v>
      </c>
      <c r="G62" s="11" t="s">
        <v>3462</v>
      </c>
      <c r="H62" t="s">
        <v>3468</v>
      </c>
      <c r="I62" s="55">
        <v>164</v>
      </c>
      <c r="J62" s="53"/>
    </row>
    <row r="63" spans="1:10" x14ac:dyDescent="0.35">
      <c r="A63" s="47">
        <v>315</v>
      </c>
      <c r="B63" s="47">
        <v>315</v>
      </c>
      <c r="C63" s="50">
        <v>250</v>
      </c>
      <c r="D63" s="13">
        <v>336</v>
      </c>
      <c r="E63" s="11">
        <v>10.5</v>
      </c>
      <c r="F63" s="11">
        <v>10</v>
      </c>
      <c r="G63" s="11" t="s">
        <v>3463</v>
      </c>
      <c r="H63" t="s">
        <v>3469</v>
      </c>
      <c r="I63" s="54">
        <v>164</v>
      </c>
      <c r="J63" s="52"/>
    </row>
    <row r="64" spans="1:10" x14ac:dyDescent="0.35">
      <c r="A64" s="48">
        <v>315</v>
      </c>
      <c r="B64" s="48">
        <v>315</v>
      </c>
      <c r="C64" s="51">
        <v>280</v>
      </c>
      <c r="D64" s="13">
        <v>336</v>
      </c>
      <c r="E64" s="11">
        <v>10.5</v>
      </c>
      <c r="F64" s="11">
        <v>10</v>
      </c>
      <c r="G64" s="11" t="s">
        <v>3464</v>
      </c>
      <c r="H64" t="s">
        <v>3470</v>
      </c>
      <c r="I64" s="55">
        <v>164</v>
      </c>
      <c r="J64" s="53"/>
    </row>
    <row r="65" spans="1:10" ht="15" customHeight="1" x14ac:dyDescent="0.35">
      <c r="A65" s="49">
        <v>355</v>
      </c>
      <c r="B65" s="49">
        <v>355</v>
      </c>
      <c r="C65" s="50">
        <v>280</v>
      </c>
      <c r="D65" s="13">
        <v>336</v>
      </c>
      <c r="E65" s="11">
        <v>10.5</v>
      </c>
      <c r="F65" s="11">
        <v>10</v>
      </c>
      <c r="G65" s="11" t="s">
        <v>1532</v>
      </c>
      <c r="H65" t="s">
        <v>3471</v>
      </c>
      <c r="I65" s="54">
        <v>164</v>
      </c>
      <c r="J65" s="52"/>
    </row>
    <row r="66" spans="1:10" x14ac:dyDescent="0.35">
      <c r="A66" s="48">
        <v>355</v>
      </c>
      <c r="B66" s="48">
        <v>355</v>
      </c>
      <c r="C66" s="51">
        <v>315</v>
      </c>
      <c r="D66" s="13">
        <v>304</v>
      </c>
      <c r="E66" s="11">
        <v>10.5</v>
      </c>
      <c r="F66" s="11">
        <v>10</v>
      </c>
      <c r="G66" s="11" t="s">
        <v>3465</v>
      </c>
      <c r="H66" t="s">
        <v>3472</v>
      </c>
      <c r="I66" s="55">
        <v>184</v>
      </c>
      <c r="J66" s="53"/>
    </row>
    <row r="67" spans="1:10" x14ac:dyDescent="0.35">
      <c r="A67" s="49">
        <v>400</v>
      </c>
      <c r="B67" s="49">
        <v>400</v>
      </c>
      <c r="C67" s="50">
        <v>280</v>
      </c>
      <c r="D67" s="13">
        <v>350</v>
      </c>
      <c r="E67" s="11">
        <v>10.5</v>
      </c>
      <c r="F67" s="11">
        <v>10</v>
      </c>
      <c r="G67" s="11" t="s">
        <v>3466</v>
      </c>
      <c r="H67" t="s">
        <v>3473</v>
      </c>
      <c r="I67" s="54">
        <v>184</v>
      </c>
      <c r="J67" s="52"/>
    </row>
    <row r="68" spans="1:10" x14ac:dyDescent="0.35">
      <c r="A68" s="48">
        <v>400</v>
      </c>
      <c r="B68" s="48">
        <v>400</v>
      </c>
      <c r="C68" s="51">
        <v>315</v>
      </c>
      <c r="D68" s="13">
        <v>304</v>
      </c>
      <c r="E68" s="11">
        <v>10.5</v>
      </c>
      <c r="F68" s="11">
        <v>10</v>
      </c>
      <c r="G68" s="11">
        <v>43</v>
      </c>
      <c r="H68" t="s">
        <v>3474</v>
      </c>
      <c r="I68" s="55">
        <v>206</v>
      </c>
      <c r="J68" s="53"/>
    </row>
    <row r="69" spans="1:10" x14ac:dyDescent="0.35">
      <c r="A69" s="49">
        <v>400</v>
      </c>
      <c r="B69" s="49">
        <v>400</v>
      </c>
      <c r="C69" s="50">
        <v>355</v>
      </c>
      <c r="D69" s="13">
        <v>350</v>
      </c>
      <c r="E69" s="11">
        <v>10.5</v>
      </c>
      <c r="F69" s="13">
        <v>10</v>
      </c>
      <c r="G69" s="11" t="s">
        <v>1617</v>
      </c>
      <c r="H69" t="s">
        <v>3475</v>
      </c>
      <c r="I69" s="54">
        <v>206</v>
      </c>
      <c r="J69" s="52"/>
    </row>
    <row r="70" spans="1:10" x14ac:dyDescent="0.35">
      <c r="A70" s="11"/>
      <c r="D70" s="13"/>
      <c r="E70" s="13"/>
      <c r="F70" s="13"/>
      <c r="G70" s="11"/>
    </row>
    <row r="71" spans="1:10" ht="15" customHeight="1" x14ac:dyDescent="0.35">
      <c r="A71" s="11"/>
      <c r="D71" s="13"/>
      <c r="E71" s="13"/>
      <c r="F71" s="13"/>
      <c r="G71" s="11"/>
    </row>
    <row r="72" spans="1:10" x14ac:dyDescent="0.35">
      <c r="A72" s="11"/>
      <c r="D72" s="13"/>
      <c r="E72" s="13"/>
      <c r="F72" s="13"/>
      <c r="G72" s="11"/>
    </row>
    <row r="73" spans="1:10" ht="15" customHeight="1" x14ac:dyDescent="0.35">
      <c r="A73" s="11"/>
      <c r="D73" s="13"/>
      <c r="E73" s="13"/>
      <c r="F73" s="13"/>
      <c r="G73" s="11"/>
    </row>
    <row r="74" spans="1:10" x14ac:dyDescent="0.35">
      <c r="A74" s="11"/>
      <c r="D74" s="13"/>
      <c r="E74" s="13"/>
      <c r="F74" s="13"/>
      <c r="G74" s="11"/>
    </row>
    <row r="75" spans="1:10" ht="15" customHeight="1" x14ac:dyDescent="0.35">
      <c r="A75" s="11"/>
      <c r="D75" s="13"/>
      <c r="E75" s="13"/>
      <c r="F75" s="13"/>
      <c r="G75" s="11"/>
    </row>
    <row r="76" spans="1:10" x14ac:dyDescent="0.35">
      <c r="A76" s="11"/>
      <c r="D76" s="13"/>
      <c r="E76" s="13"/>
      <c r="F76" s="11"/>
      <c r="G76" s="11"/>
    </row>
    <row r="77" spans="1:10" x14ac:dyDescent="0.35">
      <c r="A77" s="11"/>
      <c r="D77" s="13"/>
      <c r="E77" s="13"/>
      <c r="F77" s="11"/>
      <c r="G77" s="13"/>
    </row>
    <row r="78" spans="1:10" x14ac:dyDescent="0.35">
      <c r="A78" s="11"/>
      <c r="D78" s="13"/>
      <c r="E78" s="13"/>
      <c r="F78" s="13"/>
      <c r="G78" s="11"/>
    </row>
    <row r="79" spans="1:10" x14ac:dyDescent="0.35">
      <c r="A79" s="11"/>
      <c r="D79" s="13"/>
      <c r="E79" s="13"/>
      <c r="F79" s="13"/>
      <c r="G79" s="13"/>
    </row>
    <row r="80" spans="1:10" x14ac:dyDescent="0.35">
      <c r="A80" s="11"/>
      <c r="D80" s="13"/>
      <c r="E80" s="13"/>
      <c r="F80" s="13"/>
      <c r="G80" s="11"/>
    </row>
    <row r="81" spans="1:7" x14ac:dyDescent="0.35">
      <c r="A81" s="11"/>
      <c r="D81" s="13"/>
      <c r="E81" s="13"/>
      <c r="F81" s="13"/>
      <c r="G81" s="11"/>
    </row>
    <row r="82" spans="1:7" x14ac:dyDescent="0.35">
      <c r="A82" s="11"/>
      <c r="D82" s="13"/>
      <c r="E82" s="13"/>
      <c r="F82" s="13"/>
      <c r="G82" s="11"/>
    </row>
    <row r="83" spans="1:7" x14ac:dyDescent="0.35">
      <c r="A83" s="11"/>
      <c r="D83" s="13"/>
      <c r="E83" s="13"/>
      <c r="F83" s="11"/>
      <c r="G83" s="11"/>
    </row>
    <row r="84" spans="1:7" x14ac:dyDescent="0.35">
      <c r="A84" s="11"/>
      <c r="D84" s="13"/>
      <c r="E84" s="13"/>
      <c r="F84" s="11"/>
      <c r="G84" s="11"/>
    </row>
    <row r="85" spans="1:7" ht="15" customHeight="1" x14ac:dyDescent="0.35">
      <c r="A85" s="11"/>
      <c r="D85" s="13"/>
      <c r="E85" s="13"/>
      <c r="F85" s="11"/>
      <c r="G85" s="11"/>
    </row>
    <row r="86" spans="1:7" x14ac:dyDescent="0.35">
      <c r="A86" s="11"/>
      <c r="D86" s="13"/>
      <c r="E86" s="13"/>
      <c r="F86" s="11"/>
      <c r="G86" s="11"/>
    </row>
    <row r="87" spans="1:7" ht="15" customHeight="1" x14ac:dyDescent="0.35">
      <c r="A87" s="11"/>
      <c r="D87" s="13"/>
      <c r="E87" s="13"/>
      <c r="F87" s="11"/>
      <c r="G87" s="11"/>
    </row>
    <row r="88" spans="1:7" x14ac:dyDescent="0.35">
      <c r="A88" s="11"/>
      <c r="D88" s="13"/>
      <c r="E88" s="13"/>
      <c r="F88" s="11"/>
      <c r="G88" s="11"/>
    </row>
    <row r="89" spans="1:7" x14ac:dyDescent="0.35">
      <c r="A89" s="11"/>
      <c r="D89" s="13"/>
      <c r="E89" s="13"/>
      <c r="F89" s="11"/>
      <c r="G89" s="11"/>
    </row>
    <row r="90" spans="1:7" x14ac:dyDescent="0.35">
      <c r="A90" s="11"/>
      <c r="D90" s="13"/>
      <c r="E90" s="13"/>
      <c r="F90" s="13"/>
      <c r="G90" s="11"/>
    </row>
    <row r="91" spans="1:7" ht="15" customHeight="1" x14ac:dyDescent="0.35">
      <c r="A91" s="11"/>
      <c r="D91" s="13"/>
      <c r="E91" s="13"/>
      <c r="F91" s="13"/>
      <c r="G91" s="11"/>
    </row>
    <row r="92" spans="1:7" x14ac:dyDescent="0.35">
      <c r="A92" s="11"/>
      <c r="D92" s="13"/>
      <c r="E92" s="13"/>
      <c r="F92" s="13"/>
      <c r="G92" s="11"/>
    </row>
    <row r="93" spans="1:7" x14ac:dyDescent="0.35">
      <c r="A93" s="11"/>
      <c r="D93" s="13"/>
      <c r="E93" s="13"/>
      <c r="F93" s="13"/>
      <c r="G93" s="11"/>
    </row>
    <row r="94" spans="1:7" x14ac:dyDescent="0.35">
      <c r="A94" s="11"/>
      <c r="D94" s="13"/>
      <c r="E94" s="13"/>
      <c r="F94" s="13"/>
      <c r="G94" s="11"/>
    </row>
    <row r="95" spans="1:7" x14ac:dyDescent="0.35">
      <c r="A95" s="11"/>
      <c r="D95" s="13"/>
      <c r="E95" s="13"/>
      <c r="F95" s="13"/>
      <c r="G95" s="11"/>
    </row>
    <row r="96" spans="1:7" ht="15" customHeight="1" x14ac:dyDescent="0.35">
      <c r="A96" s="11"/>
      <c r="D96" s="13"/>
      <c r="E96" s="13"/>
      <c r="F96" s="13"/>
      <c r="G96" s="13"/>
    </row>
    <row r="97" spans="1:7" x14ac:dyDescent="0.35">
      <c r="A97" s="11"/>
      <c r="D97" s="13"/>
      <c r="E97" s="11"/>
      <c r="F97" s="13"/>
      <c r="G97" s="11"/>
    </row>
    <row r="98" spans="1:7" x14ac:dyDescent="0.35">
      <c r="A98" s="11"/>
      <c r="D98" s="13"/>
      <c r="E98" s="11"/>
      <c r="F98" s="13"/>
      <c r="G98" s="11"/>
    </row>
    <row r="99" spans="1:7" x14ac:dyDescent="0.35">
      <c r="A99" s="11"/>
      <c r="D99" s="13"/>
      <c r="E99" s="13"/>
      <c r="F99" s="13"/>
      <c r="G99" s="13"/>
    </row>
    <row r="100" spans="1:7" ht="15" customHeight="1" x14ac:dyDescent="0.35">
      <c r="A100" s="11"/>
      <c r="D100" s="13"/>
      <c r="E100" s="13"/>
      <c r="F100" s="13"/>
      <c r="G100" s="11"/>
    </row>
    <row r="101" spans="1:7" x14ac:dyDescent="0.35">
      <c r="A101" s="11"/>
      <c r="D101" s="13"/>
      <c r="E101" s="13"/>
      <c r="F101" s="11"/>
      <c r="G101" s="11"/>
    </row>
    <row r="102" spans="1:7" x14ac:dyDescent="0.35">
      <c r="A102" s="11"/>
      <c r="D102" s="13"/>
      <c r="E102" s="13"/>
      <c r="F102" s="11"/>
      <c r="G102" s="13"/>
    </row>
    <row r="103" spans="1:7" x14ac:dyDescent="0.35">
      <c r="A103" s="11"/>
      <c r="D103" s="13"/>
      <c r="E103" s="13"/>
      <c r="F103" s="11"/>
      <c r="G103" s="11"/>
    </row>
    <row r="104" spans="1:7" x14ac:dyDescent="0.35">
      <c r="A104" s="11"/>
      <c r="D104" s="13"/>
      <c r="E104" s="13"/>
      <c r="F104" s="11"/>
      <c r="G104" s="11"/>
    </row>
    <row r="105" spans="1:7" x14ac:dyDescent="0.35">
      <c r="A105" s="11"/>
      <c r="D105" s="13"/>
      <c r="E105" s="13"/>
      <c r="F105" s="11"/>
      <c r="G105" s="11"/>
    </row>
    <row r="106" spans="1:7" x14ac:dyDescent="0.35">
      <c r="A106" s="11"/>
      <c r="D106" s="13"/>
      <c r="E106" s="13"/>
      <c r="F106" s="11"/>
      <c r="G106" s="11"/>
    </row>
    <row r="107" spans="1:7" x14ac:dyDescent="0.35">
      <c r="A107" s="11"/>
      <c r="D107" s="13"/>
      <c r="E107" s="13"/>
      <c r="F107" s="13"/>
      <c r="G107" s="11"/>
    </row>
    <row r="108" spans="1:7" x14ac:dyDescent="0.35">
      <c r="A108" s="11"/>
      <c r="D108" s="13"/>
      <c r="E108" s="13"/>
      <c r="F108" s="13"/>
      <c r="G108" s="11"/>
    </row>
    <row r="109" spans="1:7" ht="15" customHeight="1" x14ac:dyDescent="0.35">
      <c r="A109" s="11"/>
      <c r="D109" s="13"/>
      <c r="E109" s="13"/>
      <c r="F109" s="13"/>
      <c r="G109" s="13"/>
    </row>
    <row r="110" spans="1:7" x14ac:dyDescent="0.35">
      <c r="A110" s="11"/>
      <c r="D110" s="13"/>
      <c r="E110" s="13"/>
      <c r="F110" s="13"/>
      <c r="G110" s="11"/>
    </row>
    <row r="111" spans="1:7" x14ac:dyDescent="0.35">
      <c r="A111" s="11"/>
      <c r="D111" s="13"/>
      <c r="E111" s="13"/>
      <c r="F111" s="11"/>
      <c r="G111" s="11"/>
    </row>
    <row r="112" spans="1:7" x14ac:dyDescent="0.35">
      <c r="A112" s="11"/>
      <c r="D112" s="13"/>
      <c r="E112" s="13"/>
      <c r="F112" s="11"/>
      <c r="G112" s="13"/>
    </row>
    <row r="113" spans="1:7" x14ac:dyDescent="0.35">
      <c r="A113" s="11"/>
      <c r="D113" s="13"/>
      <c r="E113" s="13"/>
      <c r="F113" s="11"/>
      <c r="G113" s="11"/>
    </row>
    <row r="114" spans="1:7" x14ac:dyDescent="0.35">
      <c r="A114" s="11"/>
      <c r="D114" s="13"/>
      <c r="E114" s="13"/>
      <c r="F114" s="11"/>
      <c r="G114" s="13"/>
    </row>
    <row r="115" spans="1:7" x14ac:dyDescent="0.35">
      <c r="A115" s="11"/>
      <c r="D115" s="13"/>
      <c r="E115" s="13"/>
      <c r="F115" s="11"/>
      <c r="G115" s="11"/>
    </row>
    <row r="116" spans="1:7" x14ac:dyDescent="0.35">
      <c r="A116" s="11"/>
      <c r="D116" s="13"/>
      <c r="E116" s="13"/>
      <c r="F116" s="11"/>
      <c r="G116" s="13"/>
    </row>
    <row r="117" spans="1:7" x14ac:dyDescent="0.35">
      <c r="A117" s="11"/>
      <c r="D117" s="13"/>
      <c r="E117" s="13"/>
      <c r="F117" s="11"/>
      <c r="G117" s="11"/>
    </row>
    <row r="118" spans="1:7" ht="15" customHeight="1" x14ac:dyDescent="0.35">
      <c r="A118" s="11"/>
      <c r="D118" s="13"/>
      <c r="E118" s="13"/>
      <c r="F118" s="11"/>
      <c r="G118" s="13"/>
    </row>
    <row r="119" spans="1:7" x14ac:dyDescent="0.35">
      <c r="A119" s="11"/>
      <c r="D119" s="13"/>
      <c r="E119" s="13"/>
      <c r="F119" s="11"/>
      <c r="G119" s="11"/>
    </row>
    <row r="120" spans="1:7" ht="15" customHeight="1" x14ac:dyDescent="0.35">
      <c r="A120" s="11"/>
      <c r="D120" s="13"/>
      <c r="E120" s="13"/>
      <c r="F120" s="11"/>
      <c r="G120" s="13"/>
    </row>
    <row r="121" spans="1:7" x14ac:dyDescent="0.35">
      <c r="A121" s="11"/>
      <c r="D121" s="13"/>
      <c r="E121" s="13"/>
      <c r="F121" s="11"/>
      <c r="G121" s="13"/>
    </row>
    <row r="122" spans="1:7" x14ac:dyDescent="0.35">
      <c r="A122" s="11"/>
      <c r="D122" s="13"/>
      <c r="E122" s="13"/>
      <c r="F122" s="11"/>
      <c r="G122" s="11"/>
    </row>
    <row r="123" spans="1:7" x14ac:dyDescent="0.35">
      <c r="A123" s="11"/>
      <c r="D123" s="13"/>
      <c r="E123" s="13"/>
      <c r="F123" s="11"/>
      <c r="G123" s="13"/>
    </row>
    <row r="124" spans="1:7" x14ac:dyDescent="0.35">
      <c r="A124" s="11"/>
      <c r="D124" s="13"/>
      <c r="E124" s="13"/>
      <c r="F124" s="11"/>
      <c r="G124" s="13"/>
    </row>
    <row r="125" spans="1:7" x14ac:dyDescent="0.35">
      <c r="A125" s="11"/>
      <c r="D125" s="13"/>
      <c r="E125" s="13"/>
      <c r="F125" s="11"/>
      <c r="G125" s="11"/>
    </row>
    <row r="126" spans="1:7" x14ac:dyDescent="0.35">
      <c r="A126" s="11"/>
      <c r="D126" s="13"/>
      <c r="E126" s="13"/>
      <c r="F126" s="11"/>
      <c r="G126" s="13"/>
    </row>
    <row r="127" spans="1:7" x14ac:dyDescent="0.35">
      <c r="A127" s="11"/>
      <c r="D127" s="13"/>
      <c r="E127" s="13"/>
      <c r="F127" s="11"/>
      <c r="G127" s="11"/>
    </row>
    <row r="128" spans="1:7" x14ac:dyDescent="0.35">
      <c r="A128" s="11"/>
      <c r="D128" s="13"/>
      <c r="E128" s="13"/>
      <c r="F128" s="11"/>
      <c r="G128" s="13"/>
    </row>
    <row r="129" spans="1:7" x14ac:dyDescent="0.35">
      <c r="A129" s="11"/>
      <c r="D129" s="13"/>
      <c r="E129" s="13"/>
      <c r="F129" s="11"/>
      <c r="G129" s="11"/>
    </row>
    <row r="130" spans="1:7" ht="15" customHeight="1" x14ac:dyDescent="0.35">
      <c r="A130" s="11"/>
      <c r="D130" s="13"/>
      <c r="E130" s="13"/>
      <c r="F130" s="11"/>
      <c r="G130" s="13"/>
    </row>
    <row r="131" spans="1:7" x14ac:dyDescent="0.35">
      <c r="A131" s="11"/>
      <c r="D131" s="13"/>
      <c r="E131" s="13"/>
      <c r="F131" s="11"/>
      <c r="G131" s="11"/>
    </row>
    <row r="132" spans="1:7" x14ac:dyDescent="0.35">
      <c r="A132" s="11"/>
      <c r="D132" s="13"/>
      <c r="E132" s="13"/>
      <c r="F132" s="11"/>
      <c r="G132" s="13"/>
    </row>
    <row r="133" spans="1:7" x14ac:dyDescent="0.35">
      <c r="A133" s="11"/>
      <c r="D133" s="13"/>
      <c r="E133" s="13"/>
      <c r="F133" s="11"/>
      <c r="G133" s="11"/>
    </row>
    <row r="134" spans="1:7" x14ac:dyDescent="0.35">
      <c r="A134" s="11"/>
      <c r="D134" s="13"/>
      <c r="E134" s="13"/>
      <c r="F134" s="11"/>
      <c r="G134" s="13"/>
    </row>
    <row r="135" spans="1:7" x14ac:dyDescent="0.35">
      <c r="A135" s="11"/>
      <c r="D135" s="13"/>
      <c r="E135" s="13"/>
      <c r="F135" s="11"/>
      <c r="G135" s="11"/>
    </row>
    <row r="136" spans="1:7" x14ac:dyDescent="0.35">
      <c r="A136" s="11"/>
      <c r="D136" s="13"/>
      <c r="E136" s="13"/>
      <c r="F136" s="11"/>
      <c r="G136" s="13"/>
    </row>
    <row r="137" spans="1:7" x14ac:dyDescent="0.35">
      <c r="A137" s="11"/>
      <c r="D137" s="13"/>
      <c r="E137" s="13"/>
      <c r="F137" s="11"/>
      <c r="G137" s="11"/>
    </row>
    <row r="138" spans="1:7" x14ac:dyDescent="0.35">
      <c r="A138" s="11"/>
      <c r="D138" s="13"/>
      <c r="E138" s="13"/>
      <c r="F138" s="11"/>
      <c r="G138" s="11"/>
    </row>
    <row r="139" spans="1:7" x14ac:dyDescent="0.35">
      <c r="A139" s="11"/>
      <c r="D139" s="13"/>
      <c r="E139" s="13"/>
      <c r="F139" s="11"/>
      <c r="G139" s="13"/>
    </row>
    <row r="140" spans="1:7" x14ac:dyDescent="0.35">
      <c r="A140" s="11"/>
      <c r="D140" s="13"/>
      <c r="E140" s="13"/>
      <c r="F140" s="11"/>
      <c r="G140" s="11"/>
    </row>
    <row r="141" spans="1:7" x14ac:dyDescent="0.35">
      <c r="A141" s="11"/>
      <c r="D141" s="11"/>
      <c r="E141" s="13"/>
      <c r="F141" s="11"/>
      <c r="G141" s="11"/>
    </row>
    <row r="142" spans="1:7" x14ac:dyDescent="0.35">
      <c r="A142" s="11"/>
      <c r="D142" s="13"/>
      <c r="E142" s="13"/>
      <c r="F142" s="11"/>
      <c r="G142" s="13"/>
    </row>
    <row r="143" spans="1:7" x14ac:dyDescent="0.35">
      <c r="A143" s="11"/>
      <c r="D143" s="13"/>
      <c r="E143" s="13"/>
      <c r="F143" s="11"/>
      <c r="G143" s="13"/>
    </row>
    <row r="144" spans="1:7" ht="15" customHeight="1" x14ac:dyDescent="0.35">
      <c r="A144" s="11"/>
      <c r="D144" s="13"/>
      <c r="E144" s="13"/>
      <c r="F144" s="11"/>
      <c r="G144" s="11"/>
    </row>
    <row r="145" spans="1:7" x14ac:dyDescent="0.35">
      <c r="A145" s="11"/>
      <c r="D145" s="13"/>
      <c r="E145" s="13"/>
      <c r="F145" s="11"/>
      <c r="G145" s="13"/>
    </row>
    <row r="146" spans="1:7" x14ac:dyDescent="0.35">
      <c r="A146" s="11"/>
      <c r="D146" s="13"/>
      <c r="E146" s="13"/>
      <c r="F146" s="13"/>
      <c r="G146" s="13"/>
    </row>
    <row r="147" spans="1:7" x14ac:dyDescent="0.35">
      <c r="A147" s="11"/>
      <c r="D147" s="13"/>
      <c r="E147" s="13"/>
      <c r="F147" s="13"/>
      <c r="G147" s="11"/>
    </row>
    <row r="148" spans="1:7" x14ac:dyDescent="0.35">
      <c r="A148" s="11"/>
      <c r="D148" s="13"/>
      <c r="E148" s="13"/>
      <c r="F148" s="13"/>
      <c r="G148" s="13"/>
    </row>
    <row r="149" spans="1:7" x14ac:dyDescent="0.35">
      <c r="A149" s="11"/>
      <c r="D149" s="13"/>
      <c r="E149" s="11"/>
      <c r="F149" s="13"/>
      <c r="G149" s="11"/>
    </row>
    <row r="150" spans="1:7" x14ac:dyDescent="0.35">
      <c r="A150" s="11"/>
      <c r="D150" s="13"/>
      <c r="E150" s="11"/>
      <c r="F150" s="11"/>
      <c r="G150" s="11"/>
    </row>
    <row r="151" spans="1:7" ht="15" customHeight="1" x14ac:dyDescent="0.35">
      <c r="A151" s="11"/>
      <c r="D151" s="13"/>
      <c r="E151" s="13"/>
      <c r="F151" s="11"/>
      <c r="G151" s="13"/>
    </row>
    <row r="152" spans="1:7" x14ac:dyDescent="0.35">
      <c r="A152" s="11"/>
      <c r="D152" s="13"/>
      <c r="E152" s="13"/>
      <c r="F152" s="11"/>
      <c r="G152" s="11"/>
    </row>
    <row r="153" spans="1:7" x14ac:dyDescent="0.35">
      <c r="A153" s="11"/>
      <c r="D153" s="13"/>
      <c r="E153" s="13"/>
      <c r="F153" s="11"/>
      <c r="G153" s="13"/>
    </row>
    <row r="154" spans="1:7" x14ac:dyDescent="0.35">
      <c r="A154" s="11"/>
      <c r="D154" s="13"/>
      <c r="E154" s="13"/>
      <c r="F154" s="11"/>
      <c r="G154" s="11"/>
    </row>
    <row r="155" spans="1:7" x14ac:dyDescent="0.35">
      <c r="A155" s="11"/>
      <c r="D155" s="13"/>
      <c r="E155" s="13"/>
      <c r="F155" s="11"/>
      <c r="G155" s="13"/>
    </row>
    <row r="156" spans="1:7" x14ac:dyDescent="0.35">
      <c r="A156" s="11"/>
      <c r="D156" s="13"/>
      <c r="E156" s="13"/>
      <c r="F156" s="11"/>
      <c r="G156" s="11"/>
    </row>
    <row r="157" spans="1:7" x14ac:dyDescent="0.35">
      <c r="A157" s="11"/>
      <c r="D157" s="13"/>
      <c r="E157" s="13"/>
      <c r="F157" s="11"/>
      <c r="G157" s="13"/>
    </row>
    <row r="158" spans="1:7" x14ac:dyDescent="0.35">
      <c r="A158" s="11"/>
      <c r="D158" s="13"/>
      <c r="E158" s="13"/>
      <c r="F158" s="11"/>
      <c r="G158" s="11"/>
    </row>
    <row r="159" spans="1:7" x14ac:dyDescent="0.35">
      <c r="A159" s="11"/>
      <c r="D159" s="13"/>
      <c r="E159" s="13"/>
      <c r="F159" s="11"/>
      <c r="G159" s="13"/>
    </row>
    <row r="160" spans="1:7" x14ac:dyDescent="0.35">
      <c r="A160" s="11"/>
      <c r="D160" s="13"/>
      <c r="E160" s="13"/>
      <c r="F160" s="11"/>
      <c r="G160" s="13"/>
    </row>
    <row r="161" spans="1:7" x14ac:dyDescent="0.35">
      <c r="A161" s="11"/>
      <c r="D161" s="13"/>
      <c r="E161" s="13"/>
      <c r="F161" s="11"/>
      <c r="G161" s="11"/>
    </row>
    <row r="162" spans="1:7" x14ac:dyDescent="0.35">
      <c r="A162" s="11"/>
      <c r="D162" s="13"/>
      <c r="E162" s="13"/>
      <c r="F162" s="11"/>
      <c r="G162" s="13"/>
    </row>
    <row r="163" spans="1:7" x14ac:dyDescent="0.35">
      <c r="A163" s="11"/>
      <c r="D163" s="13"/>
      <c r="E163" s="13"/>
      <c r="F163" s="11"/>
      <c r="G163" s="13"/>
    </row>
    <row r="164" spans="1:7" x14ac:dyDescent="0.35">
      <c r="A164" s="11"/>
      <c r="D164" s="13"/>
      <c r="E164" s="13"/>
      <c r="F164" s="11"/>
      <c r="G164" s="11"/>
    </row>
    <row r="165" spans="1:7" x14ac:dyDescent="0.35">
      <c r="A165" s="11"/>
      <c r="D165" s="13"/>
      <c r="E165" s="13"/>
      <c r="F165" s="11"/>
      <c r="G165" s="13"/>
    </row>
    <row r="166" spans="1:7" x14ac:dyDescent="0.35">
      <c r="A166" s="11"/>
      <c r="D166" s="13"/>
      <c r="E166" s="13"/>
      <c r="F166" s="11"/>
      <c r="G166" s="13"/>
    </row>
    <row r="167" spans="1:7" ht="15" customHeight="1" x14ac:dyDescent="0.35">
      <c r="A167" s="11"/>
      <c r="D167" s="13"/>
      <c r="E167" s="13"/>
      <c r="F167" s="11"/>
      <c r="G167" s="11"/>
    </row>
    <row r="168" spans="1:7" x14ac:dyDescent="0.35">
      <c r="A168" s="11"/>
      <c r="D168" s="13"/>
      <c r="E168" s="13"/>
      <c r="F168" s="11"/>
      <c r="G168" s="13"/>
    </row>
    <row r="169" spans="1:7" x14ac:dyDescent="0.35">
      <c r="A169" s="11"/>
      <c r="D169" s="13"/>
      <c r="E169" s="13"/>
      <c r="F169" s="11"/>
      <c r="G169" s="11"/>
    </row>
    <row r="170" spans="1:7" x14ac:dyDescent="0.35">
      <c r="A170" s="11"/>
      <c r="D170" s="13"/>
      <c r="E170" s="13"/>
      <c r="F170" s="11"/>
      <c r="G170" s="11"/>
    </row>
    <row r="171" spans="1:7" ht="15" customHeight="1" x14ac:dyDescent="0.35">
      <c r="A171" s="11"/>
      <c r="D171" s="13"/>
      <c r="E171" s="13"/>
      <c r="F171" s="13"/>
      <c r="G171" s="13"/>
    </row>
    <row r="172" spans="1:7" x14ac:dyDescent="0.35">
      <c r="A172" s="11"/>
      <c r="D172" s="13"/>
      <c r="E172" s="13"/>
      <c r="F172" s="13"/>
      <c r="G172" s="13"/>
    </row>
    <row r="173" spans="1:7" x14ac:dyDescent="0.35">
      <c r="A173" s="11"/>
      <c r="D173" s="13"/>
      <c r="E173" s="13"/>
      <c r="F173" s="13"/>
      <c r="G173" s="11"/>
    </row>
    <row r="174" spans="1:7" x14ac:dyDescent="0.35">
      <c r="A174" s="11"/>
      <c r="D174" s="13"/>
      <c r="E174" s="13"/>
      <c r="F174" s="13"/>
      <c r="G174" s="11"/>
    </row>
    <row r="175" spans="1:7" x14ac:dyDescent="0.35">
      <c r="A175" s="11"/>
      <c r="D175" s="13"/>
      <c r="E175" s="13"/>
      <c r="F175" s="13"/>
      <c r="G175" s="11"/>
    </row>
    <row r="176" spans="1:7" x14ac:dyDescent="0.35">
      <c r="A176" s="11"/>
      <c r="D176" s="13"/>
      <c r="E176" s="13"/>
      <c r="F176" s="11"/>
      <c r="G176" s="11"/>
    </row>
    <row r="177" spans="1:7" x14ac:dyDescent="0.35">
      <c r="A177" s="11"/>
      <c r="D177" s="13"/>
      <c r="E177" s="13"/>
      <c r="F177" s="11"/>
      <c r="G177" s="11"/>
    </row>
    <row r="178" spans="1:7" x14ac:dyDescent="0.35">
      <c r="A178" s="11"/>
      <c r="D178" s="13"/>
      <c r="E178" s="13"/>
      <c r="F178" s="11"/>
      <c r="G178" s="11"/>
    </row>
    <row r="179" spans="1:7" x14ac:dyDescent="0.35">
      <c r="A179" s="11"/>
      <c r="D179" s="13"/>
      <c r="E179" s="13"/>
      <c r="F179" s="11"/>
      <c r="G179" s="11"/>
    </row>
    <row r="180" spans="1:7" x14ac:dyDescent="0.35">
      <c r="A180" s="11"/>
      <c r="D180" s="13"/>
      <c r="E180" s="13"/>
      <c r="F180" s="11"/>
      <c r="G180" s="11"/>
    </row>
    <row r="181" spans="1:7" ht="15" customHeight="1" x14ac:dyDescent="0.35">
      <c r="A181" s="11"/>
      <c r="D181" s="13"/>
      <c r="E181" s="13"/>
      <c r="F181" s="11"/>
      <c r="G181" s="11"/>
    </row>
    <row r="182" spans="1:7" x14ac:dyDescent="0.35">
      <c r="A182" s="11"/>
      <c r="D182" s="13"/>
      <c r="E182" s="13"/>
      <c r="F182" s="11"/>
      <c r="G182" s="11"/>
    </row>
    <row r="183" spans="1:7" x14ac:dyDescent="0.35">
      <c r="A183" s="11"/>
      <c r="D183" s="13"/>
      <c r="E183" s="13"/>
      <c r="F183" s="11"/>
      <c r="G183" s="11"/>
    </row>
    <row r="184" spans="1:7" x14ac:dyDescent="0.35">
      <c r="A184" s="11"/>
      <c r="D184" s="13"/>
      <c r="E184" s="13"/>
      <c r="F184" s="11"/>
      <c r="G184" s="11"/>
    </row>
    <row r="185" spans="1:7" x14ac:dyDescent="0.35">
      <c r="A185" s="11"/>
      <c r="D185" s="13"/>
      <c r="E185" s="13"/>
      <c r="F185" s="11"/>
      <c r="G185" s="11"/>
    </row>
    <row r="186" spans="1:7" x14ac:dyDescent="0.35">
      <c r="A186" s="11"/>
      <c r="D186" s="13"/>
      <c r="E186" s="13"/>
      <c r="F186" s="11"/>
      <c r="G186" s="13"/>
    </row>
    <row r="187" spans="1:7" x14ac:dyDescent="0.35">
      <c r="A187" s="11"/>
      <c r="D187" s="13"/>
      <c r="E187" s="13"/>
      <c r="F187" s="11"/>
      <c r="G187" s="13"/>
    </row>
    <row r="188" spans="1:7" x14ac:dyDescent="0.35">
      <c r="A188" s="11"/>
      <c r="D188" s="13"/>
      <c r="E188" s="13"/>
      <c r="F188" s="11"/>
      <c r="G188" s="11"/>
    </row>
    <row r="189" spans="1:7" x14ac:dyDescent="0.35">
      <c r="A189" s="11"/>
      <c r="D189" s="13"/>
      <c r="E189" s="13"/>
      <c r="F189" s="11"/>
      <c r="G189" s="13"/>
    </row>
    <row r="190" spans="1:7" x14ac:dyDescent="0.35">
      <c r="A190" s="11"/>
      <c r="D190" s="13"/>
      <c r="E190" s="13"/>
      <c r="F190" s="11"/>
      <c r="G190" s="13"/>
    </row>
    <row r="191" spans="1:7" x14ac:dyDescent="0.35">
      <c r="A191" s="11"/>
      <c r="D191" s="13"/>
      <c r="E191" s="13"/>
      <c r="F191" s="11"/>
      <c r="G191" s="11"/>
    </row>
    <row r="192" spans="1:7" ht="15" customHeight="1" x14ac:dyDescent="0.35">
      <c r="A192" s="11"/>
      <c r="D192" s="13"/>
      <c r="E192" s="13"/>
      <c r="F192" s="11"/>
      <c r="G192" s="13"/>
    </row>
    <row r="193" spans="1:7" x14ac:dyDescent="0.35">
      <c r="A193" s="11"/>
      <c r="D193" s="13"/>
      <c r="E193" s="13"/>
      <c r="F193" s="11"/>
      <c r="G193" s="13"/>
    </row>
    <row r="194" spans="1:7" x14ac:dyDescent="0.35">
      <c r="A194" s="11"/>
      <c r="D194" s="13"/>
      <c r="E194" s="13"/>
      <c r="F194" s="11"/>
      <c r="G194" s="11"/>
    </row>
    <row r="195" spans="1:7" ht="15" customHeight="1" x14ac:dyDescent="0.35">
      <c r="A195" s="11"/>
      <c r="D195" s="13"/>
      <c r="E195" s="13"/>
      <c r="F195" s="11"/>
      <c r="G195" s="13"/>
    </row>
    <row r="196" spans="1:7" x14ac:dyDescent="0.35">
      <c r="A196" s="11"/>
      <c r="D196" s="13"/>
      <c r="E196" s="13"/>
      <c r="F196" s="13"/>
      <c r="G196" s="11"/>
    </row>
    <row r="197" spans="1:7" x14ac:dyDescent="0.35">
      <c r="A197" s="11"/>
      <c r="D197" s="13"/>
      <c r="E197" s="13"/>
      <c r="F197" s="13"/>
      <c r="G197" s="11"/>
    </row>
    <row r="198" spans="1:7" x14ac:dyDescent="0.35">
      <c r="A198" s="11"/>
      <c r="D198" s="11"/>
      <c r="E198" s="13"/>
      <c r="F198" s="13"/>
      <c r="G198" s="11"/>
    </row>
    <row r="199" spans="1:7" x14ac:dyDescent="0.35">
      <c r="A199" s="11"/>
      <c r="D199" s="13"/>
      <c r="E199" s="13"/>
      <c r="F199" s="13"/>
      <c r="G199" s="11"/>
    </row>
    <row r="200" spans="1:7" x14ac:dyDescent="0.35">
      <c r="A200" s="11"/>
      <c r="D200" s="13"/>
      <c r="E200" s="13"/>
      <c r="F200" s="13"/>
      <c r="G200" s="11"/>
    </row>
    <row r="201" spans="1:7" x14ac:dyDescent="0.35">
      <c r="A201" s="11"/>
      <c r="D201" s="13"/>
      <c r="E201" s="13"/>
      <c r="F201" s="13"/>
      <c r="G201" s="11"/>
    </row>
    <row r="202" spans="1:7" x14ac:dyDescent="0.35">
      <c r="A202" s="11"/>
      <c r="D202" s="13"/>
      <c r="E202" s="13"/>
      <c r="F202" s="11"/>
      <c r="G202" s="11"/>
    </row>
    <row r="203" spans="1:7" x14ac:dyDescent="0.35">
      <c r="A203" s="11"/>
      <c r="D203" s="13"/>
      <c r="E203" s="13"/>
      <c r="F203" s="11"/>
      <c r="G203" s="11"/>
    </row>
    <row r="204" spans="1:7" x14ac:dyDescent="0.35">
      <c r="A204" s="11"/>
      <c r="D204" s="13"/>
      <c r="E204" s="13"/>
      <c r="F204" s="11"/>
      <c r="G204" s="11"/>
    </row>
    <row r="205" spans="1:7" x14ac:dyDescent="0.35">
      <c r="A205" s="11"/>
      <c r="D205" s="13"/>
      <c r="E205" s="13"/>
      <c r="F205" s="11"/>
      <c r="G205" s="11"/>
    </row>
    <row r="206" spans="1:7" x14ac:dyDescent="0.35">
      <c r="A206" s="11"/>
      <c r="D206" s="13"/>
      <c r="E206" s="13"/>
      <c r="F206" s="11"/>
      <c r="G206" s="11"/>
    </row>
    <row r="207" spans="1:7" x14ac:dyDescent="0.35">
      <c r="A207" s="11"/>
      <c r="D207" s="13"/>
      <c r="E207" s="13"/>
      <c r="F207" s="11"/>
      <c r="G207" s="11"/>
    </row>
    <row r="208" spans="1:7" x14ac:dyDescent="0.35">
      <c r="A208" s="11"/>
      <c r="D208" s="13"/>
      <c r="E208" s="13"/>
      <c r="F208" s="11"/>
      <c r="G208" s="13"/>
    </row>
    <row r="209" spans="1:7" x14ac:dyDescent="0.35">
      <c r="A209" s="11"/>
      <c r="D209" s="13"/>
      <c r="E209" s="13"/>
      <c r="F209" s="11"/>
      <c r="G209" s="13"/>
    </row>
    <row r="210" spans="1:7" x14ac:dyDescent="0.35">
      <c r="A210" s="11"/>
      <c r="D210" s="13"/>
      <c r="E210" s="13"/>
      <c r="F210" s="11"/>
      <c r="G210" s="13"/>
    </row>
    <row r="211" spans="1:7" ht="15" customHeight="1" x14ac:dyDescent="0.35">
      <c r="A211" s="11"/>
      <c r="D211" s="13"/>
      <c r="E211" s="13"/>
      <c r="F211" s="11"/>
      <c r="G211" s="13"/>
    </row>
    <row r="212" spans="1:7" x14ac:dyDescent="0.35">
      <c r="A212" s="11"/>
      <c r="D212" s="13"/>
      <c r="E212" s="13"/>
      <c r="F212" s="11"/>
      <c r="G212" s="13"/>
    </row>
    <row r="213" spans="1:7" x14ac:dyDescent="0.35">
      <c r="A213" s="11"/>
      <c r="D213" s="13"/>
      <c r="E213" s="13"/>
      <c r="F213" s="11"/>
      <c r="G213" s="11"/>
    </row>
    <row r="214" spans="1:7" x14ac:dyDescent="0.35">
      <c r="A214" s="11"/>
      <c r="D214" s="13"/>
      <c r="E214" s="13"/>
      <c r="F214" s="11"/>
      <c r="G214" s="13"/>
    </row>
    <row r="215" spans="1:7" x14ac:dyDescent="0.35">
      <c r="A215" s="11"/>
      <c r="D215" s="13"/>
      <c r="E215" s="13"/>
      <c r="F215" s="11"/>
      <c r="G215" s="13"/>
    </row>
    <row r="216" spans="1:7" x14ac:dyDescent="0.35">
      <c r="A216" s="11"/>
      <c r="D216" s="13"/>
      <c r="E216" s="13"/>
      <c r="F216" s="11"/>
      <c r="G216" s="11"/>
    </row>
    <row r="217" spans="1:7" ht="15" customHeight="1" x14ac:dyDescent="0.35">
      <c r="A217" s="11"/>
      <c r="D217" s="13"/>
      <c r="E217" s="13"/>
      <c r="F217" s="11"/>
      <c r="G217" s="13"/>
    </row>
    <row r="218" spans="1:7" x14ac:dyDescent="0.35">
      <c r="A218" s="11"/>
      <c r="D218" s="13"/>
      <c r="E218" s="13"/>
      <c r="F218" s="11"/>
      <c r="G218" s="13"/>
    </row>
    <row r="219" spans="1:7" x14ac:dyDescent="0.35">
      <c r="A219" s="11"/>
      <c r="D219" s="13"/>
      <c r="E219" s="13"/>
      <c r="F219" s="11"/>
      <c r="G219" s="11"/>
    </row>
    <row r="220" spans="1:7" ht="15" customHeight="1" x14ac:dyDescent="0.35">
      <c r="A220" s="11"/>
      <c r="D220" s="13"/>
      <c r="E220" s="13"/>
      <c r="F220" s="11"/>
      <c r="G220" s="13"/>
    </row>
    <row r="221" spans="1:7" x14ac:dyDescent="0.35">
      <c r="A221" s="11"/>
      <c r="D221" s="13"/>
      <c r="E221" s="13"/>
      <c r="F221" s="11"/>
      <c r="G221" s="11"/>
    </row>
    <row r="222" spans="1:7" x14ac:dyDescent="0.35">
      <c r="A222" s="11"/>
      <c r="D222" s="13"/>
      <c r="E222" s="13"/>
      <c r="F222" s="11"/>
      <c r="G222" s="13"/>
    </row>
    <row r="223" spans="1:7" ht="15" customHeight="1" x14ac:dyDescent="0.35">
      <c r="A223" s="11"/>
      <c r="D223" s="13"/>
      <c r="E223" s="13"/>
      <c r="F223" s="11"/>
      <c r="G223" s="13"/>
    </row>
    <row r="224" spans="1:7" x14ac:dyDescent="0.35">
      <c r="A224" s="11"/>
      <c r="D224" s="13"/>
      <c r="E224" s="13"/>
      <c r="F224" s="11"/>
      <c r="G224" s="11"/>
    </row>
    <row r="225" spans="1:7" x14ac:dyDescent="0.35">
      <c r="A225" s="11"/>
      <c r="D225" s="13"/>
      <c r="E225" s="13"/>
      <c r="F225" s="11"/>
      <c r="G225" s="1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182F-5D40-48CA-9C2D-8E6F79DDBE00}">
  <sheetPr codeName="Лист33"/>
  <dimension ref="A1:J190"/>
  <sheetViews>
    <sheetView workbookViewId="0">
      <selection activeCell="K39" sqref="K39:K40"/>
    </sheetView>
  </sheetViews>
  <sheetFormatPr defaultRowHeight="14.5" x14ac:dyDescent="0.35"/>
  <sheetData>
    <row r="1" spans="1:10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3355</v>
      </c>
      <c r="J1" s="11" t="s">
        <v>2387</v>
      </c>
    </row>
    <row r="2" spans="1:10" x14ac:dyDescent="0.35">
      <c r="A2" s="81">
        <v>20</v>
      </c>
      <c r="B2" s="91">
        <v>16</v>
      </c>
      <c r="C2" s="73">
        <v>28</v>
      </c>
      <c r="D2" s="102">
        <v>11</v>
      </c>
      <c r="E2" s="102">
        <v>96</v>
      </c>
      <c r="F2" s="73">
        <v>65</v>
      </c>
      <c r="G2" s="79">
        <v>4</v>
      </c>
      <c r="H2" s="73">
        <v>14</v>
      </c>
      <c r="I2" s="93" t="s">
        <v>3603</v>
      </c>
      <c r="J2" s="73" t="s">
        <v>3622</v>
      </c>
    </row>
    <row r="3" spans="1:10" ht="15" customHeight="1" x14ac:dyDescent="0.35">
      <c r="A3" s="82">
        <v>25</v>
      </c>
      <c r="B3" s="92">
        <v>16</v>
      </c>
      <c r="C3" s="72">
        <v>34</v>
      </c>
      <c r="D3" s="101">
        <v>12</v>
      </c>
      <c r="E3" s="101">
        <v>105</v>
      </c>
      <c r="F3" s="72">
        <v>75</v>
      </c>
      <c r="G3" s="78">
        <v>4</v>
      </c>
      <c r="H3" s="72">
        <v>14</v>
      </c>
      <c r="I3" s="94" t="s">
        <v>3604</v>
      </c>
      <c r="J3" s="72" t="s">
        <v>3623</v>
      </c>
    </row>
    <row r="4" spans="1:10" x14ac:dyDescent="0.35">
      <c r="A4" s="81">
        <v>32</v>
      </c>
      <c r="B4" s="91">
        <v>16</v>
      </c>
      <c r="C4" s="73">
        <v>42</v>
      </c>
      <c r="D4" s="102">
        <v>14</v>
      </c>
      <c r="E4" s="102">
        <v>115</v>
      </c>
      <c r="F4" s="73">
        <v>85</v>
      </c>
      <c r="G4" s="79">
        <v>4</v>
      </c>
      <c r="H4" s="73">
        <v>14</v>
      </c>
      <c r="I4" s="93" t="s">
        <v>3605</v>
      </c>
      <c r="J4" s="73" t="s">
        <v>3624</v>
      </c>
    </row>
    <row r="5" spans="1:10" ht="15" customHeight="1" x14ac:dyDescent="0.35">
      <c r="A5" s="82">
        <v>40</v>
      </c>
      <c r="B5" s="92">
        <v>16</v>
      </c>
      <c r="C5" s="72">
        <v>51</v>
      </c>
      <c r="D5" s="101">
        <v>15</v>
      </c>
      <c r="E5" s="101">
        <v>140</v>
      </c>
      <c r="F5" s="101">
        <v>100</v>
      </c>
      <c r="G5" s="78">
        <v>4</v>
      </c>
      <c r="H5" s="72">
        <v>14</v>
      </c>
      <c r="I5" s="94" t="s">
        <v>3606</v>
      </c>
      <c r="J5" s="72" t="s">
        <v>3625</v>
      </c>
    </row>
    <row r="6" spans="1:10" x14ac:dyDescent="0.35">
      <c r="A6" s="81">
        <v>50</v>
      </c>
      <c r="B6" s="91">
        <v>16</v>
      </c>
      <c r="C6" s="73">
        <v>62</v>
      </c>
      <c r="D6" s="102">
        <v>16</v>
      </c>
      <c r="E6" s="102">
        <v>150</v>
      </c>
      <c r="F6" s="102">
        <v>110</v>
      </c>
      <c r="G6" s="79">
        <v>4</v>
      </c>
      <c r="H6" s="73">
        <v>18</v>
      </c>
      <c r="I6" s="93" t="s">
        <v>3607</v>
      </c>
      <c r="J6" s="73" t="s">
        <v>3552</v>
      </c>
    </row>
    <row r="7" spans="1:10" x14ac:dyDescent="0.35">
      <c r="A7" s="82">
        <v>63</v>
      </c>
      <c r="B7" s="92">
        <v>16</v>
      </c>
      <c r="C7" s="72">
        <v>78</v>
      </c>
      <c r="D7" s="101">
        <v>18</v>
      </c>
      <c r="E7" s="101">
        <v>165</v>
      </c>
      <c r="F7" s="101">
        <v>125</v>
      </c>
      <c r="G7" s="78">
        <v>4</v>
      </c>
      <c r="H7" s="72">
        <v>18</v>
      </c>
      <c r="I7" s="94" t="s">
        <v>3608</v>
      </c>
      <c r="J7" s="72" t="s">
        <v>3626</v>
      </c>
    </row>
    <row r="8" spans="1:10" ht="15" customHeight="1" x14ac:dyDescent="0.35">
      <c r="A8" s="81">
        <v>75</v>
      </c>
      <c r="B8" s="91">
        <v>16</v>
      </c>
      <c r="C8" s="73">
        <v>92</v>
      </c>
      <c r="D8" s="102">
        <v>20</v>
      </c>
      <c r="E8" s="102">
        <v>185</v>
      </c>
      <c r="F8" s="102">
        <v>145</v>
      </c>
      <c r="G8" s="79">
        <v>4</v>
      </c>
      <c r="H8" s="73">
        <v>18</v>
      </c>
      <c r="I8" s="93" t="s">
        <v>3609</v>
      </c>
      <c r="J8" s="73" t="s">
        <v>3522</v>
      </c>
    </row>
    <row r="9" spans="1:10" ht="15" customHeight="1" x14ac:dyDescent="0.35">
      <c r="A9" s="82">
        <v>90</v>
      </c>
      <c r="B9" s="92">
        <v>16</v>
      </c>
      <c r="C9" s="101">
        <v>111</v>
      </c>
      <c r="D9" s="101">
        <v>22</v>
      </c>
      <c r="E9" s="101">
        <v>200</v>
      </c>
      <c r="F9" s="101">
        <v>160</v>
      </c>
      <c r="G9" s="78">
        <v>8</v>
      </c>
      <c r="H9" s="72">
        <v>18</v>
      </c>
      <c r="I9" s="94" t="s">
        <v>3610</v>
      </c>
      <c r="J9" s="72" t="s">
        <v>3627</v>
      </c>
    </row>
    <row r="10" spans="1:10" x14ac:dyDescent="0.35">
      <c r="A10" s="81">
        <v>110</v>
      </c>
      <c r="B10" s="91">
        <v>16</v>
      </c>
      <c r="C10" s="102">
        <v>133</v>
      </c>
      <c r="D10" s="102">
        <v>24</v>
      </c>
      <c r="E10" s="102">
        <v>220</v>
      </c>
      <c r="F10" s="102">
        <v>180</v>
      </c>
      <c r="G10" s="79">
        <v>8</v>
      </c>
      <c r="H10" s="73">
        <v>18</v>
      </c>
      <c r="I10" s="93" t="s">
        <v>3611</v>
      </c>
      <c r="J10" s="73" t="s">
        <v>3628</v>
      </c>
    </row>
    <row r="11" spans="1:10" ht="15" customHeight="1" x14ac:dyDescent="0.35">
      <c r="A11" s="82">
        <v>125</v>
      </c>
      <c r="B11" s="92">
        <v>16</v>
      </c>
      <c r="C11" s="101">
        <v>150</v>
      </c>
      <c r="D11" s="101">
        <v>26</v>
      </c>
      <c r="E11" s="101">
        <v>250</v>
      </c>
      <c r="F11" s="101">
        <v>210</v>
      </c>
      <c r="G11" s="78">
        <v>8</v>
      </c>
      <c r="H11" s="72">
        <v>18</v>
      </c>
      <c r="I11" s="94" t="s">
        <v>3612</v>
      </c>
      <c r="J11" s="72" t="s">
        <v>3555</v>
      </c>
    </row>
    <row r="12" spans="1:10" x14ac:dyDescent="0.35">
      <c r="A12" s="81">
        <v>140</v>
      </c>
      <c r="B12" s="91">
        <v>16</v>
      </c>
      <c r="C12" s="102">
        <v>167</v>
      </c>
      <c r="D12" s="102">
        <v>26</v>
      </c>
      <c r="E12" s="102">
        <v>250</v>
      </c>
      <c r="F12" s="102">
        <v>210</v>
      </c>
      <c r="G12" s="79">
        <v>8</v>
      </c>
      <c r="H12" s="73">
        <v>18</v>
      </c>
      <c r="I12" s="93" t="s">
        <v>3613</v>
      </c>
      <c r="J12" s="73" t="s">
        <v>3629</v>
      </c>
    </row>
    <row r="13" spans="1:10" x14ac:dyDescent="0.35">
      <c r="A13" s="82">
        <v>160</v>
      </c>
      <c r="B13" s="92">
        <v>16</v>
      </c>
      <c r="C13" s="101">
        <v>193</v>
      </c>
      <c r="D13" s="101">
        <v>28</v>
      </c>
      <c r="E13" s="101">
        <v>285</v>
      </c>
      <c r="F13" s="101">
        <v>250</v>
      </c>
      <c r="G13" s="78">
        <v>8</v>
      </c>
      <c r="H13" s="72">
        <v>22</v>
      </c>
      <c r="I13" s="94" t="s">
        <v>3614</v>
      </c>
      <c r="J13" s="72" t="s">
        <v>3630</v>
      </c>
    </row>
    <row r="14" spans="1:10" ht="15" customHeight="1" x14ac:dyDescent="0.35">
      <c r="A14" s="81">
        <v>200</v>
      </c>
      <c r="B14" s="91">
        <v>16</v>
      </c>
      <c r="C14" s="102">
        <v>234</v>
      </c>
      <c r="D14" s="102">
        <v>32</v>
      </c>
      <c r="E14" s="102">
        <v>340</v>
      </c>
      <c r="F14" s="102">
        <v>295</v>
      </c>
      <c r="G14" s="79">
        <v>8</v>
      </c>
      <c r="H14" s="73">
        <v>22</v>
      </c>
      <c r="I14" s="93" t="s">
        <v>3615</v>
      </c>
      <c r="J14" s="73" t="s">
        <v>3631</v>
      </c>
    </row>
    <row r="15" spans="1:10" ht="15" customHeight="1" x14ac:dyDescent="0.35">
      <c r="A15" s="82">
        <v>225</v>
      </c>
      <c r="B15" s="92">
        <v>16</v>
      </c>
      <c r="C15" s="101">
        <v>257</v>
      </c>
      <c r="D15" s="101">
        <v>32</v>
      </c>
      <c r="E15" s="101">
        <v>340</v>
      </c>
      <c r="F15" s="101">
        <v>295</v>
      </c>
      <c r="G15" s="78">
        <v>8</v>
      </c>
      <c r="H15" s="72">
        <v>22</v>
      </c>
      <c r="I15" s="94" t="s">
        <v>3616</v>
      </c>
      <c r="J15" s="72" t="s">
        <v>3632</v>
      </c>
    </row>
    <row r="16" spans="1:10" x14ac:dyDescent="0.35">
      <c r="A16" s="81">
        <v>250</v>
      </c>
      <c r="B16" s="91">
        <v>16</v>
      </c>
      <c r="C16" s="102">
        <v>278</v>
      </c>
      <c r="D16" s="102">
        <v>36</v>
      </c>
      <c r="E16" s="102">
        <v>370</v>
      </c>
      <c r="F16" s="102">
        <v>325</v>
      </c>
      <c r="G16" s="79">
        <v>8</v>
      </c>
      <c r="H16" s="73">
        <v>22</v>
      </c>
      <c r="I16" s="93" t="s">
        <v>3617</v>
      </c>
      <c r="J16" s="73" t="s">
        <v>3633</v>
      </c>
    </row>
    <row r="17" spans="1:10" ht="15" customHeight="1" x14ac:dyDescent="0.35">
      <c r="A17" s="82">
        <v>280</v>
      </c>
      <c r="B17" s="92">
        <v>10</v>
      </c>
      <c r="C17" s="101">
        <v>310</v>
      </c>
      <c r="D17" s="101">
        <v>36</v>
      </c>
      <c r="E17" s="101">
        <v>395</v>
      </c>
      <c r="F17" s="101">
        <v>350</v>
      </c>
      <c r="G17" s="78">
        <v>12</v>
      </c>
      <c r="H17" s="72">
        <v>22</v>
      </c>
      <c r="I17" s="94" t="s">
        <v>3618</v>
      </c>
      <c r="J17" s="72" t="s">
        <v>3634</v>
      </c>
    </row>
    <row r="18" spans="1:10" x14ac:dyDescent="0.35">
      <c r="A18" s="81">
        <v>315</v>
      </c>
      <c r="B18" s="91">
        <v>10</v>
      </c>
      <c r="C18" s="102">
        <v>348</v>
      </c>
      <c r="D18" s="102">
        <v>36</v>
      </c>
      <c r="E18" s="102">
        <v>445</v>
      </c>
      <c r="F18" s="102">
        <v>400</v>
      </c>
      <c r="G18" s="79">
        <v>12</v>
      </c>
      <c r="H18" s="73">
        <v>22</v>
      </c>
      <c r="I18" s="93" t="s">
        <v>3619</v>
      </c>
      <c r="J18" s="73" t="s">
        <v>3635</v>
      </c>
    </row>
    <row r="19" spans="1:10" x14ac:dyDescent="0.35">
      <c r="A19" s="82">
        <v>355</v>
      </c>
      <c r="B19" s="92">
        <v>10</v>
      </c>
      <c r="C19" s="101">
        <v>388</v>
      </c>
      <c r="D19" s="101">
        <v>38</v>
      </c>
      <c r="E19" s="101">
        <v>505</v>
      </c>
      <c r="F19" s="101">
        <v>460</v>
      </c>
      <c r="G19" s="78">
        <v>16</v>
      </c>
      <c r="H19" s="72">
        <v>22</v>
      </c>
      <c r="I19" s="94" t="s">
        <v>3620</v>
      </c>
      <c r="J19" s="73" t="s">
        <v>3635</v>
      </c>
    </row>
    <row r="20" spans="1:10" x14ac:dyDescent="0.35">
      <c r="A20" s="81">
        <v>400</v>
      </c>
      <c r="B20" s="91">
        <v>10</v>
      </c>
      <c r="C20" s="102">
        <v>442</v>
      </c>
      <c r="D20" s="102">
        <v>42</v>
      </c>
      <c r="E20" s="102">
        <v>565</v>
      </c>
      <c r="F20" s="102">
        <v>515</v>
      </c>
      <c r="G20" s="79">
        <v>16</v>
      </c>
      <c r="H20" s="73">
        <v>26</v>
      </c>
      <c r="I20" s="93" t="s">
        <v>3621</v>
      </c>
      <c r="J20" s="73" t="s">
        <v>3635</v>
      </c>
    </row>
    <row r="21" spans="1:10" ht="15" customHeight="1" x14ac:dyDescent="0.35">
      <c r="A21" s="82"/>
      <c r="B21" s="92"/>
      <c r="C21" s="12"/>
      <c r="D21" s="12"/>
      <c r="E21" s="13"/>
      <c r="F21" s="12"/>
      <c r="G21" s="13"/>
      <c r="I21" s="94"/>
      <c r="J21" s="73"/>
    </row>
    <row r="22" spans="1:10" x14ac:dyDescent="0.35">
      <c r="A22" s="81"/>
      <c r="B22" s="91"/>
      <c r="C22" s="12"/>
      <c r="D22" s="11"/>
      <c r="E22" s="12"/>
      <c r="F22" s="12"/>
      <c r="G22" s="12"/>
      <c r="I22" s="93"/>
      <c r="J22" s="73"/>
    </row>
    <row r="23" spans="1:10" ht="15" customHeight="1" x14ac:dyDescent="0.35">
      <c r="A23" s="12"/>
      <c r="B23" s="11"/>
      <c r="C23" s="12"/>
      <c r="D23" s="12"/>
      <c r="E23" s="13"/>
      <c r="F23" s="11"/>
      <c r="G23" s="12"/>
    </row>
    <row r="24" spans="1:10" x14ac:dyDescent="0.35">
      <c r="A24" s="12"/>
      <c r="B24" s="11"/>
      <c r="C24" s="12"/>
      <c r="D24" s="11"/>
      <c r="E24" s="12"/>
      <c r="F24" s="12"/>
      <c r="G24" s="12"/>
    </row>
    <row r="25" spans="1:10" x14ac:dyDescent="0.35">
      <c r="A25" s="12"/>
      <c r="B25" s="11"/>
      <c r="C25" s="12"/>
      <c r="D25" s="12"/>
      <c r="E25" s="12"/>
      <c r="F25" s="12"/>
      <c r="G25" s="12"/>
    </row>
    <row r="26" spans="1:10" x14ac:dyDescent="0.35">
      <c r="A26" s="11"/>
      <c r="B26" s="11"/>
      <c r="C26" s="11"/>
      <c r="D26" s="11"/>
      <c r="E26" s="11"/>
      <c r="F26" s="11"/>
      <c r="G26" s="11"/>
    </row>
    <row r="27" spans="1:10" ht="15" customHeight="1" x14ac:dyDescent="0.35">
      <c r="A27" s="12"/>
      <c r="B27" s="11"/>
      <c r="C27" s="12"/>
      <c r="D27" s="12"/>
      <c r="E27" s="13"/>
      <c r="F27" s="12"/>
      <c r="G27" s="13"/>
    </row>
    <row r="28" spans="1:10" x14ac:dyDescent="0.35">
      <c r="A28" s="12"/>
      <c r="B28" s="11"/>
      <c r="C28" s="12"/>
      <c r="D28" s="11"/>
      <c r="E28" s="12"/>
      <c r="F28" s="12"/>
      <c r="G28" s="12"/>
    </row>
    <row r="29" spans="1:10" ht="15" customHeight="1" x14ac:dyDescent="0.35">
      <c r="A29" s="12"/>
      <c r="B29" s="11"/>
      <c r="C29" s="12"/>
      <c r="D29" s="11"/>
      <c r="E29" s="11"/>
      <c r="F29" s="11"/>
      <c r="G29" s="12"/>
    </row>
    <row r="30" spans="1:10" x14ac:dyDescent="0.35">
      <c r="A30" s="12"/>
      <c r="B30" s="11"/>
      <c r="C30" s="12"/>
      <c r="D30" s="11"/>
      <c r="E30" s="12"/>
      <c r="F30" s="12"/>
      <c r="G30" s="12"/>
    </row>
    <row r="31" spans="1:10" x14ac:dyDescent="0.35">
      <c r="A31" s="12"/>
      <c r="B31" s="11"/>
      <c r="C31" s="12"/>
      <c r="D31" s="11"/>
      <c r="E31" s="12"/>
      <c r="F31" s="12"/>
      <c r="G31" s="12"/>
    </row>
    <row r="32" spans="1:10" x14ac:dyDescent="0.35">
      <c r="A32" s="11"/>
      <c r="B32" s="11"/>
      <c r="C32" s="11"/>
      <c r="D32" s="11"/>
      <c r="E32" s="11"/>
      <c r="F32" s="11"/>
      <c r="G32" s="11"/>
    </row>
    <row r="33" spans="1:7" ht="15" customHeight="1" x14ac:dyDescent="0.35">
      <c r="A33" s="12"/>
      <c r="B33" s="11"/>
      <c r="C33" s="12"/>
      <c r="D33" s="12"/>
      <c r="E33" s="13"/>
      <c r="F33" s="12"/>
      <c r="G33" s="13"/>
    </row>
    <row r="34" spans="1:7" x14ac:dyDescent="0.35">
      <c r="A34" s="12"/>
      <c r="B34" s="11"/>
      <c r="C34" s="12"/>
      <c r="D34" s="11"/>
      <c r="E34" s="12"/>
      <c r="F34" s="12"/>
      <c r="G34" s="12"/>
    </row>
    <row r="35" spans="1:7" ht="15" customHeight="1" x14ac:dyDescent="0.35">
      <c r="A35" s="12"/>
      <c r="B35" s="11"/>
      <c r="C35" s="12"/>
      <c r="D35" s="11"/>
      <c r="E35" s="11"/>
      <c r="F35" s="11"/>
      <c r="G35" s="12"/>
    </row>
    <row r="36" spans="1:7" x14ac:dyDescent="0.35">
      <c r="A36" s="12"/>
      <c r="B36" s="11"/>
      <c r="C36" s="12"/>
      <c r="D36" s="11"/>
      <c r="E36" s="12"/>
      <c r="F36" s="12"/>
      <c r="G36" s="12"/>
    </row>
    <row r="37" spans="1:7" x14ac:dyDescent="0.35">
      <c r="A37" s="12"/>
      <c r="B37" s="11"/>
      <c r="C37" s="12"/>
      <c r="D37" s="11"/>
      <c r="E37" s="12"/>
      <c r="F37" s="12"/>
      <c r="G37" s="12"/>
    </row>
    <row r="38" spans="1:7" x14ac:dyDescent="0.35">
      <c r="A38" s="11"/>
      <c r="B38" s="11"/>
      <c r="C38" s="11"/>
      <c r="D38" s="11"/>
      <c r="E38" s="11"/>
      <c r="F38" s="11"/>
      <c r="G38" s="11"/>
    </row>
    <row r="39" spans="1:7" ht="15" customHeight="1" x14ac:dyDescent="0.35">
      <c r="A39" s="12"/>
      <c r="B39" s="11"/>
      <c r="C39" s="12"/>
      <c r="D39" s="12"/>
      <c r="E39" s="13"/>
      <c r="F39" s="12"/>
      <c r="G39" s="13"/>
    </row>
    <row r="40" spans="1:7" x14ac:dyDescent="0.35">
      <c r="A40" s="12"/>
      <c r="B40" s="11"/>
      <c r="C40" s="12"/>
      <c r="D40" s="11"/>
      <c r="E40" s="12"/>
      <c r="F40" s="12"/>
      <c r="G40" s="12"/>
    </row>
    <row r="41" spans="1:7" ht="15" customHeight="1" x14ac:dyDescent="0.35">
      <c r="A41" s="12"/>
      <c r="B41" s="11"/>
      <c r="C41" s="12"/>
      <c r="D41" s="11"/>
      <c r="E41" s="11"/>
      <c r="F41" s="11"/>
      <c r="G41" s="12"/>
    </row>
    <row r="42" spans="1:7" x14ac:dyDescent="0.35">
      <c r="A42" s="12"/>
      <c r="B42" s="11"/>
      <c r="C42" s="12"/>
      <c r="D42" s="11"/>
      <c r="E42" s="12"/>
      <c r="F42" s="12"/>
      <c r="G42" s="12"/>
    </row>
    <row r="43" spans="1:7" x14ac:dyDescent="0.35">
      <c r="A43" s="12"/>
      <c r="B43" s="11"/>
      <c r="C43" s="12"/>
      <c r="D43" s="11"/>
      <c r="E43" s="12"/>
      <c r="F43" s="12"/>
      <c r="G43" s="12"/>
    </row>
    <row r="44" spans="1:7" x14ac:dyDescent="0.35">
      <c r="A44" s="11"/>
      <c r="B44" s="11"/>
      <c r="C44" s="11"/>
      <c r="D44" s="11"/>
      <c r="E44" s="11"/>
      <c r="F44" s="11"/>
      <c r="G44" s="11"/>
    </row>
    <row r="45" spans="1:7" ht="15" customHeight="1" x14ac:dyDescent="0.35">
      <c r="A45" s="12"/>
      <c r="B45" s="11"/>
      <c r="C45" s="12"/>
      <c r="D45" s="12"/>
      <c r="E45" s="13"/>
      <c r="F45" s="12"/>
      <c r="G45" s="13"/>
    </row>
    <row r="46" spans="1:7" x14ac:dyDescent="0.35">
      <c r="A46" s="12"/>
      <c r="B46" s="11"/>
      <c r="C46" s="12"/>
      <c r="D46" s="11"/>
      <c r="E46" s="12"/>
      <c r="F46" s="12"/>
      <c r="G46" s="12"/>
    </row>
    <row r="47" spans="1:7" ht="15" customHeight="1" x14ac:dyDescent="0.35">
      <c r="A47" s="12"/>
      <c r="B47" s="11"/>
      <c r="C47" s="12"/>
      <c r="D47" s="11"/>
      <c r="E47" s="11"/>
      <c r="F47" s="11"/>
      <c r="G47" s="11"/>
    </row>
    <row r="48" spans="1:7" x14ac:dyDescent="0.35">
      <c r="A48" s="12"/>
      <c r="B48" s="11"/>
      <c r="C48" s="12"/>
      <c r="D48" s="11"/>
      <c r="E48" s="12"/>
      <c r="F48" s="12"/>
      <c r="G48" s="12"/>
    </row>
    <row r="49" spans="1:7" ht="15" customHeight="1" x14ac:dyDescent="0.35">
      <c r="A49" s="12"/>
      <c r="B49" s="11"/>
      <c r="C49" s="12"/>
      <c r="D49" s="12"/>
      <c r="E49" s="12"/>
      <c r="F49" s="12"/>
      <c r="G49" s="13"/>
    </row>
    <row r="50" spans="1:7" x14ac:dyDescent="0.35">
      <c r="A50" s="11"/>
      <c r="B50" s="11"/>
      <c r="C50" s="11"/>
      <c r="D50" s="11"/>
      <c r="E50" s="11"/>
      <c r="F50" s="11"/>
      <c r="G50" s="11"/>
    </row>
    <row r="51" spans="1:7" ht="15" customHeight="1" x14ac:dyDescent="0.35">
      <c r="A51" s="12"/>
      <c r="B51" s="11"/>
      <c r="C51" s="12"/>
      <c r="D51" s="12"/>
      <c r="E51" s="12"/>
      <c r="F51" s="12"/>
      <c r="G51" s="13"/>
    </row>
    <row r="52" spans="1:7" x14ac:dyDescent="0.35">
      <c r="A52" s="12"/>
      <c r="B52" s="11"/>
      <c r="C52" s="12"/>
      <c r="D52" s="11"/>
      <c r="E52" s="12"/>
      <c r="F52" s="12"/>
      <c r="G52" s="12"/>
    </row>
    <row r="53" spans="1:7" x14ac:dyDescent="0.35">
      <c r="A53" s="12"/>
      <c r="B53" s="11"/>
      <c r="C53" s="12"/>
      <c r="D53" s="11"/>
      <c r="E53" s="11"/>
      <c r="F53" s="11"/>
      <c r="G53" s="11"/>
    </row>
    <row r="54" spans="1:7" x14ac:dyDescent="0.35">
      <c r="A54" s="12"/>
      <c r="B54" s="11"/>
      <c r="C54" s="12"/>
      <c r="D54" s="11"/>
      <c r="E54" s="12"/>
      <c r="F54" s="12"/>
      <c r="G54" s="12"/>
    </row>
    <row r="55" spans="1:7" ht="15" customHeight="1" x14ac:dyDescent="0.35">
      <c r="A55" s="12"/>
      <c r="B55" s="11"/>
      <c r="C55" s="12"/>
      <c r="D55" s="11"/>
      <c r="E55" s="12"/>
      <c r="F55" s="12"/>
      <c r="G55" s="13"/>
    </row>
    <row r="56" spans="1:7" x14ac:dyDescent="0.35">
      <c r="A56" s="13"/>
      <c r="B56" s="13"/>
      <c r="C56" s="11"/>
      <c r="D56" s="13"/>
      <c r="E56" s="13"/>
      <c r="F56" s="13"/>
      <c r="G56" s="13"/>
    </row>
    <row r="57" spans="1:7" x14ac:dyDescent="0.35">
      <c r="A57" s="13"/>
      <c r="B57" s="13"/>
      <c r="C57" s="11"/>
      <c r="D57" s="13"/>
      <c r="E57" s="13"/>
      <c r="F57" s="13"/>
      <c r="G57" s="13"/>
    </row>
    <row r="58" spans="1:7" x14ac:dyDescent="0.35">
      <c r="A58" s="12"/>
      <c r="B58" s="13"/>
      <c r="C58" s="11"/>
      <c r="D58" s="12"/>
      <c r="E58" s="12"/>
      <c r="F58" s="12"/>
      <c r="G58" s="13"/>
    </row>
    <row r="59" spans="1:7" x14ac:dyDescent="0.35">
      <c r="A59" s="12"/>
      <c r="B59" s="13"/>
      <c r="C59" s="11"/>
      <c r="D59" s="12"/>
      <c r="E59" s="12"/>
      <c r="F59" s="12"/>
      <c r="G59" s="13"/>
    </row>
    <row r="60" spans="1:7" x14ac:dyDescent="0.35">
      <c r="A60" s="12"/>
      <c r="B60" s="13"/>
      <c r="C60" s="11"/>
      <c r="D60" s="13"/>
      <c r="E60" s="12"/>
      <c r="F60" s="12"/>
      <c r="G60" s="12"/>
    </row>
    <row r="61" spans="1:7" x14ac:dyDescent="0.35">
      <c r="A61" s="12"/>
      <c r="B61" s="13"/>
      <c r="C61" s="11"/>
      <c r="D61" s="13"/>
      <c r="E61" s="12"/>
      <c r="F61" s="12"/>
      <c r="G61" s="12"/>
    </row>
    <row r="62" spans="1:7" x14ac:dyDescent="0.35">
      <c r="A62" s="12"/>
      <c r="B62" s="13"/>
      <c r="C62" s="11"/>
      <c r="D62" s="13"/>
      <c r="E62" s="13"/>
      <c r="F62" s="13"/>
      <c r="G62" s="13"/>
    </row>
    <row r="63" spans="1:7" x14ac:dyDescent="0.35">
      <c r="A63" s="12"/>
      <c r="B63" s="13"/>
      <c r="C63" s="11"/>
      <c r="D63" s="13"/>
      <c r="E63" s="13"/>
      <c r="F63" s="13"/>
      <c r="G63" s="13"/>
    </row>
    <row r="64" spans="1:7" x14ac:dyDescent="0.35">
      <c r="A64" s="12"/>
      <c r="B64" s="13"/>
      <c r="C64" s="11"/>
      <c r="D64" s="13"/>
      <c r="E64" s="12"/>
      <c r="F64" s="12"/>
      <c r="G64" s="12"/>
    </row>
    <row r="65" spans="1:7" x14ac:dyDescent="0.35">
      <c r="A65" s="12"/>
      <c r="B65" s="13"/>
      <c r="C65" s="11"/>
      <c r="D65" s="13"/>
      <c r="E65" s="12"/>
      <c r="F65" s="12"/>
      <c r="G65" s="12"/>
    </row>
    <row r="66" spans="1:7" x14ac:dyDescent="0.35">
      <c r="A66" s="12"/>
      <c r="B66" s="13"/>
      <c r="C66" s="11"/>
      <c r="D66" s="13"/>
      <c r="E66" s="13"/>
      <c r="F66" s="13"/>
      <c r="G66" s="12"/>
    </row>
    <row r="67" spans="1:7" x14ac:dyDescent="0.35">
      <c r="A67" s="12"/>
      <c r="B67" s="13"/>
      <c r="C67" s="11"/>
      <c r="D67" s="13"/>
      <c r="E67" s="13"/>
      <c r="F67" s="13"/>
      <c r="G67" s="12"/>
    </row>
    <row r="68" spans="1:7" x14ac:dyDescent="0.35">
      <c r="A68" s="13"/>
      <c r="B68" s="13"/>
      <c r="C68" s="11"/>
      <c r="D68" s="13"/>
      <c r="E68" s="13"/>
      <c r="F68" s="13"/>
      <c r="G68" s="13"/>
    </row>
    <row r="69" spans="1:7" x14ac:dyDescent="0.35">
      <c r="A69" s="13"/>
      <c r="B69" s="13"/>
      <c r="C69" s="11"/>
      <c r="D69" s="13"/>
      <c r="E69" s="13"/>
      <c r="F69" s="13"/>
      <c r="G69" s="13"/>
    </row>
    <row r="70" spans="1:7" x14ac:dyDescent="0.35">
      <c r="A70" s="12"/>
      <c r="B70" s="13"/>
      <c r="C70" s="11"/>
      <c r="D70" s="12"/>
      <c r="E70" s="12"/>
      <c r="F70" s="12"/>
      <c r="G70" s="13"/>
    </row>
    <row r="71" spans="1:7" x14ac:dyDescent="0.35">
      <c r="A71" s="12"/>
      <c r="B71" s="13"/>
      <c r="C71" s="11"/>
      <c r="D71" s="12"/>
      <c r="E71" s="12"/>
      <c r="F71" s="12"/>
      <c r="G71" s="13"/>
    </row>
    <row r="72" spans="1:7" x14ac:dyDescent="0.35">
      <c r="A72" s="12"/>
      <c r="B72" s="13"/>
      <c r="C72" s="11"/>
      <c r="D72" s="13"/>
      <c r="E72" s="12"/>
      <c r="F72" s="12"/>
      <c r="G72" s="12"/>
    </row>
    <row r="73" spans="1:7" x14ac:dyDescent="0.35">
      <c r="A73" s="12"/>
      <c r="B73" s="13"/>
      <c r="C73" s="11"/>
      <c r="D73" s="13"/>
      <c r="E73" s="12"/>
      <c r="F73" s="12"/>
      <c r="G73" s="12"/>
    </row>
    <row r="74" spans="1:7" x14ac:dyDescent="0.35">
      <c r="A74" s="12"/>
      <c r="B74" s="13"/>
      <c r="C74" s="11"/>
      <c r="D74" s="13"/>
      <c r="E74" s="13"/>
      <c r="F74" s="13"/>
      <c r="G74" s="12"/>
    </row>
    <row r="75" spans="1:7" x14ac:dyDescent="0.35">
      <c r="A75" s="12"/>
      <c r="B75" s="13"/>
      <c r="C75" s="11"/>
      <c r="D75" s="13"/>
      <c r="E75" s="13"/>
      <c r="F75" s="13"/>
      <c r="G75" s="12"/>
    </row>
    <row r="76" spans="1:7" x14ac:dyDescent="0.35">
      <c r="A76" s="12"/>
      <c r="B76" s="13"/>
      <c r="C76" s="11"/>
      <c r="D76" s="13"/>
      <c r="E76" s="12"/>
      <c r="F76" s="12"/>
      <c r="G76" s="12"/>
    </row>
    <row r="77" spans="1:7" x14ac:dyDescent="0.35">
      <c r="A77" s="12"/>
      <c r="B77" s="13"/>
      <c r="C77" s="11"/>
      <c r="D77" s="13"/>
      <c r="E77" s="12"/>
      <c r="F77" s="12"/>
      <c r="G77" s="12"/>
    </row>
    <row r="78" spans="1:7" x14ac:dyDescent="0.35">
      <c r="A78" s="12"/>
      <c r="B78" s="13"/>
      <c r="C78" s="11"/>
      <c r="D78" s="13"/>
      <c r="E78" s="13"/>
      <c r="F78" s="13"/>
      <c r="G78" s="12"/>
    </row>
    <row r="79" spans="1:7" x14ac:dyDescent="0.35">
      <c r="A79" s="12"/>
      <c r="B79" s="13"/>
      <c r="C79" s="11"/>
      <c r="D79" s="13"/>
      <c r="E79" s="13"/>
      <c r="F79" s="13"/>
      <c r="G79" s="12"/>
    </row>
    <row r="80" spans="1:7" x14ac:dyDescent="0.35">
      <c r="A80" s="13"/>
      <c r="B80" s="13"/>
      <c r="C80" s="11"/>
      <c r="D80" s="13"/>
      <c r="E80" s="13"/>
      <c r="F80" s="13"/>
      <c r="G80" s="13"/>
    </row>
    <row r="81" spans="1:7" x14ac:dyDescent="0.35">
      <c r="A81" s="13"/>
      <c r="B81" s="13"/>
      <c r="C81" s="11"/>
      <c r="D81" s="13"/>
      <c r="E81" s="13"/>
      <c r="F81" s="13"/>
      <c r="G81" s="13"/>
    </row>
    <row r="82" spans="1:7" x14ac:dyDescent="0.35">
      <c r="A82" s="13"/>
      <c r="B82" s="13"/>
      <c r="C82" s="11"/>
      <c r="D82" s="13"/>
      <c r="E82" s="13"/>
      <c r="F82" s="13"/>
      <c r="G82" s="13"/>
    </row>
    <row r="83" spans="1:7" x14ac:dyDescent="0.35">
      <c r="A83" s="12"/>
      <c r="B83" s="13"/>
      <c r="C83" s="11"/>
      <c r="D83" s="13"/>
      <c r="E83" s="12"/>
      <c r="F83" s="12"/>
      <c r="G83" s="13"/>
    </row>
    <row r="84" spans="1:7" x14ac:dyDescent="0.35">
      <c r="A84" s="12"/>
      <c r="B84" s="13"/>
      <c r="C84" s="11"/>
      <c r="D84" s="13"/>
      <c r="E84" s="12"/>
      <c r="F84" s="12"/>
      <c r="G84" s="13"/>
    </row>
    <row r="85" spans="1:7" x14ac:dyDescent="0.35">
      <c r="A85" s="12"/>
      <c r="B85" s="13"/>
      <c r="C85" s="11"/>
      <c r="D85" s="13"/>
      <c r="E85" s="12"/>
      <c r="F85" s="12"/>
      <c r="G85" s="13"/>
    </row>
    <row r="86" spans="1:7" x14ac:dyDescent="0.35">
      <c r="A86" s="12"/>
      <c r="B86" s="13"/>
      <c r="C86" s="11"/>
      <c r="D86" s="13"/>
      <c r="E86" s="12"/>
      <c r="F86" s="12"/>
      <c r="G86" s="12"/>
    </row>
    <row r="87" spans="1:7" x14ac:dyDescent="0.35">
      <c r="A87" s="12"/>
      <c r="B87" s="13"/>
      <c r="C87" s="11"/>
      <c r="D87" s="13"/>
      <c r="E87" s="12"/>
      <c r="F87" s="12"/>
      <c r="G87" s="12"/>
    </row>
    <row r="88" spans="1:7" x14ac:dyDescent="0.35">
      <c r="A88" s="12"/>
      <c r="B88" s="13"/>
      <c r="C88" s="11"/>
      <c r="D88" s="13"/>
      <c r="E88" s="12"/>
      <c r="F88" s="12"/>
      <c r="G88" s="12"/>
    </row>
    <row r="89" spans="1:7" x14ac:dyDescent="0.35">
      <c r="A89" s="12"/>
      <c r="B89" s="13"/>
      <c r="C89" s="11"/>
      <c r="D89" s="13"/>
      <c r="E89" s="13"/>
      <c r="F89" s="13"/>
      <c r="G89" s="12"/>
    </row>
    <row r="90" spans="1:7" x14ac:dyDescent="0.35">
      <c r="A90" s="12"/>
      <c r="B90" s="13"/>
      <c r="C90" s="11"/>
      <c r="D90" s="13"/>
      <c r="E90" s="13"/>
      <c r="F90" s="13"/>
      <c r="G90" s="12"/>
    </row>
    <row r="91" spans="1:7" x14ac:dyDescent="0.35">
      <c r="A91" s="12"/>
      <c r="B91" s="13"/>
      <c r="C91" s="11"/>
      <c r="D91" s="13"/>
      <c r="E91" s="13"/>
      <c r="F91" s="13"/>
      <c r="G91" s="12"/>
    </row>
    <row r="92" spans="1:7" x14ac:dyDescent="0.35">
      <c r="A92" s="12"/>
      <c r="B92" s="13"/>
      <c r="C92" s="11"/>
      <c r="D92" s="13"/>
      <c r="E92" s="12"/>
      <c r="F92" s="12"/>
      <c r="G92" s="12"/>
    </row>
    <row r="93" spans="1:7" x14ac:dyDescent="0.35">
      <c r="A93" s="12"/>
      <c r="B93" s="13"/>
      <c r="C93" s="11"/>
      <c r="D93" s="13"/>
      <c r="E93" s="12"/>
      <c r="F93" s="12"/>
      <c r="G93" s="12"/>
    </row>
    <row r="94" spans="1:7" x14ac:dyDescent="0.35">
      <c r="A94" s="12"/>
      <c r="B94" s="13"/>
      <c r="C94" s="11"/>
      <c r="D94" s="13"/>
      <c r="E94" s="12"/>
      <c r="F94" s="12"/>
      <c r="G94" s="12"/>
    </row>
    <row r="95" spans="1:7" x14ac:dyDescent="0.35">
      <c r="A95" s="12"/>
      <c r="B95" s="13"/>
      <c r="C95" s="11"/>
      <c r="D95" s="13"/>
      <c r="E95" s="13"/>
      <c r="F95" s="13"/>
      <c r="G95" s="12"/>
    </row>
    <row r="96" spans="1:7" x14ac:dyDescent="0.35">
      <c r="A96" s="12"/>
      <c r="B96" s="13"/>
      <c r="C96" s="11"/>
      <c r="D96" s="13"/>
      <c r="E96" s="13"/>
      <c r="F96" s="13"/>
      <c r="G96" s="12"/>
    </row>
    <row r="97" spans="1:7" x14ac:dyDescent="0.35">
      <c r="A97" s="12"/>
      <c r="B97" s="13"/>
      <c r="C97" s="11"/>
      <c r="D97" s="13"/>
      <c r="E97" s="13"/>
      <c r="F97" s="13"/>
      <c r="G97" s="12"/>
    </row>
    <row r="98" spans="1:7" x14ac:dyDescent="0.35">
      <c r="A98" s="11"/>
      <c r="B98" s="11"/>
      <c r="C98" s="11"/>
      <c r="D98" s="11"/>
      <c r="E98" s="11"/>
      <c r="F98" s="11"/>
      <c r="G98" s="11"/>
    </row>
    <row r="99" spans="1:7" ht="15" customHeight="1" x14ac:dyDescent="0.35">
      <c r="A99" s="12"/>
      <c r="B99" s="11"/>
      <c r="C99" s="12"/>
      <c r="D99" s="12"/>
      <c r="E99" s="12"/>
      <c r="F99" s="12"/>
      <c r="G99" s="13"/>
    </row>
    <row r="100" spans="1:7" x14ac:dyDescent="0.35">
      <c r="A100" s="12"/>
      <c r="B100" s="11"/>
      <c r="C100" s="12"/>
      <c r="D100" s="11"/>
      <c r="E100" s="12"/>
      <c r="F100" s="12"/>
      <c r="G100" s="12"/>
    </row>
    <row r="101" spans="1:7" ht="15" customHeight="1" x14ac:dyDescent="0.35">
      <c r="A101" s="12"/>
      <c r="B101" s="11"/>
      <c r="C101" s="12"/>
      <c r="D101" s="13"/>
      <c r="E101" s="11"/>
      <c r="F101" s="11"/>
      <c r="G101" s="12"/>
    </row>
    <row r="102" spans="1:7" ht="15" customHeight="1" x14ac:dyDescent="0.35">
      <c r="A102" s="12"/>
      <c r="B102" s="11"/>
      <c r="C102" s="12"/>
      <c r="D102" s="11"/>
      <c r="E102" s="12"/>
      <c r="F102" s="12"/>
      <c r="G102" s="13"/>
    </row>
    <row r="103" spans="1:7" ht="15" customHeight="1" x14ac:dyDescent="0.35">
      <c r="A103" s="12"/>
      <c r="B103" s="11"/>
      <c r="C103" s="12"/>
      <c r="D103" s="13"/>
      <c r="E103" s="13"/>
      <c r="F103" s="11"/>
      <c r="G103" s="12"/>
    </row>
    <row r="104" spans="1:7" x14ac:dyDescent="0.35">
      <c r="A104" s="11"/>
      <c r="B104" s="11"/>
      <c r="C104" s="11"/>
      <c r="D104" s="11"/>
      <c r="E104" s="11"/>
      <c r="F104" s="11"/>
      <c r="G104" s="11"/>
    </row>
    <row r="105" spans="1:7" ht="15" customHeight="1" x14ac:dyDescent="0.35">
      <c r="A105" s="12"/>
      <c r="B105" s="11"/>
      <c r="C105" s="12"/>
      <c r="D105" s="12"/>
      <c r="E105" s="12"/>
      <c r="F105" s="12"/>
      <c r="G105" s="13"/>
    </row>
    <row r="106" spans="1:7" x14ac:dyDescent="0.35">
      <c r="A106" s="12"/>
      <c r="B106" s="11"/>
      <c r="C106" s="12"/>
      <c r="D106" s="11"/>
      <c r="E106" s="12"/>
      <c r="F106" s="12"/>
      <c r="G106" s="12"/>
    </row>
    <row r="107" spans="1:7" ht="15" customHeight="1" x14ac:dyDescent="0.35">
      <c r="A107" s="12"/>
      <c r="B107" s="11"/>
      <c r="C107" s="12"/>
      <c r="D107" s="13"/>
      <c r="E107" s="13"/>
      <c r="F107" s="11"/>
      <c r="G107" s="12"/>
    </row>
    <row r="108" spans="1:7" ht="15" customHeight="1" x14ac:dyDescent="0.35">
      <c r="A108" s="12"/>
      <c r="B108" s="11"/>
      <c r="C108" s="12"/>
      <c r="D108" s="11"/>
      <c r="E108" s="13"/>
      <c r="F108" s="11"/>
      <c r="G108" s="12"/>
    </row>
    <row r="109" spans="1:7" ht="15" customHeight="1" x14ac:dyDescent="0.35">
      <c r="A109" s="12"/>
      <c r="B109" s="11"/>
      <c r="C109" s="12"/>
      <c r="D109" s="11"/>
      <c r="E109" s="13"/>
      <c r="F109" s="11"/>
      <c r="G109" s="12"/>
    </row>
    <row r="110" spans="1:7" x14ac:dyDescent="0.35">
      <c r="A110" s="11"/>
      <c r="B110" s="11"/>
      <c r="C110" s="11"/>
      <c r="D110" s="11"/>
      <c r="E110" s="11"/>
      <c r="F110" s="11"/>
      <c r="G110" s="11"/>
    </row>
    <row r="111" spans="1:7" ht="15" customHeight="1" x14ac:dyDescent="0.35">
      <c r="A111" s="12"/>
      <c r="B111" s="11"/>
      <c r="C111" s="12"/>
      <c r="D111" s="12"/>
      <c r="E111" s="12"/>
      <c r="F111" s="12"/>
      <c r="G111" s="13"/>
    </row>
    <row r="112" spans="1:7" x14ac:dyDescent="0.35">
      <c r="A112" s="12"/>
      <c r="B112" s="11"/>
      <c r="C112" s="12"/>
      <c r="D112" s="11"/>
      <c r="E112" s="12"/>
      <c r="F112" s="12"/>
      <c r="G112" s="12"/>
    </row>
    <row r="113" spans="1:7" x14ac:dyDescent="0.35">
      <c r="A113" s="12"/>
      <c r="B113" s="11"/>
      <c r="C113" s="12"/>
      <c r="D113" s="11"/>
      <c r="E113" s="11"/>
      <c r="F113" s="11"/>
      <c r="G113" s="12"/>
    </row>
    <row r="114" spans="1:7" ht="15" customHeight="1" x14ac:dyDescent="0.35">
      <c r="A114" s="12"/>
      <c r="B114" s="11"/>
      <c r="C114" s="12"/>
      <c r="D114" s="11"/>
      <c r="E114" s="13"/>
      <c r="F114" s="11"/>
      <c r="G114" s="12"/>
    </row>
    <row r="115" spans="1:7" ht="15" customHeight="1" x14ac:dyDescent="0.35">
      <c r="A115" s="12"/>
      <c r="B115" s="11"/>
      <c r="C115" s="12"/>
      <c r="D115" s="11"/>
      <c r="E115" s="13"/>
      <c r="F115" s="11"/>
      <c r="G115" s="13"/>
    </row>
    <row r="116" spans="1:7" x14ac:dyDescent="0.35">
      <c r="A116" s="11"/>
      <c r="B116" s="11"/>
      <c r="C116" s="11"/>
      <c r="D116" s="11"/>
      <c r="E116" s="11"/>
      <c r="F116" s="11"/>
      <c r="G116" s="11"/>
    </row>
    <row r="117" spans="1:7" ht="15" customHeight="1" x14ac:dyDescent="0.35">
      <c r="A117" s="12"/>
      <c r="B117" s="11"/>
      <c r="C117" s="12"/>
      <c r="D117" s="12"/>
      <c r="E117" s="12"/>
      <c r="F117" s="12"/>
      <c r="G117" s="13"/>
    </row>
    <row r="118" spans="1:7" x14ac:dyDescent="0.35">
      <c r="A118" s="12"/>
      <c r="B118" s="11"/>
      <c r="C118" s="12"/>
      <c r="D118" s="11"/>
      <c r="E118" s="12"/>
      <c r="F118" s="12"/>
      <c r="G118" s="12"/>
    </row>
    <row r="119" spans="1:7" ht="15" customHeight="1" x14ac:dyDescent="0.35">
      <c r="A119" s="12"/>
      <c r="B119" s="11"/>
      <c r="C119" s="12"/>
      <c r="D119" s="11"/>
      <c r="E119" s="11"/>
      <c r="F119" s="11"/>
      <c r="G119" s="13"/>
    </row>
    <row r="120" spans="1:7" ht="15" customHeight="1" x14ac:dyDescent="0.35">
      <c r="A120" s="12"/>
      <c r="B120" s="11"/>
      <c r="C120" s="12"/>
      <c r="D120" s="11"/>
      <c r="E120" s="13"/>
      <c r="F120" s="11"/>
      <c r="G120" s="12"/>
    </row>
    <row r="121" spans="1:7" ht="15" customHeight="1" x14ac:dyDescent="0.35">
      <c r="A121" s="12"/>
      <c r="B121" s="11"/>
      <c r="C121" s="12"/>
      <c r="D121" s="13"/>
      <c r="E121" s="11"/>
      <c r="F121" s="11"/>
      <c r="G121" s="12"/>
    </row>
    <row r="122" spans="1:7" x14ac:dyDescent="0.35">
      <c r="A122" s="11"/>
      <c r="B122" s="11"/>
      <c r="C122" s="11"/>
      <c r="D122" s="11"/>
      <c r="E122" s="11"/>
      <c r="F122" s="11"/>
      <c r="G122" s="11"/>
    </row>
    <row r="123" spans="1:7" ht="15" customHeight="1" x14ac:dyDescent="0.35">
      <c r="A123" s="12"/>
      <c r="B123" s="11"/>
      <c r="C123" s="12"/>
      <c r="D123" s="12"/>
      <c r="E123" s="12"/>
      <c r="F123" s="12"/>
      <c r="G123" s="13"/>
    </row>
    <row r="124" spans="1:7" x14ac:dyDescent="0.35">
      <c r="A124" s="12"/>
      <c r="B124" s="11"/>
      <c r="C124" s="12"/>
      <c r="D124" s="11"/>
      <c r="E124" s="12"/>
      <c r="F124" s="12"/>
      <c r="G124" s="12"/>
    </row>
    <row r="125" spans="1:7" ht="15" customHeight="1" x14ac:dyDescent="0.35">
      <c r="A125" s="12"/>
      <c r="B125" s="11"/>
      <c r="C125" s="12"/>
      <c r="D125" s="11"/>
      <c r="E125" s="13"/>
      <c r="F125" s="11"/>
      <c r="G125" s="12"/>
    </row>
    <row r="126" spans="1:7" ht="15" customHeight="1" x14ac:dyDescent="0.35">
      <c r="A126" s="12"/>
      <c r="B126" s="11"/>
      <c r="C126" s="12"/>
      <c r="D126" s="13"/>
      <c r="E126" s="13"/>
      <c r="F126" s="11"/>
      <c r="G126" s="12"/>
    </row>
    <row r="127" spans="1:7" x14ac:dyDescent="0.35">
      <c r="A127" s="12"/>
      <c r="B127" s="11"/>
      <c r="C127" s="12"/>
      <c r="D127" s="11"/>
      <c r="E127" s="11"/>
      <c r="F127" s="11"/>
      <c r="G127" s="12"/>
    </row>
    <row r="128" spans="1:7" x14ac:dyDescent="0.35">
      <c r="A128" s="11"/>
      <c r="B128" s="11"/>
      <c r="C128" s="11"/>
      <c r="D128" s="11"/>
      <c r="E128" s="11"/>
      <c r="F128" s="11"/>
      <c r="G128" s="11"/>
    </row>
    <row r="129" spans="1:7" ht="15" customHeight="1" x14ac:dyDescent="0.35">
      <c r="A129" s="12"/>
      <c r="B129" s="11"/>
      <c r="C129" s="12"/>
      <c r="D129" s="12"/>
      <c r="E129" s="12"/>
      <c r="F129" s="12"/>
      <c r="G129" s="13"/>
    </row>
    <row r="130" spans="1:7" x14ac:dyDescent="0.35">
      <c r="A130" s="12"/>
      <c r="B130" s="11"/>
      <c r="C130" s="12"/>
      <c r="D130" s="11"/>
      <c r="E130" s="12"/>
      <c r="F130" s="12"/>
      <c r="G130" s="12"/>
    </row>
    <row r="131" spans="1:7" ht="15" customHeight="1" x14ac:dyDescent="0.35">
      <c r="A131" s="12"/>
      <c r="B131" s="11"/>
      <c r="C131" s="12"/>
      <c r="D131" s="11"/>
      <c r="E131" s="13"/>
      <c r="F131" s="11"/>
      <c r="G131" s="13"/>
    </row>
    <row r="132" spans="1:7" ht="15" customHeight="1" x14ac:dyDescent="0.35">
      <c r="A132" s="12"/>
      <c r="B132" s="11"/>
      <c r="C132" s="12"/>
      <c r="D132" s="13"/>
      <c r="E132" s="13"/>
      <c r="F132" s="11"/>
      <c r="G132" s="12"/>
    </row>
    <row r="133" spans="1:7" x14ac:dyDescent="0.35">
      <c r="A133" s="12"/>
      <c r="B133" s="11"/>
      <c r="C133" s="12"/>
      <c r="D133" s="11"/>
      <c r="E133" s="11"/>
      <c r="F133" s="11"/>
      <c r="G133" s="12"/>
    </row>
    <row r="134" spans="1:7" x14ac:dyDescent="0.35">
      <c r="A134" s="11"/>
      <c r="B134" s="11"/>
      <c r="C134" s="11"/>
      <c r="D134" s="11"/>
      <c r="E134" s="11"/>
      <c r="F134" s="11"/>
      <c r="G134" s="11"/>
    </row>
    <row r="135" spans="1:7" ht="15" customHeight="1" x14ac:dyDescent="0.35">
      <c r="A135" s="12"/>
      <c r="B135" s="11"/>
      <c r="C135" s="12"/>
      <c r="D135" s="12"/>
      <c r="E135" s="12"/>
      <c r="F135" s="12"/>
      <c r="G135" s="12"/>
    </row>
    <row r="136" spans="1:7" x14ac:dyDescent="0.35">
      <c r="A136" s="12"/>
      <c r="B136" s="11"/>
      <c r="C136" s="12"/>
      <c r="D136" s="11"/>
      <c r="E136" s="12"/>
      <c r="F136" s="12"/>
      <c r="G136" s="12"/>
    </row>
    <row r="137" spans="1:7" ht="15" customHeight="1" x14ac:dyDescent="0.35">
      <c r="A137" s="12"/>
      <c r="B137" s="11"/>
      <c r="C137" s="12"/>
      <c r="D137" s="11"/>
      <c r="E137" s="13"/>
      <c r="F137" s="11"/>
      <c r="G137" s="13"/>
    </row>
    <row r="138" spans="1:7" ht="15" customHeight="1" x14ac:dyDescent="0.35">
      <c r="A138" s="12"/>
      <c r="B138" s="11"/>
      <c r="C138" s="12"/>
      <c r="D138" s="11"/>
      <c r="E138" s="11"/>
      <c r="F138" s="11"/>
      <c r="G138" s="12"/>
    </row>
    <row r="139" spans="1:7" ht="15" customHeight="1" x14ac:dyDescent="0.35">
      <c r="A139" s="12"/>
      <c r="B139" s="11"/>
      <c r="C139" s="12"/>
      <c r="D139" s="11"/>
      <c r="E139" s="13"/>
      <c r="F139" s="11"/>
      <c r="G139" s="12"/>
    </row>
    <row r="140" spans="1:7" x14ac:dyDescent="0.35">
      <c r="A140" s="11"/>
      <c r="B140" s="11"/>
      <c r="C140" s="11"/>
      <c r="D140" s="11"/>
      <c r="E140" s="11"/>
      <c r="F140" s="11"/>
      <c r="G140" s="11"/>
    </row>
    <row r="141" spans="1:7" ht="15" customHeight="1" x14ac:dyDescent="0.35">
      <c r="A141" s="12"/>
      <c r="B141" s="11"/>
      <c r="C141" s="12"/>
      <c r="D141" s="12"/>
      <c r="E141" s="13"/>
      <c r="F141" s="12"/>
      <c r="G141" s="13"/>
    </row>
    <row r="142" spans="1:7" x14ac:dyDescent="0.35">
      <c r="A142" s="12"/>
      <c r="B142" s="11"/>
      <c r="C142" s="12"/>
      <c r="D142" s="11"/>
      <c r="E142" s="12"/>
      <c r="F142" s="12"/>
      <c r="G142" s="12"/>
    </row>
    <row r="143" spans="1:7" ht="15" customHeight="1" x14ac:dyDescent="0.35">
      <c r="A143" s="12"/>
      <c r="B143" s="11"/>
      <c r="C143" s="12"/>
      <c r="D143" s="11"/>
      <c r="E143" s="13"/>
      <c r="F143" s="11"/>
      <c r="G143" s="12"/>
    </row>
    <row r="144" spans="1:7" ht="15" customHeight="1" x14ac:dyDescent="0.35">
      <c r="A144" s="12"/>
      <c r="B144" s="11"/>
      <c r="C144" s="12"/>
      <c r="D144" s="11"/>
      <c r="E144" s="13"/>
      <c r="F144" s="11"/>
      <c r="G144" s="12"/>
    </row>
    <row r="145" spans="1:7" ht="15" customHeight="1" x14ac:dyDescent="0.35">
      <c r="A145" s="12"/>
      <c r="B145" s="11"/>
      <c r="C145" s="12"/>
      <c r="D145" s="11"/>
      <c r="E145" s="11"/>
      <c r="F145" s="12"/>
      <c r="G145" s="12"/>
    </row>
    <row r="146" spans="1:7" x14ac:dyDescent="0.35">
      <c r="A146" s="11"/>
      <c r="B146" s="11"/>
      <c r="C146" s="11"/>
      <c r="D146" s="11"/>
      <c r="E146" s="11"/>
      <c r="F146" s="11"/>
      <c r="G146" s="11"/>
    </row>
    <row r="147" spans="1:7" ht="15" customHeight="1" x14ac:dyDescent="0.35">
      <c r="A147" s="12"/>
      <c r="B147" s="11"/>
      <c r="C147" s="12"/>
      <c r="D147" s="12"/>
      <c r="E147" s="13"/>
      <c r="F147" s="12"/>
      <c r="G147" s="13"/>
    </row>
    <row r="148" spans="1:7" x14ac:dyDescent="0.35">
      <c r="A148" s="12"/>
      <c r="B148" s="11"/>
      <c r="C148" s="12"/>
      <c r="D148" s="11"/>
      <c r="E148" s="12"/>
      <c r="F148" s="12"/>
      <c r="G148" s="12"/>
    </row>
    <row r="149" spans="1:7" ht="15" customHeight="1" x14ac:dyDescent="0.35">
      <c r="A149" s="12"/>
      <c r="B149" s="11"/>
      <c r="C149" s="12"/>
      <c r="D149" s="11"/>
      <c r="E149" s="13"/>
      <c r="F149" s="11"/>
      <c r="G149" s="12"/>
    </row>
    <row r="150" spans="1:7" ht="15" customHeight="1" x14ac:dyDescent="0.35">
      <c r="A150" s="12"/>
      <c r="B150" s="11"/>
      <c r="C150" s="12"/>
      <c r="D150" s="11"/>
      <c r="E150" s="13"/>
      <c r="F150" s="12"/>
      <c r="G150" s="12"/>
    </row>
    <row r="151" spans="1:7" ht="15" customHeight="1" x14ac:dyDescent="0.35">
      <c r="A151" s="12"/>
      <c r="B151" s="11"/>
      <c r="C151" s="12"/>
      <c r="D151" s="11"/>
      <c r="E151" s="13"/>
      <c r="F151" s="11"/>
      <c r="G151" s="12"/>
    </row>
    <row r="152" spans="1:7" x14ac:dyDescent="0.35">
      <c r="A152" s="11"/>
      <c r="B152" s="11"/>
      <c r="C152" s="11"/>
      <c r="D152" s="11"/>
      <c r="E152" s="11"/>
      <c r="F152" s="11"/>
      <c r="G152" s="11"/>
    </row>
    <row r="153" spans="1:7" ht="15" customHeight="1" x14ac:dyDescent="0.35">
      <c r="A153" s="12"/>
      <c r="B153" s="11"/>
      <c r="C153" s="12"/>
      <c r="D153" s="12"/>
      <c r="E153" s="13"/>
      <c r="F153" s="12"/>
      <c r="G153" s="13"/>
    </row>
    <row r="154" spans="1:7" x14ac:dyDescent="0.35">
      <c r="A154" s="12"/>
      <c r="B154" s="11"/>
      <c r="C154" s="12"/>
      <c r="D154" s="11"/>
      <c r="E154" s="12"/>
      <c r="F154" s="12"/>
      <c r="G154" s="12"/>
    </row>
    <row r="155" spans="1:7" ht="15" customHeight="1" x14ac:dyDescent="0.35">
      <c r="A155" s="12"/>
      <c r="B155" s="11"/>
      <c r="C155" s="12"/>
      <c r="D155" s="11"/>
      <c r="E155" s="11"/>
      <c r="F155" s="11"/>
      <c r="G155" s="12"/>
    </row>
    <row r="156" spans="1:7" ht="15" customHeight="1" x14ac:dyDescent="0.35">
      <c r="A156" s="12"/>
      <c r="B156" s="11"/>
      <c r="C156" s="12"/>
      <c r="D156" s="11"/>
      <c r="E156" s="11"/>
      <c r="F156" s="12"/>
      <c r="G156" s="12"/>
    </row>
    <row r="157" spans="1:7" x14ac:dyDescent="0.35">
      <c r="A157" s="12"/>
      <c r="B157" s="11"/>
      <c r="C157" s="12"/>
      <c r="D157" s="11"/>
      <c r="E157" s="11"/>
      <c r="F157" s="11"/>
      <c r="G157" s="12"/>
    </row>
    <row r="158" spans="1:7" x14ac:dyDescent="0.35">
      <c r="A158" s="11"/>
      <c r="B158" s="11"/>
      <c r="C158" s="11"/>
      <c r="D158" s="11"/>
      <c r="E158" s="11"/>
      <c r="F158" s="11"/>
      <c r="G158" s="11"/>
    </row>
    <row r="159" spans="1:7" ht="15" customHeight="1" x14ac:dyDescent="0.35">
      <c r="A159" s="12"/>
      <c r="B159" s="11"/>
      <c r="C159" s="12"/>
      <c r="D159" s="12"/>
      <c r="E159" s="13"/>
      <c r="F159" s="12"/>
      <c r="G159" s="13"/>
    </row>
    <row r="160" spans="1:7" x14ac:dyDescent="0.35">
      <c r="A160" s="12"/>
      <c r="B160" s="11"/>
      <c r="C160" s="12"/>
      <c r="D160" s="11"/>
      <c r="E160" s="12"/>
      <c r="F160" s="12"/>
      <c r="G160" s="12"/>
    </row>
    <row r="161" spans="1:7" ht="15" customHeight="1" x14ac:dyDescent="0.35">
      <c r="A161" s="12"/>
      <c r="B161" s="11"/>
      <c r="C161" s="12"/>
      <c r="D161" s="11"/>
      <c r="E161" s="11"/>
      <c r="F161" s="11"/>
      <c r="G161" s="13"/>
    </row>
    <row r="162" spans="1:7" ht="15" customHeight="1" x14ac:dyDescent="0.35">
      <c r="A162" s="12"/>
      <c r="B162" s="11"/>
      <c r="C162" s="12"/>
      <c r="D162" s="11"/>
      <c r="E162" s="11"/>
      <c r="F162" s="12"/>
      <c r="G162" s="12"/>
    </row>
    <row r="163" spans="1:7" x14ac:dyDescent="0.35">
      <c r="A163" s="11"/>
      <c r="B163" s="11"/>
      <c r="C163" s="11"/>
      <c r="D163" s="11"/>
      <c r="E163" s="11"/>
      <c r="F163" s="11"/>
      <c r="G163" s="11"/>
    </row>
    <row r="164" spans="1:7" ht="15" customHeight="1" x14ac:dyDescent="0.35">
      <c r="A164" s="12"/>
      <c r="B164" s="11"/>
      <c r="C164" s="12"/>
      <c r="D164" s="12"/>
      <c r="E164" s="13"/>
      <c r="F164" s="12"/>
      <c r="G164" s="13"/>
    </row>
    <row r="165" spans="1:7" x14ac:dyDescent="0.35">
      <c r="A165" s="12"/>
      <c r="B165" s="11"/>
      <c r="C165" s="12"/>
      <c r="D165" s="11"/>
      <c r="E165" s="12"/>
      <c r="F165" s="12"/>
      <c r="G165" s="12"/>
    </row>
    <row r="166" spans="1:7" x14ac:dyDescent="0.35">
      <c r="A166" s="12"/>
      <c r="B166" s="11"/>
      <c r="C166" s="12"/>
      <c r="D166" s="11"/>
      <c r="E166" s="11"/>
      <c r="F166" s="11"/>
      <c r="G166" s="12"/>
    </row>
    <row r="167" spans="1:7" ht="15" customHeight="1" x14ac:dyDescent="0.35">
      <c r="A167" s="12"/>
      <c r="B167" s="11"/>
      <c r="C167" s="12"/>
      <c r="D167" s="11"/>
      <c r="E167" s="13"/>
      <c r="F167" s="11"/>
      <c r="G167" s="12"/>
    </row>
    <row r="168" spans="1:7" x14ac:dyDescent="0.35">
      <c r="A168" s="11"/>
      <c r="B168" s="11"/>
      <c r="C168" s="11"/>
      <c r="D168" s="11"/>
      <c r="E168" s="11"/>
      <c r="F168" s="11"/>
      <c r="G168" s="11"/>
    </row>
    <row r="169" spans="1:7" ht="15" customHeight="1" x14ac:dyDescent="0.35">
      <c r="A169" s="12"/>
      <c r="B169" s="11"/>
      <c r="C169" s="12"/>
      <c r="D169" s="12"/>
      <c r="E169" s="13"/>
      <c r="F169" s="12"/>
      <c r="G169" s="13"/>
    </row>
    <row r="170" spans="1:7" ht="15" customHeight="1" x14ac:dyDescent="0.35">
      <c r="A170" s="12"/>
      <c r="B170" s="11"/>
      <c r="C170" s="12"/>
      <c r="D170" s="11"/>
      <c r="E170" s="11"/>
      <c r="F170" s="11"/>
      <c r="G170" s="12"/>
    </row>
    <row r="171" spans="1:7" ht="15" customHeight="1" x14ac:dyDescent="0.35">
      <c r="A171" s="12"/>
      <c r="B171" s="11"/>
      <c r="C171" s="12"/>
      <c r="D171" s="11"/>
      <c r="E171" s="13"/>
      <c r="F171" s="11"/>
      <c r="G171" s="12"/>
    </row>
    <row r="172" spans="1:7" ht="15" customHeight="1" x14ac:dyDescent="0.35">
      <c r="A172" s="12"/>
      <c r="B172" s="11"/>
      <c r="C172" s="12"/>
      <c r="D172" s="11"/>
      <c r="E172" s="13"/>
      <c r="F172" s="11"/>
      <c r="G172" s="12"/>
    </row>
    <row r="173" spans="1:7" x14ac:dyDescent="0.35">
      <c r="A173" s="11"/>
      <c r="B173" s="11"/>
      <c r="C173" s="11"/>
      <c r="D173" s="11"/>
      <c r="E173" s="11"/>
      <c r="F173" s="11"/>
      <c r="G173" s="11"/>
    </row>
    <row r="174" spans="1:7" x14ac:dyDescent="0.35">
      <c r="A174" s="12"/>
      <c r="B174" s="11"/>
      <c r="C174" s="12"/>
      <c r="D174" s="12"/>
      <c r="E174" s="12"/>
      <c r="F174" s="12"/>
      <c r="G174" s="12"/>
    </row>
    <row r="175" spans="1:7" ht="15" customHeight="1" x14ac:dyDescent="0.35">
      <c r="A175" s="12"/>
      <c r="B175" s="11"/>
      <c r="C175" s="12"/>
      <c r="D175" s="11"/>
      <c r="E175" s="11"/>
      <c r="F175" s="11"/>
      <c r="G175" s="13"/>
    </row>
    <row r="176" spans="1:7" ht="15" customHeight="1" x14ac:dyDescent="0.35">
      <c r="A176" s="12"/>
      <c r="B176" s="11"/>
      <c r="C176" s="12"/>
      <c r="D176" s="11"/>
      <c r="E176" s="13"/>
      <c r="F176" s="11"/>
      <c r="G176" s="12"/>
    </row>
    <row r="177" spans="1:7" x14ac:dyDescent="0.35">
      <c r="A177" s="11"/>
      <c r="B177" s="11"/>
      <c r="C177" s="11"/>
      <c r="D177" s="11"/>
      <c r="E177" s="11"/>
      <c r="F177" s="11"/>
      <c r="G177" s="11"/>
    </row>
    <row r="178" spans="1:7" x14ac:dyDescent="0.35">
      <c r="A178" s="12"/>
      <c r="B178" s="11"/>
      <c r="C178" s="12"/>
      <c r="D178" s="12"/>
      <c r="E178" s="12"/>
      <c r="F178" s="12"/>
      <c r="G178" s="12"/>
    </row>
    <row r="179" spans="1:7" x14ac:dyDescent="0.35">
      <c r="A179" s="12"/>
      <c r="B179" s="11"/>
      <c r="C179" s="12"/>
      <c r="D179" s="11"/>
      <c r="E179" s="11"/>
      <c r="F179" s="11"/>
      <c r="G179" s="12"/>
    </row>
    <row r="180" spans="1:7" ht="15" customHeight="1" x14ac:dyDescent="0.35">
      <c r="A180" s="12"/>
      <c r="B180" s="11"/>
      <c r="C180" s="12"/>
      <c r="D180" s="11"/>
      <c r="E180" s="13"/>
      <c r="F180" s="11"/>
      <c r="G180" s="12"/>
    </row>
    <row r="181" spans="1:7" x14ac:dyDescent="0.35">
      <c r="A181" s="11"/>
      <c r="B181" s="11"/>
      <c r="C181" s="11"/>
      <c r="D181" s="11"/>
      <c r="E181" s="11"/>
      <c r="F181" s="11"/>
      <c r="G181" s="11"/>
    </row>
    <row r="182" spans="1:7" x14ac:dyDescent="0.35">
      <c r="A182" s="12"/>
      <c r="B182" s="11"/>
      <c r="C182" s="12"/>
      <c r="D182" s="12"/>
      <c r="E182" s="12"/>
      <c r="F182" s="12"/>
      <c r="G182" s="12"/>
    </row>
    <row r="183" spans="1:7" ht="15" customHeight="1" x14ac:dyDescent="0.35">
      <c r="A183" s="12"/>
      <c r="B183" s="11"/>
      <c r="C183" s="11"/>
      <c r="D183" s="11"/>
      <c r="E183" s="13"/>
      <c r="F183" s="11"/>
      <c r="G183" s="12"/>
    </row>
    <row r="184" spans="1:7" x14ac:dyDescent="0.35">
      <c r="A184" s="11"/>
      <c r="B184" s="11"/>
      <c r="C184" s="11"/>
      <c r="D184" s="11"/>
      <c r="E184" s="11"/>
      <c r="F184" s="11"/>
      <c r="G184" s="11"/>
    </row>
    <row r="185" spans="1:7" x14ac:dyDescent="0.35">
      <c r="A185" s="12"/>
      <c r="B185" s="11"/>
      <c r="C185" s="12"/>
      <c r="D185" s="12"/>
      <c r="E185" s="12"/>
      <c r="F185" s="12"/>
      <c r="G185" s="12"/>
    </row>
    <row r="186" spans="1:7" ht="15" customHeight="1" x14ac:dyDescent="0.35">
      <c r="A186" s="12"/>
      <c r="B186" s="11"/>
      <c r="C186" s="11"/>
      <c r="D186" s="11"/>
      <c r="E186" s="13"/>
      <c r="F186" s="11"/>
      <c r="G186" s="12"/>
    </row>
    <row r="187" spans="1:7" x14ac:dyDescent="0.35">
      <c r="A187" s="11"/>
      <c r="B187" s="11"/>
      <c r="C187" s="11"/>
      <c r="D187" s="11"/>
      <c r="E187" s="11"/>
      <c r="F187" s="11"/>
      <c r="G187" s="11"/>
    </row>
    <row r="188" spans="1:7" x14ac:dyDescent="0.35">
      <c r="A188" s="12"/>
      <c r="B188" s="11"/>
      <c r="C188" s="12"/>
      <c r="D188" s="12"/>
      <c r="E188" s="12"/>
      <c r="F188" s="12"/>
      <c r="G188" s="12"/>
    </row>
    <row r="189" spans="1:7" x14ac:dyDescent="0.35">
      <c r="A189" s="11"/>
      <c r="B189" s="11"/>
      <c r="C189" s="11"/>
      <c r="D189" s="11"/>
      <c r="E189" s="11"/>
      <c r="F189" s="11"/>
      <c r="G189" s="11"/>
    </row>
    <row r="190" spans="1:7" x14ac:dyDescent="0.35">
      <c r="A190" s="12"/>
      <c r="B190" s="11"/>
      <c r="C190" s="12"/>
      <c r="D190" s="12"/>
      <c r="E190" s="12"/>
      <c r="F190" s="12"/>
      <c r="G190" s="12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4273-527F-4353-9C02-228907DEA488}">
  <sheetPr codeName="Лист36"/>
  <dimension ref="A1:I190"/>
  <sheetViews>
    <sheetView zoomScale="190" zoomScaleNormal="190" workbookViewId="0">
      <selection activeCell="L19" sqref="L19"/>
    </sheetView>
  </sheetViews>
  <sheetFormatPr defaultRowHeight="14.5" x14ac:dyDescent="0.35"/>
  <sheetData>
    <row r="1" spans="1:9" x14ac:dyDescent="0.35">
      <c r="A1" s="11" t="s">
        <v>2381</v>
      </c>
      <c r="B1" t="s">
        <v>3537</v>
      </c>
      <c r="C1" s="13" t="s">
        <v>2982</v>
      </c>
      <c r="D1" s="13" t="s">
        <v>3536</v>
      </c>
      <c r="E1" s="13" t="s">
        <v>3543</v>
      </c>
      <c r="F1" s="13" t="s">
        <v>3519</v>
      </c>
      <c r="G1" s="11" t="s">
        <v>2387</v>
      </c>
      <c r="H1" t="s">
        <v>3355</v>
      </c>
      <c r="I1" t="s">
        <v>3405</v>
      </c>
    </row>
    <row r="2" spans="1:9" x14ac:dyDescent="0.35">
      <c r="A2" s="81">
        <v>16</v>
      </c>
      <c r="B2" s="81">
        <v>16</v>
      </c>
      <c r="C2" s="91">
        <v>16</v>
      </c>
      <c r="D2" s="83">
        <v>22</v>
      </c>
      <c r="E2" s="95" t="s">
        <v>3538</v>
      </c>
      <c r="F2" s="83">
        <v>7</v>
      </c>
      <c r="G2" s="73" t="s">
        <v>3530</v>
      </c>
      <c r="H2" s="93" t="s">
        <v>3524</v>
      </c>
      <c r="I2" s="95" t="s">
        <v>3544</v>
      </c>
    </row>
    <row r="3" spans="1:9" ht="15" customHeight="1" x14ac:dyDescent="0.35">
      <c r="A3" s="82">
        <v>20</v>
      </c>
      <c r="B3" s="82">
        <v>20</v>
      </c>
      <c r="C3" s="92">
        <v>16</v>
      </c>
      <c r="D3" s="84">
        <v>27</v>
      </c>
      <c r="E3" s="96" t="s">
        <v>3538</v>
      </c>
      <c r="F3" s="84">
        <v>7</v>
      </c>
      <c r="G3" s="72" t="s">
        <v>3531</v>
      </c>
      <c r="H3" s="94" t="s">
        <v>3525</v>
      </c>
      <c r="I3" s="96" t="s">
        <v>3545</v>
      </c>
    </row>
    <row r="4" spans="1:9" x14ac:dyDescent="0.35">
      <c r="A4" s="81">
        <v>25</v>
      </c>
      <c r="B4" s="81">
        <v>25</v>
      </c>
      <c r="C4" s="91">
        <v>16</v>
      </c>
      <c r="D4" s="83">
        <v>33</v>
      </c>
      <c r="E4" s="95" t="s">
        <v>3539</v>
      </c>
      <c r="F4" s="83">
        <v>7</v>
      </c>
      <c r="G4" s="73" t="s">
        <v>3532</v>
      </c>
      <c r="H4" s="93" t="s">
        <v>3526</v>
      </c>
      <c r="I4" s="95" t="s">
        <v>3546</v>
      </c>
    </row>
    <row r="5" spans="1:9" ht="15" customHeight="1" x14ac:dyDescent="0.35">
      <c r="A5" s="82">
        <v>32</v>
      </c>
      <c r="B5" s="82">
        <v>32</v>
      </c>
      <c r="C5" s="92">
        <v>16</v>
      </c>
      <c r="D5" s="84">
        <v>41</v>
      </c>
      <c r="E5" s="96" t="s">
        <v>3540</v>
      </c>
      <c r="F5" s="84">
        <v>7</v>
      </c>
      <c r="G5" s="72" t="s">
        <v>3533</v>
      </c>
      <c r="H5" s="94" t="s">
        <v>3527</v>
      </c>
      <c r="I5" s="96" t="s">
        <v>3547</v>
      </c>
    </row>
    <row r="6" spans="1:9" x14ac:dyDescent="0.35">
      <c r="A6" s="81">
        <v>40</v>
      </c>
      <c r="B6" s="81">
        <v>40</v>
      </c>
      <c r="C6" s="91">
        <v>16</v>
      </c>
      <c r="D6" s="83">
        <v>50</v>
      </c>
      <c r="E6" s="95" t="s">
        <v>3541</v>
      </c>
      <c r="F6" s="83">
        <v>8</v>
      </c>
      <c r="G6" s="73" t="s">
        <v>3534</v>
      </c>
      <c r="H6" s="93" t="s">
        <v>3528</v>
      </c>
      <c r="I6" s="95" t="s">
        <v>3548</v>
      </c>
    </row>
    <row r="7" spans="1:9" x14ac:dyDescent="0.35">
      <c r="A7" s="82">
        <v>50</v>
      </c>
      <c r="B7" s="82">
        <v>50</v>
      </c>
      <c r="C7" s="92">
        <v>16</v>
      </c>
      <c r="D7" s="84">
        <v>60</v>
      </c>
      <c r="E7" s="96" t="s">
        <v>3542</v>
      </c>
      <c r="F7" s="84">
        <v>8</v>
      </c>
      <c r="G7" s="72" t="s">
        <v>3535</v>
      </c>
      <c r="H7" s="94" t="s">
        <v>3529</v>
      </c>
      <c r="I7" s="96" t="s">
        <v>3549</v>
      </c>
    </row>
    <row r="8" spans="1:9" ht="15" customHeight="1" x14ac:dyDescent="0.35">
      <c r="A8" s="71">
        <v>63</v>
      </c>
      <c r="B8" s="71">
        <v>63</v>
      </c>
      <c r="C8" s="73">
        <v>16</v>
      </c>
      <c r="D8" s="73">
        <v>77</v>
      </c>
      <c r="E8" s="99" t="s">
        <v>3590</v>
      </c>
      <c r="F8" s="73">
        <v>9</v>
      </c>
      <c r="G8" s="73" t="s">
        <v>3550</v>
      </c>
      <c r="H8" s="97" t="s">
        <v>3564</v>
      </c>
      <c r="I8" s="99" t="s">
        <v>3578</v>
      </c>
    </row>
    <row r="9" spans="1:9" ht="15" customHeight="1" x14ac:dyDescent="0.35">
      <c r="A9" s="70">
        <v>75</v>
      </c>
      <c r="B9" s="70">
        <v>75</v>
      </c>
      <c r="C9" s="72">
        <v>16</v>
      </c>
      <c r="D9" s="72">
        <v>90</v>
      </c>
      <c r="E9" s="100" t="s">
        <v>3583</v>
      </c>
      <c r="F9" s="101">
        <v>10</v>
      </c>
      <c r="G9" s="72" t="s">
        <v>3551</v>
      </c>
      <c r="H9" s="98" t="s">
        <v>3565</v>
      </c>
      <c r="I9" s="100" t="s">
        <v>3523</v>
      </c>
    </row>
    <row r="10" spans="1:9" x14ac:dyDescent="0.35">
      <c r="A10" s="71">
        <v>90</v>
      </c>
      <c r="B10" s="71">
        <v>90</v>
      </c>
      <c r="C10" s="73">
        <v>16</v>
      </c>
      <c r="D10" s="73">
        <v>107</v>
      </c>
      <c r="E10" s="99" t="s">
        <v>3591</v>
      </c>
      <c r="F10" s="102">
        <v>11</v>
      </c>
      <c r="G10" s="73" t="s">
        <v>3552</v>
      </c>
      <c r="H10" s="97" t="s">
        <v>3566</v>
      </c>
      <c r="I10" s="99" t="s">
        <v>3579</v>
      </c>
    </row>
    <row r="11" spans="1:9" ht="15" customHeight="1" x14ac:dyDescent="0.35">
      <c r="A11" s="70">
        <v>110</v>
      </c>
      <c r="B11" s="70">
        <v>110</v>
      </c>
      <c r="C11" s="72">
        <v>16</v>
      </c>
      <c r="D11" s="72">
        <v>129</v>
      </c>
      <c r="E11" s="100" t="s">
        <v>3592</v>
      </c>
      <c r="F11" s="101">
        <v>12</v>
      </c>
      <c r="G11" s="72" t="s">
        <v>3553</v>
      </c>
      <c r="H11" s="98" t="s">
        <v>3567</v>
      </c>
      <c r="I11" s="100" t="s">
        <v>3541</v>
      </c>
    </row>
    <row r="12" spans="1:9" x14ac:dyDescent="0.35">
      <c r="A12" s="71">
        <v>125</v>
      </c>
      <c r="B12" s="71">
        <v>125</v>
      </c>
      <c r="C12" s="73">
        <v>16</v>
      </c>
      <c r="D12" s="73">
        <v>147</v>
      </c>
      <c r="E12" s="99" t="s">
        <v>3593</v>
      </c>
      <c r="F12" s="102">
        <v>13</v>
      </c>
      <c r="G12" s="73" t="s">
        <v>3554</v>
      </c>
      <c r="H12" s="97" t="s">
        <v>3568</v>
      </c>
      <c r="I12" s="99" t="s">
        <v>3580</v>
      </c>
    </row>
    <row r="13" spans="1:9" x14ac:dyDescent="0.35">
      <c r="A13" s="70">
        <v>140</v>
      </c>
      <c r="B13" s="70">
        <v>140</v>
      </c>
      <c r="C13" s="72">
        <v>16</v>
      </c>
      <c r="D13" s="72">
        <v>164</v>
      </c>
      <c r="E13" s="100" t="s">
        <v>3594</v>
      </c>
      <c r="F13" s="101">
        <v>14</v>
      </c>
      <c r="G13" s="72" t="s">
        <v>3555</v>
      </c>
      <c r="H13" s="98" t="s">
        <v>3569</v>
      </c>
      <c r="I13" s="100" t="s">
        <v>3581</v>
      </c>
    </row>
    <row r="14" spans="1:9" ht="15" customHeight="1" x14ac:dyDescent="0.35">
      <c r="A14" s="71">
        <v>160</v>
      </c>
      <c r="B14" s="71">
        <v>160</v>
      </c>
      <c r="C14" s="73">
        <v>16</v>
      </c>
      <c r="D14" s="73">
        <v>188</v>
      </c>
      <c r="E14" s="99" t="s">
        <v>3595</v>
      </c>
      <c r="F14" s="102">
        <v>16</v>
      </c>
      <c r="G14" s="73" t="s">
        <v>3556</v>
      </c>
      <c r="H14" s="97" t="s">
        <v>3570</v>
      </c>
      <c r="I14" s="99" t="s">
        <v>3582</v>
      </c>
    </row>
    <row r="15" spans="1:9" ht="15" customHeight="1" x14ac:dyDescent="0.35">
      <c r="A15" s="70">
        <v>200</v>
      </c>
      <c r="B15" s="70">
        <v>200</v>
      </c>
      <c r="C15" s="72">
        <v>16</v>
      </c>
      <c r="D15" s="72">
        <v>230</v>
      </c>
      <c r="E15" s="100" t="s">
        <v>3596</v>
      </c>
      <c r="F15" s="101">
        <v>18</v>
      </c>
      <c r="G15" s="72" t="s">
        <v>3557</v>
      </c>
      <c r="H15" s="98" t="s">
        <v>3571</v>
      </c>
      <c r="I15" s="100" t="s">
        <v>3583</v>
      </c>
    </row>
    <row r="16" spans="1:9" x14ac:dyDescent="0.35">
      <c r="A16" s="71">
        <v>225</v>
      </c>
      <c r="B16" s="71">
        <v>225</v>
      </c>
      <c r="C16" s="73">
        <v>16</v>
      </c>
      <c r="D16" s="73">
        <v>245</v>
      </c>
      <c r="E16" s="99" t="s">
        <v>3597</v>
      </c>
      <c r="F16" s="102">
        <v>24</v>
      </c>
      <c r="G16" s="73" t="s">
        <v>3558</v>
      </c>
      <c r="H16" s="97" t="s">
        <v>3572</v>
      </c>
      <c r="I16" s="99" t="s">
        <v>3584</v>
      </c>
    </row>
    <row r="17" spans="1:9" ht="15" customHeight="1" x14ac:dyDescent="0.35">
      <c r="A17" s="70">
        <v>250</v>
      </c>
      <c r="B17" s="70">
        <v>250</v>
      </c>
      <c r="C17" s="72">
        <v>10</v>
      </c>
      <c r="D17" s="72">
        <v>269</v>
      </c>
      <c r="E17" s="100" t="s">
        <v>3598</v>
      </c>
      <c r="F17" s="101">
        <v>20</v>
      </c>
      <c r="G17" s="72" t="s">
        <v>3559</v>
      </c>
      <c r="H17" s="98" t="s">
        <v>3573</v>
      </c>
      <c r="I17" s="100" t="s">
        <v>3585</v>
      </c>
    </row>
    <row r="18" spans="1:9" x14ac:dyDescent="0.35">
      <c r="A18" s="71">
        <v>280</v>
      </c>
      <c r="B18" s="71">
        <v>280</v>
      </c>
      <c r="C18" s="73">
        <v>10</v>
      </c>
      <c r="D18" s="73">
        <v>304</v>
      </c>
      <c r="E18" s="99" t="s">
        <v>3599</v>
      </c>
      <c r="F18" s="102">
        <v>20</v>
      </c>
      <c r="G18" s="73" t="s">
        <v>3560</v>
      </c>
      <c r="H18" s="97" t="s">
        <v>3574</v>
      </c>
      <c r="I18" s="99" t="s">
        <v>3586</v>
      </c>
    </row>
    <row r="19" spans="1:9" x14ac:dyDescent="0.35">
      <c r="A19" s="70">
        <v>315</v>
      </c>
      <c r="B19" s="70">
        <v>315</v>
      </c>
      <c r="C19" s="72">
        <v>10</v>
      </c>
      <c r="D19" s="72">
        <v>341</v>
      </c>
      <c r="E19" s="100" t="s">
        <v>3600</v>
      </c>
      <c r="F19" s="101">
        <v>20</v>
      </c>
      <c r="G19" s="72" t="s">
        <v>3561</v>
      </c>
      <c r="H19" s="98" t="s">
        <v>3575</v>
      </c>
      <c r="I19" s="100" t="s">
        <v>3587</v>
      </c>
    </row>
    <row r="20" spans="1:9" x14ac:dyDescent="0.35">
      <c r="A20" s="71">
        <v>355</v>
      </c>
      <c r="B20" s="71">
        <v>355</v>
      </c>
      <c r="C20" s="73">
        <v>10</v>
      </c>
      <c r="D20" s="73">
        <v>384</v>
      </c>
      <c r="E20" s="99" t="s">
        <v>3601</v>
      </c>
      <c r="F20" s="102">
        <v>28</v>
      </c>
      <c r="G20" s="77" t="s">
        <v>3562</v>
      </c>
      <c r="H20" s="97" t="s">
        <v>3576</v>
      </c>
      <c r="I20" s="99" t="s">
        <v>3588</v>
      </c>
    </row>
    <row r="21" spans="1:9" ht="15" customHeight="1" x14ac:dyDescent="0.35">
      <c r="A21" s="70">
        <v>400</v>
      </c>
      <c r="B21" s="70">
        <v>400</v>
      </c>
      <c r="C21" s="72">
        <v>4</v>
      </c>
      <c r="D21" s="72">
        <v>450</v>
      </c>
      <c r="E21" s="100" t="s">
        <v>3602</v>
      </c>
      <c r="F21" s="101">
        <v>25</v>
      </c>
      <c r="G21" s="72" t="s">
        <v>3563</v>
      </c>
      <c r="H21" s="98" t="s">
        <v>3577</v>
      </c>
      <c r="I21" s="100" t="s">
        <v>3589</v>
      </c>
    </row>
    <row r="22" spans="1:9" x14ac:dyDescent="0.35">
      <c r="A22" s="71"/>
      <c r="B22" s="71"/>
      <c r="C22" s="73"/>
    </row>
    <row r="23" spans="1:9" ht="15" customHeight="1" x14ac:dyDescent="0.35">
      <c r="A23" s="70"/>
      <c r="B23" s="70"/>
      <c r="C23" s="72"/>
    </row>
    <row r="24" spans="1:9" x14ac:dyDescent="0.35">
      <c r="A24" s="12"/>
      <c r="B24" s="11"/>
    </row>
    <row r="25" spans="1:9" x14ac:dyDescent="0.35">
      <c r="A25" s="12"/>
      <c r="B25" s="11"/>
    </row>
    <row r="26" spans="1:9" x14ac:dyDescent="0.35">
      <c r="A26" s="11"/>
      <c r="B26" s="11"/>
    </row>
    <row r="27" spans="1:9" ht="15" customHeight="1" x14ac:dyDescent="0.35">
      <c r="A27" s="12"/>
      <c r="B27" s="11"/>
    </row>
    <row r="28" spans="1:9" x14ac:dyDescent="0.35">
      <c r="A28" s="12"/>
      <c r="B28" s="11"/>
    </row>
    <row r="29" spans="1:9" ht="15" customHeight="1" x14ac:dyDescent="0.35">
      <c r="A29" s="12"/>
      <c r="B29" s="11"/>
    </row>
    <row r="30" spans="1:9" x14ac:dyDescent="0.35">
      <c r="A30" s="12"/>
      <c r="B30" s="11"/>
    </row>
    <row r="31" spans="1:9" x14ac:dyDescent="0.35">
      <c r="A31" s="12"/>
      <c r="B31" s="11"/>
    </row>
    <row r="32" spans="1:9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75C8-3750-4BAA-A54E-1D727B92D7B6}">
  <sheetPr codeName="Лист35"/>
  <dimension ref="A1:G190"/>
  <sheetViews>
    <sheetView zoomScale="115" zoomScaleNormal="115" workbookViewId="0">
      <selection activeCell="J38" sqref="J38"/>
    </sheetView>
  </sheetViews>
  <sheetFormatPr defaultRowHeight="14.5" x14ac:dyDescent="0.35"/>
  <sheetData>
    <row r="1" spans="1:7" x14ac:dyDescent="0.35">
      <c r="A1" s="11" t="s">
        <v>2381</v>
      </c>
      <c r="B1" t="s">
        <v>12</v>
      </c>
      <c r="C1" s="13" t="s">
        <v>2982</v>
      </c>
      <c r="D1" s="13" t="s">
        <v>3519</v>
      </c>
      <c r="E1" s="11" t="s">
        <v>2387</v>
      </c>
      <c r="F1" t="s">
        <v>3355</v>
      </c>
      <c r="G1" t="s">
        <v>3405</v>
      </c>
    </row>
    <row r="2" spans="1:7" x14ac:dyDescent="0.35">
      <c r="A2" s="56">
        <v>20</v>
      </c>
      <c r="B2" s="56">
        <v>20</v>
      </c>
      <c r="C2" s="58">
        <v>16</v>
      </c>
      <c r="D2" s="63" t="s">
        <v>3520</v>
      </c>
      <c r="E2" s="50" t="s">
        <v>3476</v>
      </c>
      <c r="F2" s="60" t="s">
        <v>3494</v>
      </c>
      <c r="G2" s="61">
        <v>16</v>
      </c>
    </row>
    <row r="3" spans="1:7" ht="15" customHeight="1" x14ac:dyDescent="0.35">
      <c r="A3" s="57">
        <v>25</v>
      </c>
      <c r="B3" s="57">
        <v>25</v>
      </c>
      <c r="C3" s="59">
        <v>16</v>
      </c>
      <c r="D3" s="64">
        <v>7</v>
      </c>
      <c r="E3" s="51" t="s">
        <v>3477</v>
      </c>
      <c r="F3" s="46" t="s">
        <v>3495</v>
      </c>
      <c r="G3" s="62" t="s">
        <v>3513</v>
      </c>
    </row>
    <row r="4" spans="1:7" x14ac:dyDescent="0.35">
      <c r="A4" s="56">
        <v>32</v>
      </c>
      <c r="B4" s="56">
        <v>32</v>
      </c>
      <c r="C4" s="58">
        <v>16</v>
      </c>
      <c r="D4" s="63" t="s">
        <v>3521</v>
      </c>
      <c r="E4" s="50" t="s">
        <v>3478</v>
      </c>
      <c r="F4" s="60" t="s">
        <v>3496</v>
      </c>
      <c r="G4" s="61">
        <v>22</v>
      </c>
    </row>
    <row r="5" spans="1:7" ht="15" customHeight="1" x14ac:dyDescent="0.35">
      <c r="A5" s="57">
        <v>40</v>
      </c>
      <c r="B5" s="57">
        <v>40</v>
      </c>
      <c r="C5" s="59">
        <v>16</v>
      </c>
      <c r="D5" s="64">
        <v>10</v>
      </c>
      <c r="E5" s="51" t="s">
        <v>3479</v>
      </c>
      <c r="F5" s="46" t="s">
        <v>3497</v>
      </c>
      <c r="G5" s="62">
        <v>26</v>
      </c>
    </row>
    <row r="6" spans="1:7" x14ac:dyDescent="0.35">
      <c r="A6" s="56">
        <v>50</v>
      </c>
      <c r="B6" s="56">
        <v>50</v>
      </c>
      <c r="C6" s="58">
        <v>16</v>
      </c>
      <c r="D6" s="63">
        <v>12</v>
      </c>
      <c r="E6" s="50" t="s">
        <v>3480</v>
      </c>
      <c r="F6" s="60" t="s">
        <v>3498</v>
      </c>
      <c r="G6" s="61">
        <v>31</v>
      </c>
    </row>
    <row r="7" spans="1:7" x14ac:dyDescent="0.35">
      <c r="A7" s="57">
        <v>63</v>
      </c>
      <c r="B7" s="57">
        <v>63</v>
      </c>
      <c r="C7" s="59">
        <v>16</v>
      </c>
      <c r="D7" s="64">
        <v>16</v>
      </c>
      <c r="E7" s="51" t="s">
        <v>3481</v>
      </c>
      <c r="F7" s="46" t="s">
        <v>3499</v>
      </c>
      <c r="G7" s="62">
        <v>38</v>
      </c>
    </row>
    <row r="8" spans="1:7" ht="15" customHeight="1" x14ac:dyDescent="0.35">
      <c r="A8" s="56">
        <v>75</v>
      </c>
      <c r="B8" s="56">
        <v>75</v>
      </c>
      <c r="C8" s="58">
        <v>16</v>
      </c>
      <c r="D8" s="63">
        <v>18</v>
      </c>
      <c r="E8" s="50" t="s">
        <v>3482</v>
      </c>
      <c r="F8" s="60" t="s">
        <v>3500</v>
      </c>
      <c r="G8" s="61" t="s">
        <v>3514</v>
      </c>
    </row>
    <row r="9" spans="1:7" ht="15" customHeight="1" x14ac:dyDescent="0.35">
      <c r="A9" s="57">
        <v>90</v>
      </c>
      <c r="B9" s="57">
        <v>90</v>
      </c>
      <c r="C9" s="59">
        <v>16</v>
      </c>
      <c r="D9" s="64">
        <v>20</v>
      </c>
      <c r="E9" s="51" t="s">
        <v>3483</v>
      </c>
      <c r="F9" s="46" t="s">
        <v>3501</v>
      </c>
      <c r="G9" s="62">
        <v>51</v>
      </c>
    </row>
    <row r="10" spans="1:7" x14ac:dyDescent="0.35">
      <c r="A10" s="56">
        <v>110</v>
      </c>
      <c r="B10" s="56">
        <v>110</v>
      </c>
      <c r="C10" s="58">
        <v>16</v>
      </c>
      <c r="D10" s="63">
        <v>24</v>
      </c>
      <c r="E10" s="50" t="s">
        <v>3483</v>
      </c>
      <c r="F10" s="60" t="s">
        <v>3502</v>
      </c>
      <c r="G10" s="61">
        <v>61</v>
      </c>
    </row>
    <row r="11" spans="1:7" ht="15" customHeight="1" x14ac:dyDescent="0.35">
      <c r="A11" s="57">
        <v>125</v>
      </c>
      <c r="B11" s="57">
        <v>125</v>
      </c>
      <c r="C11" s="59">
        <v>16</v>
      </c>
      <c r="D11" s="64">
        <v>26</v>
      </c>
      <c r="E11" s="51" t="s">
        <v>3484</v>
      </c>
      <c r="F11" s="46" t="s">
        <v>3503</v>
      </c>
      <c r="G11" s="62" t="s">
        <v>3515</v>
      </c>
    </row>
    <row r="12" spans="1:7" x14ac:dyDescent="0.35">
      <c r="A12" s="56">
        <v>140</v>
      </c>
      <c r="B12" s="56">
        <v>140</v>
      </c>
      <c r="C12" s="58">
        <v>16</v>
      </c>
      <c r="D12" s="63">
        <v>30</v>
      </c>
      <c r="E12" s="50" t="s">
        <v>3485</v>
      </c>
      <c r="F12" s="60" t="s">
        <v>3504</v>
      </c>
      <c r="G12" s="61">
        <v>76</v>
      </c>
    </row>
    <row r="13" spans="1:7" x14ac:dyDescent="0.35">
      <c r="A13" s="57">
        <v>160</v>
      </c>
      <c r="B13" s="57">
        <v>160</v>
      </c>
      <c r="C13" s="59">
        <v>16</v>
      </c>
      <c r="D13" s="64">
        <v>38</v>
      </c>
      <c r="E13" s="51" t="s">
        <v>3486</v>
      </c>
      <c r="F13" s="46" t="s">
        <v>3505</v>
      </c>
      <c r="G13" s="62">
        <v>86</v>
      </c>
    </row>
    <row r="14" spans="1:7" ht="15" customHeight="1" x14ac:dyDescent="0.35">
      <c r="A14" s="56">
        <v>200</v>
      </c>
      <c r="B14" s="56">
        <v>200</v>
      </c>
      <c r="C14" s="58">
        <v>16</v>
      </c>
      <c r="D14" s="63">
        <v>44</v>
      </c>
      <c r="E14" s="50" t="s">
        <v>3487</v>
      </c>
      <c r="F14" s="60" t="s">
        <v>3506</v>
      </c>
      <c r="G14" s="61">
        <v>106</v>
      </c>
    </row>
    <row r="15" spans="1:7" ht="15" customHeight="1" x14ac:dyDescent="0.35">
      <c r="A15" s="57">
        <v>225</v>
      </c>
      <c r="B15" s="57">
        <v>225</v>
      </c>
      <c r="C15" s="59">
        <v>16</v>
      </c>
      <c r="D15" s="64">
        <v>50</v>
      </c>
      <c r="E15" s="51" t="s">
        <v>3488</v>
      </c>
      <c r="F15" s="46" t="s">
        <v>3507</v>
      </c>
      <c r="G15" s="62" t="s">
        <v>3516</v>
      </c>
    </row>
    <row r="16" spans="1:7" x14ac:dyDescent="0.35">
      <c r="A16" s="56">
        <v>250</v>
      </c>
      <c r="B16" s="56">
        <v>250</v>
      </c>
      <c r="C16" s="58">
        <v>10</v>
      </c>
      <c r="D16" s="63">
        <v>55</v>
      </c>
      <c r="E16" s="50" t="s">
        <v>3489</v>
      </c>
      <c r="F16" s="60" t="s">
        <v>3508</v>
      </c>
      <c r="G16" s="61">
        <v>131</v>
      </c>
    </row>
    <row r="17" spans="1:7" ht="15" customHeight="1" x14ac:dyDescent="0.35">
      <c r="A17" s="57">
        <v>280</v>
      </c>
      <c r="B17" s="57">
        <v>280</v>
      </c>
      <c r="C17" s="59">
        <v>10</v>
      </c>
      <c r="D17" s="64">
        <v>60</v>
      </c>
      <c r="E17" s="51" t="s">
        <v>3490</v>
      </c>
      <c r="F17" s="46" t="s">
        <v>3509</v>
      </c>
      <c r="G17" s="62">
        <v>146</v>
      </c>
    </row>
    <row r="18" spans="1:7" x14ac:dyDescent="0.35">
      <c r="A18" s="56">
        <v>315</v>
      </c>
      <c r="B18" s="56">
        <v>315</v>
      </c>
      <c r="C18" s="58">
        <v>10</v>
      </c>
      <c r="D18" s="63">
        <v>64</v>
      </c>
      <c r="E18" s="50" t="s">
        <v>3491</v>
      </c>
      <c r="F18" s="60" t="s">
        <v>3510</v>
      </c>
      <c r="G18" s="61" t="s">
        <v>3517</v>
      </c>
    </row>
    <row r="19" spans="1:7" x14ac:dyDescent="0.35">
      <c r="A19" s="57">
        <v>355</v>
      </c>
      <c r="B19" s="57">
        <v>355</v>
      </c>
      <c r="C19" s="59">
        <v>10</v>
      </c>
      <c r="D19" s="64">
        <v>67</v>
      </c>
      <c r="E19" s="51" t="s">
        <v>3492</v>
      </c>
      <c r="F19" s="46" t="s">
        <v>3511</v>
      </c>
      <c r="G19" s="62" t="s">
        <v>3518</v>
      </c>
    </row>
    <row r="20" spans="1:7" x14ac:dyDescent="0.35">
      <c r="A20" s="56">
        <v>400</v>
      </c>
      <c r="B20" s="56">
        <v>400</v>
      </c>
      <c r="C20" s="58">
        <v>10</v>
      </c>
      <c r="D20" s="63">
        <v>71</v>
      </c>
      <c r="E20" s="50" t="s">
        <v>3493</v>
      </c>
      <c r="F20" s="60" t="s">
        <v>3512</v>
      </c>
      <c r="G20" s="61">
        <v>206</v>
      </c>
    </row>
    <row r="21" spans="1:7" ht="15" customHeight="1" x14ac:dyDescent="0.35">
      <c r="A21" s="57"/>
      <c r="B21" s="57"/>
    </row>
    <row r="22" spans="1:7" x14ac:dyDescent="0.35">
      <c r="A22" s="56"/>
      <c r="B22" s="56"/>
    </row>
    <row r="23" spans="1:7" ht="15" customHeight="1" x14ac:dyDescent="0.35">
      <c r="A23" s="12"/>
      <c r="B23" s="11"/>
    </row>
    <row r="24" spans="1:7" x14ac:dyDescent="0.35">
      <c r="A24" s="12"/>
      <c r="B24" s="11"/>
    </row>
    <row r="25" spans="1:7" x14ac:dyDescent="0.35">
      <c r="A25" s="12"/>
      <c r="B25" s="11"/>
    </row>
    <row r="26" spans="1:7" x14ac:dyDescent="0.35">
      <c r="A26" s="11"/>
      <c r="B26" s="11"/>
    </row>
    <row r="27" spans="1:7" ht="15" customHeight="1" x14ac:dyDescent="0.35">
      <c r="A27" s="12"/>
      <c r="B27" s="11"/>
    </row>
    <row r="28" spans="1:7" x14ac:dyDescent="0.35">
      <c r="A28" s="12"/>
      <c r="B28" s="11"/>
    </row>
    <row r="29" spans="1:7" ht="15" customHeight="1" x14ac:dyDescent="0.35">
      <c r="A29" s="12"/>
      <c r="B29" s="11"/>
    </row>
    <row r="30" spans="1:7" x14ac:dyDescent="0.35">
      <c r="A30" s="12"/>
      <c r="B30" s="11"/>
    </row>
    <row r="31" spans="1:7" x14ac:dyDescent="0.35">
      <c r="A31" s="12"/>
      <c r="B31" s="11"/>
    </row>
    <row r="32" spans="1:7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4EB6-638B-4F9E-8CE1-72CACA672F25}">
  <sheetPr codeName="Лист25"/>
  <dimension ref="A1:I376"/>
  <sheetViews>
    <sheetView topLeftCell="A19" zoomScale="115" zoomScaleNormal="115" workbookViewId="0">
      <selection activeCell="K9" sqref="K9"/>
    </sheetView>
  </sheetViews>
  <sheetFormatPr defaultRowHeight="14.5" x14ac:dyDescent="0.35"/>
  <cols>
    <col min="7" max="7" width="32.54296875" customWidth="1"/>
  </cols>
  <sheetData>
    <row r="1" spans="1:9" x14ac:dyDescent="0.35">
      <c r="A1" t="s">
        <v>2381</v>
      </c>
      <c r="B1" t="s">
        <v>12</v>
      </c>
      <c r="C1" t="s">
        <v>2383</v>
      </c>
      <c r="D1" t="s">
        <v>2392</v>
      </c>
      <c r="E1" t="s">
        <v>2387</v>
      </c>
      <c r="F1" t="s">
        <v>2749</v>
      </c>
      <c r="G1" t="s">
        <v>3355</v>
      </c>
      <c r="H1" t="s">
        <v>3405</v>
      </c>
      <c r="I1" t="s">
        <v>3168</v>
      </c>
    </row>
    <row r="2" spans="1:9" x14ac:dyDescent="0.35">
      <c r="A2" s="56">
        <v>20</v>
      </c>
      <c r="B2" s="56">
        <v>20</v>
      </c>
      <c r="C2" s="61">
        <v>16</v>
      </c>
      <c r="D2" s="63">
        <v>2</v>
      </c>
      <c r="E2" s="50">
        <v>4.0000000000000001E-3</v>
      </c>
      <c r="F2" s="68">
        <v>16</v>
      </c>
      <c r="G2" s="66">
        <v>509000200162</v>
      </c>
      <c r="H2" s="61">
        <v>-14</v>
      </c>
      <c r="I2">
        <v>1</v>
      </c>
    </row>
    <row r="3" spans="1:9" x14ac:dyDescent="0.35">
      <c r="A3" s="57">
        <v>25</v>
      </c>
      <c r="B3" s="57">
        <v>25</v>
      </c>
      <c r="C3" s="62">
        <v>20</v>
      </c>
      <c r="D3" s="64">
        <v>3</v>
      </c>
      <c r="E3" s="51">
        <v>4.0000000000000001E-3</v>
      </c>
      <c r="F3" s="69">
        <v>16</v>
      </c>
      <c r="G3" s="67">
        <v>509000250202</v>
      </c>
      <c r="H3" s="62">
        <v>-16</v>
      </c>
      <c r="I3">
        <v>1</v>
      </c>
    </row>
    <row r="4" spans="1:9" x14ac:dyDescent="0.35">
      <c r="A4" s="56">
        <v>32</v>
      </c>
      <c r="B4" s="56">
        <v>32</v>
      </c>
      <c r="C4" s="61">
        <v>20</v>
      </c>
      <c r="D4" s="63">
        <v>7</v>
      </c>
      <c r="E4" s="50">
        <v>0.01</v>
      </c>
      <c r="F4" s="68">
        <v>16</v>
      </c>
      <c r="G4" s="66">
        <v>509000320202</v>
      </c>
      <c r="H4" s="61">
        <v>-16</v>
      </c>
      <c r="I4">
        <v>1</v>
      </c>
    </row>
    <row r="5" spans="1:9" x14ac:dyDescent="0.35">
      <c r="A5" s="57">
        <v>32</v>
      </c>
      <c r="B5" s="57">
        <v>32</v>
      </c>
      <c r="C5" s="62">
        <v>25</v>
      </c>
      <c r="D5" s="64">
        <v>4</v>
      </c>
      <c r="E5" s="51">
        <v>0.01</v>
      </c>
      <c r="F5" s="69">
        <v>16</v>
      </c>
      <c r="G5" s="67">
        <v>509000320252</v>
      </c>
      <c r="H5" s="62">
        <v>-18.5</v>
      </c>
      <c r="I5">
        <v>1</v>
      </c>
    </row>
    <row r="6" spans="1:9" x14ac:dyDescent="0.35">
      <c r="A6" s="56">
        <v>40</v>
      </c>
      <c r="B6" s="56">
        <v>40</v>
      </c>
      <c r="C6" s="61">
        <v>20</v>
      </c>
      <c r="D6" s="63">
        <v>10</v>
      </c>
      <c r="E6" s="50">
        <v>0.02</v>
      </c>
      <c r="F6" s="68">
        <v>16</v>
      </c>
      <c r="G6" s="66">
        <v>509000400202</v>
      </c>
      <c r="H6" s="61">
        <v>-16</v>
      </c>
      <c r="I6">
        <v>1</v>
      </c>
    </row>
    <row r="7" spans="1:9" x14ac:dyDescent="0.35">
      <c r="A7" s="57">
        <v>40</v>
      </c>
      <c r="B7" s="57">
        <v>40</v>
      </c>
      <c r="C7" s="62">
        <v>25</v>
      </c>
      <c r="D7" s="64">
        <v>7</v>
      </c>
      <c r="E7" s="51">
        <v>0.02</v>
      </c>
      <c r="F7" s="69">
        <v>16</v>
      </c>
      <c r="G7" s="67">
        <v>509000400252</v>
      </c>
      <c r="H7" s="62">
        <v>-18.5</v>
      </c>
      <c r="I7">
        <v>1</v>
      </c>
    </row>
    <row r="8" spans="1:9" x14ac:dyDescent="0.35">
      <c r="A8" s="56">
        <v>40</v>
      </c>
      <c r="B8" s="56">
        <v>40</v>
      </c>
      <c r="C8" s="61">
        <v>32</v>
      </c>
      <c r="D8" s="63">
        <v>4</v>
      </c>
      <c r="E8" s="50">
        <v>0.01</v>
      </c>
      <c r="F8" s="68">
        <v>16</v>
      </c>
      <c r="G8" s="66">
        <v>509000400322</v>
      </c>
      <c r="H8" s="61">
        <v>-22</v>
      </c>
      <c r="I8">
        <v>1</v>
      </c>
    </row>
    <row r="9" spans="1:9" x14ac:dyDescent="0.35">
      <c r="A9" s="57">
        <v>50</v>
      </c>
      <c r="B9" s="57">
        <v>50</v>
      </c>
      <c r="C9" s="62">
        <v>32</v>
      </c>
      <c r="D9" s="64">
        <v>9</v>
      </c>
      <c r="E9" s="51">
        <v>0.03</v>
      </c>
      <c r="F9" s="69">
        <v>16</v>
      </c>
      <c r="G9" s="67">
        <v>509000500322</v>
      </c>
      <c r="H9" s="62">
        <v>-22</v>
      </c>
      <c r="I9">
        <v>1</v>
      </c>
    </row>
    <row r="10" spans="1:9" x14ac:dyDescent="0.35">
      <c r="A10" s="56">
        <v>50</v>
      </c>
      <c r="B10" s="56">
        <v>50</v>
      </c>
      <c r="C10" s="61">
        <v>40</v>
      </c>
      <c r="D10" s="63">
        <v>5</v>
      </c>
      <c r="E10" s="50">
        <v>0.02</v>
      </c>
      <c r="F10" s="68">
        <v>16</v>
      </c>
      <c r="G10" s="66">
        <v>509000500402</v>
      </c>
      <c r="H10" s="61">
        <v>-26</v>
      </c>
      <c r="I10">
        <v>1</v>
      </c>
    </row>
    <row r="11" spans="1:9" x14ac:dyDescent="0.35">
      <c r="A11" s="57">
        <v>63</v>
      </c>
      <c r="B11" s="57">
        <v>63</v>
      </c>
      <c r="C11" s="62">
        <v>32</v>
      </c>
      <c r="D11" s="64">
        <v>16</v>
      </c>
      <c r="E11" s="51">
        <v>7.0000000000000007E-2</v>
      </c>
      <c r="F11" s="69">
        <v>16</v>
      </c>
      <c r="G11" s="67">
        <v>509000630322</v>
      </c>
      <c r="H11" s="62">
        <v>-22</v>
      </c>
      <c r="I11">
        <v>1</v>
      </c>
    </row>
    <row r="12" spans="1:9" x14ac:dyDescent="0.35">
      <c r="A12" s="56">
        <v>63</v>
      </c>
      <c r="B12" s="56">
        <v>63</v>
      </c>
      <c r="C12" s="61">
        <v>40</v>
      </c>
      <c r="D12" s="63">
        <v>11</v>
      </c>
      <c r="E12" s="50">
        <v>7.0000000000000007E-2</v>
      </c>
      <c r="F12" s="68">
        <v>16</v>
      </c>
      <c r="G12" s="66">
        <v>509000630402</v>
      </c>
      <c r="H12" s="61">
        <v>-26</v>
      </c>
      <c r="I12">
        <v>1</v>
      </c>
    </row>
    <row r="13" spans="1:9" x14ac:dyDescent="0.35">
      <c r="A13" s="57">
        <v>63</v>
      </c>
      <c r="B13" s="57">
        <v>63</v>
      </c>
      <c r="C13" s="62">
        <v>50</v>
      </c>
      <c r="D13" s="65">
        <v>6.5</v>
      </c>
      <c r="E13" s="51">
        <v>0.05</v>
      </c>
      <c r="F13" s="69">
        <v>16</v>
      </c>
      <c r="G13" s="67">
        <v>509000630502</v>
      </c>
      <c r="H13" s="62">
        <v>-31</v>
      </c>
      <c r="I13">
        <v>1</v>
      </c>
    </row>
    <row r="14" spans="1:9" x14ac:dyDescent="0.35">
      <c r="A14" s="56">
        <v>75</v>
      </c>
      <c r="B14" s="56">
        <v>75</v>
      </c>
      <c r="C14" s="61">
        <v>40</v>
      </c>
      <c r="D14" s="63">
        <v>17.5</v>
      </c>
      <c r="E14" s="50">
        <v>0.08</v>
      </c>
      <c r="F14" s="68">
        <v>16</v>
      </c>
      <c r="G14" s="66">
        <v>509000750402</v>
      </c>
      <c r="H14" s="61">
        <v>-26</v>
      </c>
      <c r="I14">
        <v>1</v>
      </c>
    </row>
    <row r="15" spans="1:9" x14ac:dyDescent="0.35">
      <c r="A15" s="57">
        <v>75</v>
      </c>
      <c r="B15" s="57">
        <v>75</v>
      </c>
      <c r="C15" s="62">
        <v>50</v>
      </c>
      <c r="D15" s="64">
        <v>13</v>
      </c>
      <c r="E15" s="51">
        <v>0.09</v>
      </c>
      <c r="F15" s="69">
        <v>16</v>
      </c>
      <c r="G15" s="67">
        <v>509000750502</v>
      </c>
      <c r="H15" s="62">
        <v>-31</v>
      </c>
      <c r="I15">
        <v>1</v>
      </c>
    </row>
    <row r="16" spans="1:9" x14ac:dyDescent="0.35">
      <c r="A16" s="56">
        <v>75</v>
      </c>
      <c r="B16" s="56">
        <v>75</v>
      </c>
      <c r="C16" s="61">
        <v>63</v>
      </c>
      <c r="D16" s="63">
        <v>6</v>
      </c>
      <c r="E16" s="50">
        <v>7.0000000000000007E-2</v>
      </c>
      <c r="F16" s="68">
        <v>16</v>
      </c>
      <c r="G16" s="66">
        <v>509000750632</v>
      </c>
      <c r="H16" s="61">
        <v>-38</v>
      </c>
      <c r="I16">
        <v>1</v>
      </c>
    </row>
    <row r="17" spans="1:9" x14ac:dyDescent="0.35">
      <c r="A17" s="57">
        <v>90</v>
      </c>
      <c r="B17" s="57">
        <v>90</v>
      </c>
      <c r="C17" s="62">
        <v>32</v>
      </c>
      <c r="D17" s="64">
        <v>25</v>
      </c>
      <c r="E17" s="51">
        <v>0.13</v>
      </c>
      <c r="F17" s="69">
        <v>16</v>
      </c>
      <c r="G17" s="67">
        <v>509000900322</v>
      </c>
      <c r="H17" s="62">
        <v>-22</v>
      </c>
      <c r="I17">
        <v>1</v>
      </c>
    </row>
    <row r="18" spans="1:9" x14ac:dyDescent="0.35">
      <c r="A18" s="56">
        <v>90</v>
      </c>
      <c r="B18" s="56">
        <v>90</v>
      </c>
      <c r="C18" s="61">
        <v>50</v>
      </c>
      <c r="D18" s="63">
        <v>20</v>
      </c>
      <c r="E18" s="50">
        <v>0.14000000000000001</v>
      </c>
      <c r="F18" s="68">
        <v>16</v>
      </c>
      <c r="G18" s="66">
        <v>509000900502</v>
      </c>
      <c r="H18" s="61">
        <v>-31</v>
      </c>
      <c r="I18">
        <v>1</v>
      </c>
    </row>
    <row r="19" spans="1:9" x14ac:dyDescent="0.35">
      <c r="A19" s="57">
        <v>90</v>
      </c>
      <c r="B19" s="57">
        <v>90</v>
      </c>
      <c r="C19" s="62">
        <v>63</v>
      </c>
      <c r="D19" s="64">
        <v>13</v>
      </c>
      <c r="E19" s="51">
        <v>0.14000000000000001</v>
      </c>
      <c r="F19" s="69">
        <v>16</v>
      </c>
      <c r="G19" s="67">
        <v>509000900632</v>
      </c>
      <c r="H19" s="62">
        <v>-38</v>
      </c>
      <c r="I19">
        <v>1</v>
      </c>
    </row>
    <row r="20" spans="1:9" x14ac:dyDescent="0.35">
      <c r="A20" s="56">
        <v>90</v>
      </c>
      <c r="B20" s="56">
        <v>90</v>
      </c>
      <c r="C20" s="61">
        <v>75</v>
      </c>
      <c r="D20" s="63">
        <v>8</v>
      </c>
      <c r="E20" s="50">
        <v>0.13</v>
      </c>
      <c r="F20" s="68">
        <v>16</v>
      </c>
      <c r="G20" s="66">
        <v>509000900752</v>
      </c>
      <c r="H20" s="61">
        <v>-43.5</v>
      </c>
      <c r="I20">
        <v>1</v>
      </c>
    </row>
    <row r="21" spans="1:9" x14ac:dyDescent="0.35">
      <c r="A21" s="57">
        <v>110</v>
      </c>
      <c r="B21" s="57">
        <v>110</v>
      </c>
      <c r="C21" s="62">
        <v>63</v>
      </c>
      <c r="D21" s="64">
        <v>23</v>
      </c>
      <c r="E21" s="51">
        <v>0.26</v>
      </c>
      <c r="F21" s="69">
        <v>16</v>
      </c>
      <c r="G21" s="67">
        <v>509001100632</v>
      </c>
      <c r="H21" s="62">
        <v>-38</v>
      </c>
      <c r="I21">
        <v>1</v>
      </c>
    </row>
    <row r="22" spans="1:9" x14ac:dyDescent="0.35">
      <c r="A22" s="56">
        <v>110</v>
      </c>
      <c r="B22" s="56">
        <v>110</v>
      </c>
      <c r="C22" s="61">
        <v>75</v>
      </c>
      <c r="D22" s="63">
        <v>17</v>
      </c>
      <c r="E22" s="50">
        <v>0.27</v>
      </c>
      <c r="F22" s="69">
        <v>16</v>
      </c>
      <c r="G22" s="66">
        <v>509001100752</v>
      </c>
      <c r="H22" s="61">
        <v>-44</v>
      </c>
      <c r="I22">
        <v>1</v>
      </c>
    </row>
    <row r="23" spans="1:9" x14ac:dyDescent="0.35">
      <c r="A23" s="70">
        <v>110</v>
      </c>
      <c r="B23" s="70">
        <v>110</v>
      </c>
      <c r="C23" s="72">
        <v>90</v>
      </c>
      <c r="D23" s="78">
        <v>10</v>
      </c>
      <c r="E23" s="72">
        <v>0.26</v>
      </c>
      <c r="F23" s="76">
        <v>16</v>
      </c>
      <c r="G23" s="74">
        <v>509001100902</v>
      </c>
      <c r="H23" s="72">
        <v>-51</v>
      </c>
      <c r="I23">
        <v>1</v>
      </c>
    </row>
    <row r="24" spans="1:9" x14ac:dyDescent="0.35">
      <c r="A24" s="71">
        <v>125</v>
      </c>
      <c r="B24" s="71">
        <v>125</v>
      </c>
      <c r="C24" s="73">
        <v>63</v>
      </c>
      <c r="D24" s="79">
        <v>31</v>
      </c>
      <c r="E24" s="73">
        <v>0.4</v>
      </c>
      <c r="F24" s="77">
        <v>16</v>
      </c>
      <c r="G24" s="75">
        <v>509001250632</v>
      </c>
      <c r="H24" s="73">
        <v>-38</v>
      </c>
      <c r="I24">
        <v>1</v>
      </c>
    </row>
    <row r="25" spans="1:9" x14ac:dyDescent="0.35">
      <c r="A25" s="70">
        <v>125</v>
      </c>
      <c r="B25" s="70">
        <v>125</v>
      </c>
      <c r="C25" s="72">
        <v>75</v>
      </c>
      <c r="D25" s="78">
        <v>25</v>
      </c>
      <c r="E25" s="72">
        <v>0.42</v>
      </c>
      <c r="F25" s="76">
        <v>16</v>
      </c>
      <c r="G25" s="74">
        <v>509001250752</v>
      </c>
      <c r="H25" s="72">
        <v>-43.5</v>
      </c>
      <c r="I25">
        <v>1</v>
      </c>
    </row>
    <row r="26" spans="1:9" x14ac:dyDescent="0.35">
      <c r="A26" s="71">
        <v>125</v>
      </c>
      <c r="B26" s="71">
        <v>125</v>
      </c>
      <c r="C26" s="73">
        <v>90</v>
      </c>
      <c r="D26" s="79">
        <v>18</v>
      </c>
      <c r="E26" s="73">
        <v>0.38</v>
      </c>
      <c r="F26" s="77">
        <v>16</v>
      </c>
      <c r="G26" s="75">
        <v>509001250902</v>
      </c>
      <c r="H26" s="73">
        <v>-51</v>
      </c>
      <c r="I26">
        <v>1</v>
      </c>
    </row>
    <row r="27" spans="1:9" x14ac:dyDescent="0.35">
      <c r="A27" s="70">
        <v>125</v>
      </c>
      <c r="B27" s="70">
        <v>125</v>
      </c>
      <c r="C27" s="72">
        <v>110</v>
      </c>
      <c r="D27" s="80">
        <v>7.5</v>
      </c>
      <c r="E27" s="72">
        <v>0.25</v>
      </c>
      <c r="F27" s="76">
        <v>16</v>
      </c>
      <c r="G27" s="74">
        <v>509001251102</v>
      </c>
      <c r="H27" s="72">
        <v>-61</v>
      </c>
      <c r="I27">
        <v>1</v>
      </c>
    </row>
    <row r="28" spans="1:9" x14ac:dyDescent="0.35">
      <c r="A28" s="71">
        <v>140</v>
      </c>
      <c r="B28" s="71">
        <v>140</v>
      </c>
      <c r="C28" s="73">
        <v>63</v>
      </c>
      <c r="D28" s="79">
        <v>40</v>
      </c>
      <c r="E28" s="73">
        <v>0.52500000000000002</v>
      </c>
      <c r="F28" s="77">
        <v>16</v>
      </c>
      <c r="G28" s="75">
        <v>509001400632</v>
      </c>
      <c r="H28" s="73">
        <v>-38</v>
      </c>
      <c r="I28">
        <v>1</v>
      </c>
    </row>
    <row r="29" spans="1:9" x14ac:dyDescent="0.35">
      <c r="A29" s="70">
        <v>140</v>
      </c>
      <c r="B29" s="70">
        <v>140</v>
      </c>
      <c r="C29" s="72">
        <v>75</v>
      </c>
      <c r="D29" s="78">
        <v>33</v>
      </c>
      <c r="E29" s="72">
        <v>0.5</v>
      </c>
      <c r="F29" s="76">
        <v>16</v>
      </c>
      <c r="G29" s="74">
        <v>509001400752</v>
      </c>
      <c r="H29" s="72">
        <v>-43.5</v>
      </c>
      <c r="I29">
        <v>1</v>
      </c>
    </row>
    <row r="30" spans="1:9" x14ac:dyDescent="0.35">
      <c r="A30" s="71">
        <v>140</v>
      </c>
      <c r="B30" s="71">
        <v>140</v>
      </c>
      <c r="C30" s="73">
        <v>90</v>
      </c>
      <c r="D30" s="79">
        <v>25</v>
      </c>
      <c r="E30" s="73">
        <v>0.49</v>
      </c>
      <c r="F30" s="77">
        <v>16</v>
      </c>
      <c r="G30" s="75">
        <v>509001400902</v>
      </c>
      <c r="H30" s="73">
        <v>-51</v>
      </c>
      <c r="I30">
        <v>1</v>
      </c>
    </row>
    <row r="31" spans="1:9" x14ac:dyDescent="0.35">
      <c r="A31" s="70">
        <v>140</v>
      </c>
      <c r="B31" s="70">
        <v>140</v>
      </c>
      <c r="C31" s="72">
        <v>110</v>
      </c>
      <c r="D31" s="78">
        <v>15</v>
      </c>
      <c r="E31" s="72">
        <v>0.5</v>
      </c>
      <c r="F31" s="76">
        <v>16</v>
      </c>
      <c r="G31" s="74">
        <v>509001401102</v>
      </c>
      <c r="H31" s="72">
        <v>-61</v>
      </c>
      <c r="I31">
        <v>1</v>
      </c>
    </row>
    <row r="32" spans="1:9" x14ac:dyDescent="0.35">
      <c r="A32" s="71">
        <v>140</v>
      </c>
      <c r="B32" s="71">
        <v>140</v>
      </c>
      <c r="C32" s="73">
        <v>125</v>
      </c>
      <c r="D32" s="79">
        <v>7.5</v>
      </c>
      <c r="E32" s="73">
        <v>0.29399999999999998</v>
      </c>
      <c r="F32" s="77">
        <v>16</v>
      </c>
      <c r="G32" s="75">
        <v>509001401252</v>
      </c>
      <c r="H32" s="73">
        <v>-68.5</v>
      </c>
      <c r="I32">
        <v>1</v>
      </c>
    </row>
    <row r="33" spans="1:9" x14ac:dyDescent="0.35">
      <c r="A33" s="70">
        <v>160</v>
      </c>
      <c r="B33" s="70">
        <v>160</v>
      </c>
      <c r="C33" s="72">
        <v>90</v>
      </c>
      <c r="D33" s="78">
        <v>35</v>
      </c>
      <c r="E33" s="72">
        <v>0.7</v>
      </c>
      <c r="F33" s="76">
        <v>16</v>
      </c>
      <c r="G33" s="74">
        <v>509001600902</v>
      </c>
      <c r="H33" s="72">
        <v>-51</v>
      </c>
      <c r="I33">
        <v>1</v>
      </c>
    </row>
    <row r="34" spans="1:9" x14ac:dyDescent="0.35">
      <c r="A34" s="71">
        <v>160</v>
      </c>
      <c r="B34" s="71">
        <v>160</v>
      </c>
      <c r="C34" s="73">
        <v>110</v>
      </c>
      <c r="D34" s="79">
        <v>25</v>
      </c>
      <c r="E34" s="73">
        <v>0.76</v>
      </c>
      <c r="F34" s="77">
        <v>16</v>
      </c>
      <c r="G34" s="75">
        <v>509001601102</v>
      </c>
      <c r="H34" s="73">
        <v>-61</v>
      </c>
      <c r="I34">
        <v>1</v>
      </c>
    </row>
    <row r="35" spans="1:9" x14ac:dyDescent="0.35">
      <c r="A35" s="70">
        <v>160</v>
      </c>
      <c r="B35" s="70">
        <v>160</v>
      </c>
      <c r="C35" s="72">
        <v>140</v>
      </c>
      <c r="D35" s="78">
        <v>10</v>
      </c>
      <c r="E35" s="72">
        <v>0.56000000000000005</v>
      </c>
      <c r="F35" s="76">
        <v>16</v>
      </c>
      <c r="G35" s="74">
        <v>509001601402</v>
      </c>
      <c r="H35" s="72">
        <v>-76</v>
      </c>
      <c r="I35">
        <v>1</v>
      </c>
    </row>
    <row r="36" spans="1:9" x14ac:dyDescent="0.35">
      <c r="A36" s="71">
        <v>200</v>
      </c>
      <c r="B36" s="71">
        <v>200</v>
      </c>
      <c r="C36" s="73">
        <v>160</v>
      </c>
      <c r="D36" s="79">
        <v>20</v>
      </c>
      <c r="E36" s="73">
        <v>1.22</v>
      </c>
      <c r="F36" s="77">
        <v>16</v>
      </c>
      <c r="G36" s="75">
        <v>509002001602</v>
      </c>
      <c r="H36" s="73">
        <v>-86</v>
      </c>
      <c r="I36">
        <v>1</v>
      </c>
    </row>
    <row r="37" spans="1:9" x14ac:dyDescent="0.35">
      <c r="A37" s="70">
        <v>225</v>
      </c>
      <c r="B37" s="70">
        <v>225</v>
      </c>
      <c r="C37" s="72">
        <v>200</v>
      </c>
      <c r="D37" s="78">
        <v>13</v>
      </c>
      <c r="E37" s="72">
        <v>1.34</v>
      </c>
      <c r="F37" s="76">
        <v>16</v>
      </c>
      <c r="G37" s="74">
        <v>509002252002</v>
      </c>
      <c r="H37" s="72">
        <v>-106</v>
      </c>
      <c r="I37">
        <v>1</v>
      </c>
    </row>
    <row r="38" spans="1:9" x14ac:dyDescent="0.35">
      <c r="A38" s="71">
        <v>250</v>
      </c>
      <c r="B38" s="71">
        <v>250</v>
      </c>
      <c r="C38" s="73">
        <v>200</v>
      </c>
      <c r="D38" s="79">
        <v>25.5</v>
      </c>
      <c r="E38" s="73">
        <v>2.98</v>
      </c>
      <c r="F38" s="77">
        <v>16</v>
      </c>
      <c r="G38" s="75">
        <v>509002502002</v>
      </c>
      <c r="H38" s="73">
        <v>-106</v>
      </c>
      <c r="I38">
        <v>1</v>
      </c>
    </row>
    <row r="39" spans="1:9" x14ac:dyDescent="0.35">
      <c r="A39" s="70">
        <v>250</v>
      </c>
      <c r="B39" s="70">
        <v>250</v>
      </c>
      <c r="C39" s="72">
        <v>225</v>
      </c>
      <c r="D39" s="80">
        <v>12.5</v>
      </c>
      <c r="E39" s="72">
        <v>1.64</v>
      </c>
      <c r="F39" s="76">
        <v>16</v>
      </c>
      <c r="G39" s="74">
        <v>509002502252</v>
      </c>
      <c r="H39" s="72">
        <v>-118.5</v>
      </c>
      <c r="I39">
        <v>1</v>
      </c>
    </row>
    <row r="40" spans="1:9" x14ac:dyDescent="0.35">
      <c r="A40" s="71">
        <v>280</v>
      </c>
      <c r="B40" s="71">
        <v>280</v>
      </c>
      <c r="C40" s="73">
        <v>250</v>
      </c>
      <c r="D40" s="79">
        <v>16</v>
      </c>
      <c r="E40" s="73">
        <v>2.4300000000000002</v>
      </c>
      <c r="F40" s="77">
        <v>16</v>
      </c>
      <c r="G40" s="75">
        <v>509002802502</v>
      </c>
      <c r="H40" s="73">
        <v>-131</v>
      </c>
      <c r="I40">
        <v>1</v>
      </c>
    </row>
    <row r="41" spans="1:9" x14ac:dyDescent="0.35">
      <c r="A41" s="70">
        <v>315</v>
      </c>
      <c r="B41" s="70">
        <v>315</v>
      </c>
      <c r="C41" s="72">
        <v>280</v>
      </c>
      <c r="D41" s="78">
        <v>17</v>
      </c>
      <c r="E41" s="72">
        <v>3.54</v>
      </c>
      <c r="F41" s="76">
        <v>16</v>
      </c>
      <c r="G41" s="74">
        <v>509003152802</v>
      </c>
      <c r="H41" s="72">
        <v>-146</v>
      </c>
      <c r="I41">
        <v>1</v>
      </c>
    </row>
    <row r="42" spans="1:9" x14ac:dyDescent="0.35">
      <c r="A42" s="71">
        <v>355</v>
      </c>
      <c r="B42" s="71">
        <v>355</v>
      </c>
      <c r="C42" s="73">
        <v>280</v>
      </c>
      <c r="D42" s="79">
        <v>44</v>
      </c>
      <c r="E42" s="73">
        <v>10.4</v>
      </c>
      <c r="F42" s="77">
        <v>16</v>
      </c>
      <c r="G42" s="75">
        <v>509003552805</v>
      </c>
      <c r="H42" s="73">
        <v>-146</v>
      </c>
      <c r="I42">
        <v>1</v>
      </c>
    </row>
    <row r="43" spans="1:9" x14ac:dyDescent="0.35">
      <c r="A43" s="70">
        <v>355</v>
      </c>
      <c r="B43" s="70">
        <v>355</v>
      </c>
      <c r="C43" s="72">
        <v>315</v>
      </c>
      <c r="D43" s="78">
        <v>27</v>
      </c>
      <c r="E43" s="72">
        <v>6.41</v>
      </c>
      <c r="F43" s="76">
        <v>16</v>
      </c>
      <c r="G43" s="74">
        <v>509003553155</v>
      </c>
      <c r="H43" s="72">
        <v>-163.5</v>
      </c>
      <c r="I43">
        <v>1</v>
      </c>
    </row>
    <row r="44" spans="1:9" x14ac:dyDescent="0.35">
      <c r="A44" s="71">
        <v>400</v>
      </c>
      <c r="B44" s="71">
        <v>400</v>
      </c>
      <c r="C44" s="73">
        <v>280</v>
      </c>
      <c r="D44" s="79">
        <v>67</v>
      </c>
      <c r="E44" s="73">
        <v>18.899999999999999</v>
      </c>
      <c r="F44" s="77">
        <v>16</v>
      </c>
      <c r="G44" s="75">
        <v>509004002805</v>
      </c>
      <c r="H44" s="73">
        <v>-146</v>
      </c>
      <c r="I44">
        <v>1</v>
      </c>
    </row>
    <row r="45" spans="1:9" x14ac:dyDescent="0.35">
      <c r="A45" s="70">
        <v>400</v>
      </c>
      <c r="B45" s="70">
        <v>400</v>
      </c>
      <c r="C45" s="72">
        <v>315</v>
      </c>
      <c r="D45" s="78">
        <v>50</v>
      </c>
      <c r="E45" s="72">
        <v>14.9</v>
      </c>
      <c r="F45" s="76">
        <v>16</v>
      </c>
      <c r="G45" s="74">
        <v>509004003155</v>
      </c>
      <c r="H45" s="72">
        <v>-163.5</v>
      </c>
      <c r="I45">
        <v>1</v>
      </c>
    </row>
    <row r="46" spans="1:9" x14ac:dyDescent="0.35">
      <c r="A46" s="71">
        <v>400</v>
      </c>
      <c r="B46" s="71">
        <v>400</v>
      </c>
      <c r="C46" s="73">
        <v>355</v>
      </c>
      <c r="D46" s="79">
        <v>23</v>
      </c>
      <c r="E46" s="73">
        <v>8.5299999999999994</v>
      </c>
      <c r="F46" s="77">
        <v>16</v>
      </c>
      <c r="G46" s="75">
        <v>509004003555</v>
      </c>
      <c r="H46" s="73">
        <v>-183.5</v>
      </c>
      <c r="I46">
        <v>1</v>
      </c>
    </row>
    <row r="47" spans="1:9" x14ac:dyDescent="0.35">
      <c r="A47" s="81">
        <v>160</v>
      </c>
      <c r="B47" s="81">
        <v>160</v>
      </c>
      <c r="C47" s="83">
        <v>110</v>
      </c>
      <c r="D47" s="83">
        <v>126</v>
      </c>
      <c r="E47" s="73">
        <v>1.27</v>
      </c>
      <c r="F47" s="87">
        <v>16</v>
      </c>
      <c r="G47" s="85">
        <v>510001601102</v>
      </c>
      <c r="H47" s="83">
        <v>96</v>
      </c>
      <c r="I47">
        <v>2</v>
      </c>
    </row>
    <row r="48" spans="1:9" x14ac:dyDescent="0.35">
      <c r="A48" s="82">
        <v>225</v>
      </c>
      <c r="B48" s="82">
        <v>225</v>
      </c>
      <c r="C48" s="84">
        <v>110</v>
      </c>
      <c r="D48" s="84">
        <v>109</v>
      </c>
      <c r="E48" s="72">
        <v>2.64</v>
      </c>
      <c r="F48" s="88">
        <v>16</v>
      </c>
      <c r="G48" s="86">
        <v>510002251102</v>
      </c>
      <c r="H48" s="89">
        <v>130</v>
      </c>
      <c r="I48">
        <v>2</v>
      </c>
    </row>
    <row r="49" spans="1:9" x14ac:dyDescent="0.35">
      <c r="A49" s="81">
        <v>225</v>
      </c>
      <c r="B49" s="81">
        <v>225</v>
      </c>
      <c r="C49" s="83">
        <v>160</v>
      </c>
      <c r="D49" s="83">
        <v>109</v>
      </c>
      <c r="E49" s="73">
        <v>2.66</v>
      </c>
      <c r="F49" s="87">
        <v>16</v>
      </c>
      <c r="G49" s="85">
        <v>510002251602</v>
      </c>
      <c r="H49" s="90">
        <v>130</v>
      </c>
      <c r="I49">
        <v>2</v>
      </c>
    </row>
    <row r="50" spans="1:9" x14ac:dyDescent="0.35">
      <c r="A50" s="12"/>
      <c r="B50" s="12"/>
      <c r="C50" s="12"/>
      <c r="D50" s="12"/>
      <c r="E50" s="11"/>
      <c r="G50" s="12"/>
      <c r="H50" s="11"/>
    </row>
    <row r="51" spans="1:9" x14ac:dyDescent="0.35">
      <c r="A51" s="12"/>
      <c r="B51" s="12"/>
      <c r="C51" s="12"/>
      <c r="D51" s="12"/>
      <c r="E51" s="11"/>
      <c r="G51" s="12"/>
      <c r="H51" s="11"/>
    </row>
    <row r="52" spans="1:9" x14ac:dyDescent="0.35">
      <c r="A52" s="12"/>
      <c r="B52" s="12"/>
      <c r="C52" s="12"/>
      <c r="D52" s="12"/>
      <c r="E52" s="11"/>
      <c r="G52" s="12"/>
      <c r="H52" s="11"/>
    </row>
    <row r="53" spans="1:9" x14ac:dyDescent="0.35">
      <c r="A53" s="11"/>
      <c r="B53" s="11"/>
      <c r="C53" s="11"/>
      <c r="D53" s="11"/>
      <c r="E53" s="11"/>
      <c r="G53" s="12"/>
      <c r="H53" s="11"/>
    </row>
    <row r="54" spans="1:9" x14ac:dyDescent="0.35">
      <c r="A54" s="12"/>
      <c r="B54" s="12"/>
      <c r="C54" s="12"/>
      <c r="D54" s="12"/>
      <c r="E54" s="11"/>
      <c r="G54" s="12"/>
      <c r="H54" s="11"/>
    </row>
    <row r="55" spans="1:9" x14ac:dyDescent="0.35">
      <c r="A55" s="12"/>
      <c r="B55" s="12"/>
      <c r="C55" s="12"/>
      <c r="D55" s="12"/>
      <c r="E55" s="11"/>
      <c r="G55" s="12"/>
      <c r="H55" s="11"/>
    </row>
    <row r="56" spans="1:9" x14ac:dyDescent="0.35">
      <c r="A56" s="12"/>
      <c r="B56" s="12"/>
      <c r="C56" s="11"/>
      <c r="D56" s="12"/>
      <c r="E56" s="11"/>
      <c r="G56" s="12"/>
      <c r="H56" s="11"/>
    </row>
    <row r="57" spans="1:9" x14ac:dyDescent="0.35">
      <c r="A57" s="12"/>
      <c r="B57" s="12"/>
      <c r="C57" s="12"/>
      <c r="D57" s="12"/>
      <c r="E57" s="11"/>
      <c r="G57" s="12"/>
      <c r="H57" s="11"/>
    </row>
    <row r="58" spans="1:9" x14ac:dyDescent="0.35">
      <c r="A58" s="12"/>
      <c r="B58" s="12"/>
      <c r="C58" s="12"/>
      <c r="D58" s="12"/>
      <c r="E58" s="11"/>
      <c r="G58" s="12"/>
      <c r="H58" s="11"/>
    </row>
    <row r="59" spans="1:9" x14ac:dyDescent="0.35">
      <c r="A59" s="12"/>
      <c r="B59" s="12"/>
      <c r="C59" s="11"/>
      <c r="D59" s="11"/>
      <c r="E59" s="11"/>
      <c r="G59" s="12"/>
      <c r="H59" s="11"/>
    </row>
    <row r="60" spans="1:9" x14ac:dyDescent="0.35">
      <c r="A60" s="12"/>
      <c r="B60" s="12"/>
      <c r="C60" s="12"/>
      <c r="D60" s="12"/>
      <c r="E60" s="11"/>
      <c r="G60" s="12"/>
      <c r="H60" s="11"/>
    </row>
    <row r="61" spans="1:9" x14ac:dyDescent="0.35">
      <c r="A61" s="12"/>
      <c r="B61" s="12"/>
      <c r="C61" s="12"/>
      <c r="D61" s="12"/>
      <c r="E61" s="11"/>
      <c r="G61" s="12"/>
      <c r="H61" s="11"/>
    </row>
    <row r="62" spans="1:9" x14ac:dyDescent="0.35">
      <c r="A62" s="11"/>
      <c r="B62" s="11"/>
      <c r="C62" s="11"/>
      <c r="D62" s="11"/>
      <c r="E62" s="11"/>
      <c r="G62" s="12"/>
      <c r="H62" s="11"/>
    </row>
    <row r="63" spans="1:9" x14ac:dyDescent="0.35">
      <c r="A63" s="12"/>
      <c r="B63" s="12"/>
      <c r="C63" s="11"/>
      <c r="D63" s="11"/>
      <c r="E63" s="11"/>
      <c r="G63" s="12"/>
      <c r="H63" s="11"/>
    </row>
    <row r="64" spans="1:9" x14ac:dyDescent="0.35">
      <c r="A64" s="12"/>
      <c r="B64" s="12"/>
      <c r="C64" s="12"/>
      <c r="D64" s="12"/>
      <c r="E64" s="11"/>
      <c r="G64" s="12"/>
      <c r="H64" s="11"/>
    </row>
    <row r="65" spans="1:8" x14ac:dyDescent="0.35">
      <c r="A65" s="12"/>
      <c r="B65" s="12"/>
      <c r="C65" s="12"/>
      <c r="D65" s="12"/>
      <c r="E65" s="11"/>
      <c r="G65" s="12"/>
      <c r="H65" s="11"/>
    </row>
    <row r="66" spans="1:8" x14ac:dyDescent="0.35">
      <c r="A66" s="11"/>
      <c r="B66" s="11"/>
      <c r="C66" s="11"/>
      <c r="D66" s="11"/>
      <c r="E66" s="11"/>
      <c r="G66" s="12"/>
      <c r="H66" s="11"/>
    </row>
    <row r="67" spans="1:8" x14ac:dyDescent="0.35">
      <c r="A67" s="12"/>
      <c r="B67" s="12"/>
      <c r="C67" s="11"/>
      <c r="D67" s="12"/>
      <c r="E67" s="11"/>
      <c r="G67" s="12"/>
      <c r="H67" s="11"/>
    </row>
    <row r="68" spans="1:8" x14ac:dyDescent="0.35">
      <c r="A68" s="12"/>
      <c r="B68" s="12"/>
      <c r="C68" s="12"/>
      <c r="D68" s="12"/>
      <c r="E68" s="11"/>
      <c r="G68" s="12"/>
      <c r="H68" s="11"/>
    </row>
    <row r="69" spans="1:8" x14ac:dyDescent="0.35">
      <c r="A69" s="12"/>
      <c r="B69" s="12"/>
      <c r="C69" s="12"/>
      <c r="D69" s="12"/>
      <c r="E69" s="11"/>
      <c r="G69" s="12"/>
      <c r="H69" s="11"/>
    </row>
    <row r="70" spans="1:8" x14ac:dyDescent="0.35">
      <c r="A70" s="12"/>
      <c r="B70" s="11"/>
      <c r="C70" s="11"/>
      <c r="D70" s="12"/>
      <c r="E70" s="11"/>
      <c r="G70" s="12"/>
      <c r="H70" s="11"/>
    </row>
    <row r="71" spans="1:8" x14ac:dyDescent="0.35">
      <c r="A71" s="12"/>
      <c r="B71" s="12"/>
      <c r="C71" s="12"/>
      <c r="D71" s="12"/>
      <c r="E71" s="11"/>
      <c r="G71" s="12"/>
      <c r="H71" s="11"/>
    </row>
    <row r="72" spans="1:8" x14ac:dyDescent="0.35">
      <c r="A72" s="12"/>
      <c r="B72" s="12"/>
      <c r="C72" s="12"/>
      <c r="D72" s="12"/>
      <c r="E72" s="11"/>
      <c r="G72" s="12"/>
      <c r="H72" s="11"/>
    </row>
    <row r="73" spans="1:8" x14ac:dyDescent="0.35">
      <c r="A73" s="12"/>
      <c r="B73" s="12"/>
      <c r="C73" s="12"/>
      <c r="D73" s="12"/>
      <c r="E73" s="11"/>
      <c r="G73" s="12"/>
      <c r="H73" s="11"/>
    </row>
    <row r="74" spans="1:8" x14ac:dyDescent="0.35">
      <c r="A74" s="12"/>
      <c r="B74" s="12"/>
      <c r="C74" s="11"/>
      <c r="D74" s="12"/>
      <c r="E74" s="11"/>
      <c r="G74" s="12"/>
      <c r="H74" s="11"/>
    </row>
    <row r="75" spans="1:8" x14ac:dyDescent="0.35">
      <c r="A75" s="12"/>
      <c r="B75" s="12"/>
      <c r="C75" s="12"/>
      <c r="D75" s="12"/>
      <c r="E75" s="11"/>
      <c r="G75" s="12"/>
      <c r="H75" s="11"/>
    </row>
    <row r="76" spans="1:8" x14ac:dyDescent="0.35">
      <c r="A76" s="12"/>
      <c r="B76" s="12"/>
      <c r="C76" s="12"/>
      <c r="D76" s="12"/>
      <c r="E76" s="11"/>
      <c r="G76" s="12"/>
      <c r="H76" s="11"/>
    </row>
    <row r="77" spans="1:8" x14ac:dyDescent="0.35">
      <c r="A77" s="12"/>
      <c r="B77" s="12"/>
      <c r="C77" s="12"/>
      <c r="D77" s="12"/>
      <c r="E77" s="11"/>
      <c r="G77" s="12"/>
      <c r="H77" s="11"/>
    </row>
    <row r="78" spans="1:8" x14ac:dyDescent="0.35">
      <c r="A78" s="12"/>
      <c r="B78" s="11"/>
      <c r="C78" s="11"/>
      <c r="D78" s="12"/>
      <c r="E78" s="11"/>
      <c r="G78" s="12"/>
      <c r="H78" s="11"/>
    </row>
    <row r="79" spans="1:8" x14ac:dyDescent="0.35">
      <c r="A79" s="12"/>
      <c r="B79" s="12"/>
      <c r="C79" s="12"/>
      <c r="D79" s="12"/>
      <c r="E79" s="11"/>
      <c r="G79" s="12"/>
      <c r="H79" s="11"/>
    </row>
    <row r="80" spans="1:8" x14ac:dyDescent="0.35">
      <c r="A80" s="12"/>
      <c r="B80" s="12"/>
      <c r="C80" s="12"/>
      <c r="D80" s="12"/>
      <c r="E80" s="11"/>
      <c r="G80" s="12"/>
      <c r="H80" s="11"/>
    </row>
    <row r="81" spans="1:8" x14ac:dyDescent="0.35">
      <c r="A81" s="12"/>
      <c r="B81" s="12"/>
      <c r="C81" s="12"/>
      <c r="D81" s="12"/>
      <c r="E81" s="11"/>
      <c r="G81" s="12"/>
      <c r="H81" s="11"/>
    </row>
    <row r="82" spans="1:8" x14ac:dyDescent="0.35">
      <c r="A82" s="12"/>
      <c r="B82" s="12"/>
      <c r="C82" s="11"/>
      <c r="D82" s="12"/>
      <c r="E82" s="11"/>
      <c r="G82" s="12"/>
      <c r="H82" s="11"/>
    </row>
    <row r="83" spans="1:8" x14ac:dyDescent="0.35">
      <c r="A83" s="12"/>
      <c r="B83" s="12"/>
      <c r="C83" s="12"/>
      <c r="D83" s="12"/>
      <c r="E83" s="11"/>
      <c r="G83" s="11"/>
      <c r="H83" s="11"/>
    </row>
    <row r="84" spans="1:8" x14ac:dyDescent="0.35">
      <c r="A84" s="12"/>
      <c r="B84" s="12"/>
      <c r="C84" s="12"/>
      <c r="D84" s="12"/>
      <c r="E84" s="11"/>
      <c r="G84" s="12"/>
      <c r="H84" s="11"/>
    </row>
    <row r="85" spans="1:8" x14ac:dyDescent="0.35">
      <c r="A85" s="12"/>
      <c r="B85" s="12"/>
      <c r="C85" s="12"/>
      <c r="D85" s="12"/>
      <c r="E85" s="11"/>
      <c r="G85" s="12"/>
      <c r="H85" s="11"/>
    </row>
    <row r="86" spans="1:8" x14ac:dyDescent="0.35">
      <c r="A86" s="12"/>
      <c r="B86" s="12"/>
      <c r="C86" s="11"/>
      <c r="D86" s="12"/>
      <c r="E86" s="11"/>
      <c r="G86" s="12"/>
      <c r="H86" s="11"/>
    </row>
    <row r="87" spans="1:8" x14ac:dyDescent="0.35">
      <c r="A87" s="12"/>
      <c r="B87" s="12"/>
      <c r="C87" s="12"/>
      <c r="D87" s="12"/>
      <c r="E87" s="11"/>
      <c r="G87" s="12"/>
      <c r="H87" s="11"/>
    </row>
    <row r="88" spans="1:8" x14ac:dyDescent="0.35">
      <c r="A88" s="12"/>
      <c r="B88" s="12"/>
      <c r="C88" s="12"/>
      <c r="D88" s="12"/>
      <c r="E88" s="11"/>
      <c r="G88" s="12"/>
      <c r="H88" s="11"/>
    </row>
    <row r="89" spans="1:8" x14ac:dyDescent="0.35">
      <c r="A89" s="12"/>
      <c r="B89" s="12"/>
      <c r="C89" s="12"/>
      <c r="D89" s="12"/>
      <c r="E89" s="11"/>
      <c r="G89" s="12"/>
      <c r="H89" s="11"/>
    </row>
    <row r="90" spans="1:8" x14ac:dyDescent="0.35">
      <c r="A90" s="11"/>
      <c r="B90" s="11"/>
      <c r="C90" s="11"/>
      <c r="D90" s="11"/>
      <c r="E90" s="11"/>
      <c r="G90" s="12"/>
      <c r="H90" s="11"/>
    </row>
    <row r="91" spans="1:8" x14ac:dyDescent="0.35">
      <c r="A91" s="12"/>
      <c r="B91" s="12"/>
      <c r="C91" s="12"/>
      <c r="D91" s="12"/>
      <c r="E91" s="11"/>
      <c r="G91" s="12"/>
      <c r="H91" s="11"/>
    </row>
    <row r="92" spans="1:8" x14ac:dyDescent="0.35">
      <c r="A92" s="12"/>
      <c r="B92" s="12"/>
      <c r="C92" s="12"/>
      <c r="D92" s="12"/>
      <c r="E92" s="11"/>
      <c r="G92" s="12"/>
      <c r="H92" s="11"/>
    </row>
    <row r="93" spans="1:8" x14ac:dyDescent="0.35">
      <c r="A93" s="12"/>
      <c r="B93" s="12"/>
      <c r="C93" s="11"/>
      <c r="D93" s="12"/>
      <c r="E93" s="11"/>
      <c r="G93" s="12"/>
      <c r="H93" s="11"/>
    </row>
    <row r="94" spans="1:8" x14ac:dyDescent="0.35">
      <c r="A94" s="12"/>
      <c r="B94" s="12"/>
      <c r="C94" s="12"/>
      <c r="D94" s="12"/>
      <c r="E94" s="11"/>
      <c r="G94" s="12"/>
      <c r="H94" s="11"/>
    </row>
    <row r="95" spans="1:8" x14ac:dyDescent="0.35">
      <c r="A95" s="12"/>
      <c r="B95" s="12"/>
      <c r="C95" s="12"/>
      <c r="D95" s="12"/>
      <c r="E95" s="11"/>
      <c r="G95" s="12"/>
      <c r="H95" s="11"/>
    </row>
    <row r="96" spans="1:8" x14ac:dyDescent="0.35">
      <c r="A96" s="12"/>
      <c r="B96" s="12"/>
      <c r="C96" s="11"/>
      <c r="D96" s="12"/>
      <c r="E96" s="11"/>
      <c r="G96" s="12"/>
      <c r="H96" s="11"/>
    </row>
    <row r="97" spans="1:8" x14ac:dyDescent="0.35">
      <c r="A97" s="12"/>
      <c r="B97" s="12"/>
      <c r="C97" s="11"/>
      <c r="D97" s="12"/>
      <c r="E97" s="11"/>
      <c r="G97" s="12"/>
      <c r="H97" s="11"/>
    </row>
    <row r="98" spans="1:8" x14ac:dyDescent="0.35">
      <c r="A98" s="12"/>
      <c r="B98" s="12"/>
      <c r="C98" s="12"/>
      <c r="D98" s="12"/>
      <c r="E98" s="11"/>
      <c r="G98" s="11"/>
      <c r="H98" s="11"/>
    </row>
    <row r="99" spans="1:8" x14ac:dyDescent="0.35">
      <c r="A99" s="12"/>
      <c r="B99" s="12"/>
      <c r="C99" s="11"/>
      <c r="D99" s="12"/>
      <c r="E99" s="11"/>
      <c r="G99" s="12"/>
      <c r="H99" s="11"/>
    </row>
    <row r="100" spans="1:8" x14ac:dyDescent="0.35">
      <c r="A100" s="12"/>
      <c r="B100" s="12"/>
      <c r="C100" s="11"/>
      <c r="D100" s="12"/>
      <c r="E100" s="11"/>
      <c r="G100" s="12"/>
      <c r="H100" s="11"/>
    </row>
    <row r="101" spans="1:8" x14ac:dyDescent="0.35">
      <c r="A101" s="12"/>
      <c r="B101" s="12"/>
      <c r="C101" s="12"/>
      <c r="D101" s="12"/>
      <c r="E101" s="11"/>
      <c r="G101" s="12"/>
      <c r="H101" s="11"/>
    </row>
    <row r="102" spans="1:8" x14ac:dyDescent="0.35">
      <c r="A102" s="12"/>
      <c r="B102" s="12"/>
      <c r="C102" s="12"/>
      <c r="D102" s="12"/>
      <c r="E102" s="11"/>
      <c r="G102" s="12"/>
      <c r="H102" s="11"/>
    </row>
    <row r="103" spans="1:8" x14ac:dyDescent="0.35">
      <c r="A103" s="12"/>
      <c r="B103" s="12"/>
      <c r="C103" s="12"/>
      <c r="D103" s="11"/>
      <c r="E103" s="11"/>
      <c r="G103" s="12"/>
      <c r="H103" s="11"/>
    </row>
    <row r="104" spans="1:8" x14ac:dyDescent="0.35">
      <c r="A104" s="12"/>
      <c r="B104" s="12"/>
      <c r="C104" s="12"/>
      <c r="D104" s="12"/>
      <c r="E104" s="11"/>
      <c r="G104" s="12"/>
      <c r="H104" s="11"/>
    </row>
    <row r="105" spans="1:8" x14ac:dyDescent="0.35">
      <c r="A105" s="12"/>
      <c r="B105" s="12"/>
      <c r="C105" s="12"/>
      <c r="D105" s="12"/>
      <c r="E105" s="11"/>
      <c r="G105" s="12"/>
      <c r="H105" s="11"/>
    </row>
    <row r="106" spans="1:8" x14ac:dyDescent="0.35">
      <c r="A106" s="12"/>
      <c r="B106" s="12"/>
      <c r="C106" s="12"/>
      <c r="D106" s="12"/>
      <c r="E106" s="11"/>
      <c r="G106" s="12"/>
      <c r="H106" s="11"/>
    </row>
    <row r="107" spans="1:8" x14ac:dyDescent="0.35">
      <c r="A107" s="12"/>
      <c r="B107" s="11"/>
      <c r="C107" s="11"/>
      <c r="D107" s="11"/>
      <c r="E107" s="11"/>
      <c r="G107" s="12"/>
      <c r="H107" s="11"/>
    </row>
    <row r="108" spans="1:8" x14ac:dyDescent="0.35">
      <c r="A108" s="12"/>
      <c r="B108" s="12"/>
      <c r="C108" s="12"/>
      <c r="D108" s="12"/>
      <c r="E108" s="11"/>
      <c r="G108" s="12"/>
      <c r="H108" s="11"/>
    </row>
    <row r="109" spans="1:8" x14ac:dyDescent="0.35">
      <c r="A109" s="12"/>
      <c r="B109" s="12"/>
      <c r="C109" s="11"/>
      <c r="D109" s="12"/>
      <c r="E109" s="11"/>
      <c r="G109" s="12"/>
      <c r="H109" s="11"/>
    </row>
    <row r="110" spans="1:8" x14ac:dyDescent="0.35">
      <c r="A110" s="12"/>
      <c r="B110" s="12"/>
      <c r="C110" s="12"/>
      <c r="D110" s="12"/>
      <c r="E110" s="11"/>
      <c r="G110" s="12"/>
      <c r="H110" s="11"/>
    </row>
    <row r="111" spans="1:8" x14ac:dyDescent="0.35">
      <c r="A111" s="12"/>
      <c r="B111" s="12"/>
      <c r="C111" s="12"/>
      <c r="D111" s="11"/>
      <c r="E111" s="11"/>
      <c r="G111" s="12"/>
      <c r="H111" s="11"/>
    </row>
    <row r="112" spans="1:8" x14ac:dyDescent="0.35">
      <c r="A112" s="12"/>
      <c r="B112" s="12"/>
      <c r="C112" s="11"/>
      <c r="D112" s="12"/>
      <c r="E112" s="11"/>
      <c r="G112" s="12"/>
      <c r="H112" s="11"/>
    </row>
    <row r="113" spans="1:8" x14ac:dyDescent="0.35">
      <c r="A113" s="12"/>
      <c r="B113" s="12"/>
      <c r="C113" s="11"/>
      <c r="D113" s="12"/>
      <c r="E113" s="11"/>
      <c r="G113" s="11"/>
      <c r="H113" s="11"/>
    </row>
    <row r="114" spans="1:8" x14ac:dyDescent="0.35">
      <c r="A114" s="12"/>
      <c r="B114" s="12"/>
      <c r="C114" s="12"/>
      <c r="D114" s="12"/>
      <c r="E114" s="11"/>
      <c r="G114" s="12"/>
      <c r="H114" s="11"/>
    </row>
    <row r="115" spans="1:8" x14ac:dyDescent="0.35">
      <c r="A115" s="11"/>
      <c r="B115" s="11"/>
      <c r="C115" s="11"/>
      <c r="D115" s="11"/>
      <c r="E115" s="11"/>
      <c r="G115" s="12"/>
      <c r="H115" s="11"/>
    </row>
    <row r="116" spans="1:8" x14ac:dyDescent="0.35">
      <c r="A116" s="12"/>
      <c r="B116" s="12"/>
      <c r="C116" s="11"/>
      <c r="D116" s="12"/>
      <c r="E116" s="11"/>
      <c r="G116" s="12"/>
      <c r="H116" s="11"/>
    </row>
    <row r="117" spans="1:8" x14ac:dyDescent="0.35">
      <c r="A117" s="12"/>
      <c r="B117" s="12"/>
      <c r="C117" s="12"/>
      <c r="D117" s="12"/>
      <c r="E117" s="11"/>
      <c r="G117" s="12"/>
      <c r="H117" s="11"/>
    </row>
    <row r="118" spans="1:8" x14ac:dyDescent="0.35">
      <c r="A118" s="12"/>
      <c r="B118" s="12"/>
      <c r="C118" s="12"/>
      <c r="D118" s="12"/>
      <c r="E118" s="11"/>
      <c r="G118" s="12"/>
      <c r="H118" s="11"/>
    </row>
    <row r="119" spans="1:8" x14ac:dyDescent="0.35">
      <c r="A119" s="12"/>
      <c r="B119" s="12"/>
      <c r="C119" s="11"/>
      <c r="D119" s="12"/>
      <c r="E119" s="11"/>
      <c r="G119" s="12"/>
      <c r="H119" s="11"/>
    </row>
    <row r="120" spans="1:8" x14ac:dyDescent="0.35">
      <c r="A120" s="12"/>
      <c r="B120" s="12"/>
      <c r="C120" s="11"/>
      <c r="D120" s="12"/>
      <c r="E120" s="11"/>
      <c r="G120" s="12"/>
      <c r="H120" s="11"/>
    </row>
    <row r="121" spans="1:8" x14ac:dyDescent="0.35">
      <c r="A121" s="12"/>
      <c r="B121" s="12"/>
      <c r="C121" s="12"/>
      <c r="D121" s="12"/>
      <c r="E121" s="11"/>
      <c r="G121" s="12"/>
      <c r="H121" s="11"/>
    </row>
    <row r="122" spans="1:8" x14ac:dyDescent="0.35">
      <c r="A122" s="12"/>
      <c r="B122" s="12"/>
      <c r="C122" s="12"/>
      <c r="D122" s="12"/>
      <c r="E122" s="11"/>
      <c r="G122" s="12"/>
      <c r="H122" s="11"/>
    </row>
    <row r="123" spans="1:8" x14ac:dyDescent="0.35">
      <c r="A123" s="12"/>
      <c r="B123" s="12"/>
      <c r="C123" s="11"/>
      <c r="D123" s="11"/>
      <c r="E123" s="11"/>
      <c r="G123" s="12"/>
      <c r="H123" s="11"/>
    </row>
    <row r="124" spans="1:8" x14ac:dyDescent="0.35">
      <c r="A124" s="12"/>
      <c r="B124" s="12"/>
      <c r="C124" s="12"/>
      <c r="D124" s="12"/>
      <c r="E124" s="11"/>
      <c r="G124" s="12"/>
      <c r="H124" s="11"/>
    </row>
    <row r="125" spans="1:8" x14ac:dyDescent="0.35">
      <c r="A125" s="12"/>
      <c r="B125" s="12"/>
      <c r="C125" s="12"/>
      <c r="D125" s="12"/>
      <c r="E125" s="11"/>
      <c r="G125" s="12"/>
      <c r="H125" s="11"/>
    </row>
    <row r="126" spans="1:8" x14ac:dyDescent="0.35">
      <c r="A126" s="12"/>
      <c r="B126" s="12"/>
      <c r="C126" s="12"/>
      <c r="D126" s="12"/>
      <c r="E126" s="11"/>
      <c r="G126" s="12"/>
      <c r="H126" s="11"/>
    </row>
    <row r="127" spans="1:8" x14ac:dyDescent="0.35">
      <c r="A127" s="12"/>
      <c r="B127" s="12"/>
      <c r="C127" s="11"/>
      <c r="D127" s="12"/>
      <c r="E127" s="11"/>
      <c r="G127" s="12"/>
      <c r="H127" s="11"/>
    </row>
    <row r="128" spans="1:8" x14ac:dyDescent="0.35">
      <c r="A128" s="12"/>
      <c r="B128" s="12"/>
      <c r="C128" s="12"/>
      <c r="D128" s="12"/>
      <c r="E128" s="11"/>
      <c r="G128" s="11"/>
      <c r="H128" s="11"/>
    </row>
    <row r="129" spans="1:8" x14ac:dyDescent="0.35">
      <c r="A129" s="12"/>
      <c r="B129" s="12"/>
      <c r="C129" s="12"/>
      <c r="D129" s="12"/>
      <c r="E129" s="11"/>
      <c r="G129" s="12"/>
      <c r="H129" s="11"/>
    </row>
    <row r="130" spans="1:8" x14ac:dyDescent="0.35">
      <c r="A130" s="12"/>
      <c r="B130" s="12"/>
      <c r="C130" s="12"/>
      <c r="D130" s="12"/>
      <c r="E130" s="11"/>
      <c r="G130" s="12"/>
      <c r="H130" s="11"/>
    </row>
    <row r="131" spans="1:8" x14ac:dyDescent="0.35">
      <c r="A131" s="12"/>
      <c r="B131" s="12"/>
      <c r="C131" s="11"/>
      <c r="D131" s="12"/>
      <c r="E131" s="11"/>
      <c r="G131" s="12"/>
      <c r="H131" s="11"/>
    </row>
    <row r="132" spans="1:8" x14ac:dyDescent="0.35">
      <c r="A132" s="12"/>
      <c r="B132" s="12"/>
      <c r="C132" s="12"/>
      <c r="D132" s="12"/>
      <c r="E132" s="11"/>
      <c r="G132" s="12"/>
      <c r="H132" s="11"/>
    </row>
    <row r="133" spans="1:8" x14ac:dyDescent="0.35">
      <c r="A133" s="12"/>
      <c r="B133" s="12"/>
      <c r="C133" s="12"/>
      <c r="D133" s="12"/>
      <c r="E133" s="11"/>
      <c r="G133" s="12"/>
      <c r="H133" s="11"/>
    </row>
    <row r="134" spans="1:8" x14ac:dyDescent="0.35">
      <c r="A134" s="12"/>
      <c r="B134" s="12"/>
      <c r="C134" s="12"/>
      <c r="D134" s="12"/>
      <c r="E134" s="11"/>
      <c r="G134" s="12"/>
      <c r="H134" s="11"/>
    </row>
    <row r="135" spans="1:8" x14ac:dyDescent="0.35">
      <c r="A135" s="12"/>
      <c r="B135" s="12"/>
      <c r="C135" s="12"/>
      <c r="D135" s="11"/>
      <c r="E135" s="11"/>
      <c r="G135" s="12"/>
      <c r="H135" s="11"/>
    </row>
    <row r="136" spans="1:8" x14ac:dyDescent="0.35">
      <c r="A136" s="12"/>
      <c r="B136" s="12"/>
      <c r="C136" s="12"/>
      <c r="D136" s="12"/>
      <c r="E136" s="11"/>
      <c r="G136" s="12"/>
      <c r="H136" s="11"/>
    </row>
    <row r="137" spans="1:8" x14ac:dyDescent="0.35">
      <c r="A137" s="12"/>
      <c r="B137" s="12"/>
      <c r="C137" s="12"/>
      <c r="D137" s="12"/>
      <c r="E137" s="11"/>
      <c r="G137" s="12"/>
      <c r="H137" s="11"/>
    </row>
    <row r="138" spans="1:8" x14ac:dyDescent="0.35">
      <c r="A138" s="12"/>
      <c r="B138" s="12"/>
      <c r="C138" s="12"/>
      <c r="D138" s="12"/>
      <c r="E138" s="11"/>
      <c r="G138" s="12"/>
      <c r="H138" s="11"/>
    </row>
    <row r="139" spans="1:8" x14ac:dyDescent="0.35">
      <c r="A139" s="12"/>
      <c r="B139" s="12"/>
      <c r="C139" s="11"/>
      <c r="D139" s="12"/>
      <c r="E139" s="11"/>
      <c r="G139" s="12"/>
      <c r="H139" s="11"/>
    </row>
    <row r="140" spans="1:8" x14ac:dyDescent="0.35">
      <c r="A140" s="12"/>
      <c r="B140" s="12"/>
      <c r="C140" s="12"/>
      <c r="D140" s="12"/>
      <c r="E140" s="11"/>
      <c r="G140" s="12"/>
      <c r="H140" s="11"/>
    </row>
    <row r="141" spans="1:8" x14ac:dyDescent="0.35">
      <c r="A141" s="12"/>
      <c r="B141" s="12"/>
      <c r="C141" s="12"/>
      <c r="D141" s="12"/>
      <c r="E141" s="11"/>
      <c r="G141" s="12"/>
      <c r="H141" s="11"/>
    </row>
    <row r="142" spans="1:8" x14ac:dyDescent="0.35">
      <c r="A142" s="12"/>
      <c r="B142" s="12"/>
      <c r="C142" s="12"/>
      <c r="D142" s="12"/>
      <c r="E142" s="11"/>
      <c r="G142" s="12"/>
      <c r="H142" s="11"/>
    </row>
    <row r="143" spans="1:8" x14ac:dyDescent="0.35">
      <c r="A143" s="12"/>
      <c r="B143" s="12"/>
      <c r="C143" s="12"/>
      <c r="D143" s="11"/>
      <c r="E143" s="11"/>
      <c r="G143" s="11"/>
      <c r="H143" s="11"/>
    </row>
    <row r="144" spans="1:8" x14ac:dyDescent="0.35">
      <c r="A144" s="12"/>
      <c r="B144" s="12"/>
      <c r="C144" s="12"/>
      <c r="D144" s="12"/>
      <c r="E144" s="11"/>
      <c r="G144" s="12"/>
      <c r="H144" s="11"/>
    </row>
    <row r="145" spans="1:8" x14ac:dyDescent="0.35">
      <c r="A145" s="12"/>
      <c r="B145" s="12"/>
      <c r="C145" s="11"/>
      <c r="D145" s="12"/>
      <c r="E145" s="11"/>
      <c r="G145" s="12"/>
      <c r="H145" s="11"/>
    </row>
    <row r="146" spans="1:8" x14ac:dyDescent="0.35">
      <c r="A146" s="12"/>
      <c r="B146" s="12"/>
      <c r="C146" s="12"/>
      <c r="D146" s="12"/>
      <c r="E146" s="11"/>
      <c r="G146" s="12"/>
      <c r="H146" s="11"/>
    </row>
    <row r="147" spans="1:8" x14ac:dyDescent="0.35">
      <c r="A147" s="12"/>
      <c r="B147" s="11"/>
      <c r="C147" s="11"/>
      <c r="D147" s="11"/>
      <c r="E147" s="11"/>
      <c r="G147" s="12"/>
      <c r="H147" s="11"/>
    </row>
    <row r="148" spans="1:8" x14ac:dyDescent="0.35">
      <c r="A148" s="12"/>
      <c r="B148" s="12"/>
      <c r="C148" s="12"/>
      <c r="D148" s="12"/>
      <c r="E148" s="11"/>
      <c r="G148" s="12"/>
      <c r="H148" s="11"/>
    </row>
    <row r="149" spans="1:8" x14ac:dyDescent="0.35">
      <c r="A149" s="12"/>
      <c r="B149" s="12"/>
      <c r="C149" s="12"/>
      <c r="D149" s="12"/>
      <c r="E149" s="11"/>
      <c r="G149" s="12"/>
      <c r="H149" s="11"/>
    </row>
    <row r="150" spans="1:8" x14ac:dyDescent="0.35">
      <c r="A150" s="12"/>
      <c r="B150" s="12"/>
      <c r="C150" s="12"/>
      <c r="D150" s="12"/>
      <c r="E150" s="11"/>
      <c r="G150" s="12"/>
      <c r="H150" s="11"/>
    </row>
    <row r="151" spans="1:8" x14ac:dyDescent="0.35">
      <c r="A151" s="12"/>
      <c r="B151" s="12"/>
      <c r="C151" s="11"/>
      <c r="D151" s="12"/>
      <c r="E151" s="11"/>
      <c r="G151" s="12"/>
      <c r="H151" s="11"/>
    </row>
    <row r="152" spans="1:8" x14ac:dyDescent="0.35">
      <c r="A152" s="12"/>
      <c r="B152" s="12"/>
      <c r="C152" s="12"/>
      <c r="D152" s="12"/>
      <c r="E152" s="11"/>
      <c r="G152" s="12"/>
      <c r="H152" s="11"/>
    </row>
    <row r="153" spans="1:8" x14ac:dyDescent="0.35">
      <c r="A153" s="12"/>
      <c r="B153" s="12"/>
      <c r="C153" s="12"/>
      <c r="D153" s="12"/>
      <c r="E153" s="11"/>
      <c r="G153" s="12"/>
      <c r="H153" s="11"/>
    </row>
    <row r="154" spans="1:8" x14ac:dyDescent="0.35">
      <c r="A154" s="12"/>
      <c r="B154" s="12"/>
      <c r="C154" s="12"/>
      <c r="D154" s="12"/>
      <c r="E154" s="11"/>
      <c r="G154" s="12"/>
      <c r="H154" s="11"/>
    </row>
    <row r="155" spans="1:8" x14ac:dyDescent="0.35">
      <c r="A155" s="12"/>
      <c r="B155" s="12"/>
      <c r="C155" s="11"/>
      <c r="D155" s="11"/>
      <c r="E155" s="11"/>
      <c r="G155" s="12"/>
      <c r="H155" s="11"/>
    </row>
    <row r="156" spans="1:8" x14ac:dyDescent="0.35">
      <c r="A156" s="12"/>
      <c r="B156" s="12"/>
      <c r="C156" s="11"/>
      <c r="D156" s="12"/>
      <c r="E156" s="11"/>
      <c r="G156" s="12"/>
      <c r="H156" s="11"/>
    </row>
    <row r="157" spans="1:8" x14ac:dyDescent="0.35">
      <c r="A157" s="12"/>
      <c r="B157" s="12"/>
      <c r="C157" s="12"/>
      <c r="D157" s="12"/>
      <c r="E157" s="11"/>
      <c r="G157" s="12"/>
      <c r="H157" s="11"/>
    </row>
    <row r="158" spans="1:8" x14ac:dyDescent="0.35">
      <c r="A158" s="12"/>
      <c r="B158" s="12"/>
      <c r="C158" s="12"/>
      <c r="D158" s="12"/>
      <c r="E158" s="11"/>
      <c r="G158" s="12"/>
      <c r="H158" s="11"/>
    </row>
    <row r="159" spans="1:8" x14ac:dyDescent="0.35">
      <c r="A159" s="12"/>
      <c r="B159" s="12"/>
      <c r="C159" s="11"/>
      <c r="D159" s="12"/>
      <c r="E159" s="11"/>
      <c r="G159" s="12"/>
      <c r="H159" s="11"/>
    </row>
    <row r="160" spans="1:8" x14ac:dyDescent="0.35">
      <c r="A160" s="12"/>
      <c r="B160" s="12"/>
      <c r="C160" s="12"/>
      <c r="D160" s="12"/>
      <c r="E160" s="11"/>
      <c r="G160" s="12"/>
      <c r="H160" s="11"/>
    </row>
    <row r="161" spans="1:8" x14ac:dyDescent="0.35">
      <c r="A161" s="12"/>
      <c r="B161" s="12"/>
      <c r="C161" s="12"/>
      <c r="D161" s="12"/>
      <c r="E161" s="11"/>
      <c r="G161" s="12"/>
      <c r="H161" s="11"/>
    </row>
    <row r="162" spans="1:8" x14ac:dyDescent="0.35">
      <c r="A162" s="12"/>
      <c r="B162" s="12"/>
      <c r="C162" s="12"/>
      <c r="D162" s="12"/>
      <c r="E162" s="11"/>
      <c r="G162" s="12"/>
      <c r="H162" s="11"/>
    </row>
    <row r="163" spans="1:8" x14ac:dyDescent="0.35">
      <c r="A163" s="12"/>
      <c r="B163" s="12"/>
      <c r="C163" s="11"/>
      <c r="D163" s="12"/>
      <c r="E163" s="11"/>
      <c r="G163" s="12"/>
      <c r="H163" s="11"/>
    </row>
    <row r="164" spans="1:8" x14ac:dyDescent="0.35">
      <c r="A164" s="12"/>
      <c r="B164" s="12"/>
      <c r="C164" s="12"/>
      <c r="D164" s="12"/>
      <c r="E164" s="11"/>
      <c r="G164" s="12"/>
      <c r="H164" s="11"/>
    </row>
    <row r="165" spans="1:8" x14ac:dyDescent="0.35">
      <c r="A165" s="12"/>
      <c r="B165" s="12"/>
      <c r="C165" s="12"/>
      <c r="D165" s="12"/>
      <c r="E165" s="11"/>
      <c r="G165" s="12"/>
      <c r="H165" s="11"/>
    </row>
    <row r="166" spans="1:8" x14ac:dyDescent="0.35">
      <c r="A166" s="12"/>
      <c r="B166" s="12"/>
      <c r="C166" s="12"/>
      <c r="D166" s="12"/>
      <c r="E166" s="11"/>
      <c r="G166" s="12"/>
      <c r="H166" s="11"/>
    </row>
    <row r="167" spans="1:8" x14ac:dyDescent="0.35">
      <c r="A167" s="12"/>
      <c r="B167" s="12"/>
      <c r="C167" s="11"/>
      <c r="D167" s="12"/>
      <c r="E167" s="11"/>
      <c r="G167" s="12"/>
      <c r="H167" s="11"/>
    </row>
    <row r="168" spans="1:8" x14ac:dyDescent="0.35">
      <c r="A168" s="12"/>
      <c r="B168" s="12"/>
      <c r="C168" s="12"/>
      <c r="D168" s="12"/>
      <c r="E168" s="11"/>
      <c r="G168" s="12"/>
      <c r="H168" s="11"/>
    </row>
    <row r="169" spans="1:8" x14ac:dyDescent="0.35">
      <c r="A169" s="12"/>
      <c r="B169" s="12"/>
      <c r="C169" s="12"/>
      <c r="D169" s="12"/>
      <c r="E169" s="11"/>
      <c r="G169" s="12"/>
      <c r="H169" s="11"/>
    </row>
    <row r="170" spans="1:8" x14ac:dyDescent="0.35">
      <c r="A170" s="12"/>
      <c r="B170" s="12"/>
      <c r="C170" s="12"/>
      <c r="D170" s="12"/>
      <c r="E170" s="11"/>
      <c r="G170" s="11"/>
      <c r="H170" s="11"/>
    </row>
    <row r="171" spans="1:8" x14ac:dyDescent="0.35">
      <c r="A171" s="11"/>
      <c r="B171" s="11"/>
      <c r="C171" s="11"/>
      <c r="D171" s="11"/>
      <c r="E171" s="11"/>
      <c r="G171" s="12"/>
      <c r="H171" s="11"/>
    </row>
    <row r="172" spans="1:8" x14ac:dyDescent="0.35">
      <c r="A172" s="12"/>
      <c r="B172" s="12"/>
      <c r="C172" s="12"/>
      <c r="D172" s="12"/>
      <c r="E172" s="11"/>
      <c r="G172" s="12"/>
      <c r="H172" s="11"/>
    </row>
    <row r="173" spans="1:8" x14ac:dyDescent="0.35">
      <c r="A173" s="12"/>
      <c r="B173" s="12"/>
      <c r="C173" s="12"/>
      <c r="D173" s="12"/>
      <c r="E173" s="11"/>
      <c r="G173" s="12"/>
      <c r="H173" s="11"/>
    </row>
    <row r="174" spans="1:8" x14ac:dyDescent="0.35">
      <c r="A174" s="12"/>
      <c r="B174" s="12"/>
      <c r="C174" s="12"/>
      <c r="D174" s="12"/>
      <c r="E174" s="11"/>
      <c r="G174" s="12"/>
      <c r="H174" s="11"/>
    </row>
    <row r="175" spans="1:8" x14ac:dyDescent="0.35">
      <c r="A175" s="11"/>
      <c r="B175" s="12"/>
      <c r="C175" s="12"/>
      <c r="D175" s="12"/>
      <c r="E175" s="11"/>
      <c r="G175" s="12"/>
      <c r="H175" s="11"/>
    </row>
    <row r="176" spans="1:8" x14ac:dyDescent="0.35">
      <c r="A176" s="12"/>
      <c r="B176" s="12"/>
      <c r="C176" s="11"/>
      <c r="D176" s="12"/>
      <c r="E176" s="11"/>
      <c r="G176" s="12"/>
      <c r="H176" s="11"/>
    </row>
    <row r="177" spans="1:8" x14ac:dyDescent="0.35">
      <c r="A177" s="12"/>
      <c r="B177" s="12"/>
      <c r="C177" s="12"/>
      <c r="D177" s="12"/>
      <c r="E177" s="11"/>
      <c r="G177" s="12"/>
      <c r="H177" s="11"/>
    </row>
    <row r="178" spans="1:8" x14ac:dyDescent="0.35">
      <c r="A178" s="12"/>
      <c r="B178" s="12"/>
      <c r="C178" s="12"/>
      <c r="D178" s="12"/>
      <c r="E178" s="11"/>
      <c r="G178" s="12"/>
      <c r="H178" s="11"/>
    </row>
    <row r="179" spans="1:8" x14ac:dyDescent="0.35">
      <c r="A179" s="12"/>
      <c r="B179" s="12"/>
      <c r="C179" s="12"/>
      <c r="D179" s="12"/>
      <c r="E179" s="11"/>
      <c r="G179" s="12"/>
      <c r="H179" s="11"/>
    </row>
    <row r="180" spans="1:8" x14ac:dyDescent="0.35">
      <c r="A180" s="12"/>
      <c r="B180" s="12"/>
      <c r="C180" s="12"/>
      <c r="D180" s="12"/>
      <c r="E180" s="11"/>
      <c r="G180" s="12"/>
      <c r="H180" s="11"/>
    </row>
    <row r="181" spans="1:8" x14ac:dyDescent="0.35">
      <c r="A181" s="12"/>
      <c r="B181" s="12"/>
      <c r="C181" s="11"/>
      <c r="D181" s="12"/>
      <c r="E181" s="11"/>
      <c r="G181" s="12"/>
      <c r="H181" s="11"/>
    </row>
    <row r="182" spans="1:8" x14ac:dyDescent="0.35">
      <c r="A182" s="12"/>
      <c r="B182" s="12"/>
      <c r="C182" s="12"/>
      <c r="D182" s="12"/>
      <c r="E182" s="11"/>
    </row>
    <row r="183" spans="1:8" x14ac:dyDescent="0.35">
      <c r="A183" s="12"/>
      <c r="B183" s="12"/>
      <c r="C183" s="12"/>
      <c r="D183" s="12"/>
      <c r="E183" s="11"/>
    </row>
    <row r="184" spans="1:8" x14ac:dyDescent="0.35">
      <c r="A184" s="12"/>
      <c r="B184" s="12"/>
      <c r="C184" s="12"/>
      <c r="D184" s="12"/>
      <c r="E184" s="11"/>
    </row>
    <row r="185" spans="1:8" x14ac:dyDescent="0.35">
      <c r="A185" s="12"/>
      <c r="B185" s="12"/>
      <c r="C185" s="12"/>
      <c r="D185" s="12"/>
      <c r="E185" s="11"/>
    </row>
    <row r="186" spans="1:8" x14ac:dyDescent="0.35">
      <c r="A186" s="12"/>
      <c r="B186" s="12"/>
      <c r="C186" s="11"/>
      <c r="D186" s="12"/>
      <c r="E186" s="11"/>
    </row>
    <row r="187" spans="1:8" x14ac:dyDescent="0.35">
      <c r="A187" s="12"/>
      <c r="B187" s="12"/>
      <c r="C187" s="12"/>
      <c r="D187" s="12"/>
      <c r="E187" s="11"/>
    </row>
    <row r="188" spans="1:8" x14ac:dyDescent="0.35">
      <c r="A188" s="12"/>
      <c r="B188" s="12"/>
      <c r="C188" s="12"/>
      <c r="D188" s="12"/>
      <c r="E188" s="11"/>
    </row>
    <row r="189" spans="1:8" x14ac:dyDescent="0.35">
      <c r="A189" s="12"/>
      <c r="B189" s="12"/>
      <c r="C189" s="12"/>
      <c r="D189" s="12"/>
      <c r="E189" s="11"/>
    </row>
    <row r="190" spans="1:8" x14ac:dyDescent="0.35">
      <c r="A190" s="12"/>
      <c r="B190" s="12"/>
      <c r="C190" s="12"/>
      <c r="D190" s="12"/>
      <c r="E190" s="11"/>
    </row>
    <row r="191" spans="1:8" x14ac:dyDescent="0.35">
      <c r="A191" s="12"/>
      <c r="B191" s="12"/>
      <c r="C191" s="11"/>
      <c r="D191" s="12"/>
      <c r="E191" s="11"/>
    </row>
    <row r="192" spans="1:8" x14ac:dyDescent="0.35">
      <c r="A192" s="12"/>
      <c r="B192" s="12"/>
      <c r="C192" s="12"/>
      <c r="D192" s="12"/>
      <c r="E192" s="11"/>
    </row>
    <row r="193" spans="1:5" x14ac:dyDescent="0.35">
      <c r="A193" s="12"/>
      <c r="B193" s="12"/>
      <c r="C193" s="12"/>
      <c r="D193" s="12"/>
      <c r="E193" s="11"/>
    </row>
    <row r="194" spans="1:5" x14ac:dyDescent="0.35">
      <c r="A194" s="12"/>
      <c r="B194" s="12"/>
      <c r="C194" s="12"/>
      <c r="D194" s="12"/>
      <c r="E194" s="11"/>
    </row>
    <row r="195" spans="1:5" x14ac:dyDescent="0.35">
      <c r="A195" s="12"/>
      <c r="B195" s="12"/>
      <c r="C195" s="12"/>
      <c r="D195" s="12"/>
      <c r="E195" s="11"/>
    </row>
    <row r="196" spans="1:5" x14ac:dyDescent="0.35">
      <c r="A196" s="12"/>
      <c r="B196" s="12"/>
      <c r="C196" s="11"/>
      <c r="D196" s="11"/>
      <c r="E196" s="11"/>
    </row>
    <row r="197" spans="1:5" x14ac:dyDescent="0.35">
      <c r="A197" s="12"/>
      <c r="B197" s="12"/>
      <c r="C197" s="12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2"/>
      <c r="D199" s="12"/>
      <c r="E199" s="11"/>
    </row>
    <row r="200" spans="1:5" x14ac:dyDescent="0.35">
      <c r="A200" s="12"/>
      <c r="B200" s="12"/>
      <c r="C200" s="12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2"/>
      <c r="D202" s="12"/>
      <c r="E202" s="11"/>
    </row>
    <row r="203" spans="1:5" x14ac:dyDescent="0.35">
      <c r="A203" s="12"/>
      <c r="B203" s="12"/>
      <c r="C203" s="12"/>
      <c r="D203" s="12"/>
      <c r="E203" s="11"/>
    </row>
    <row r="204" spans="1:5" x14ac:dyDescent="0.35">
      <c r="A204" s="12"/>
      <c r="B204" s="12"/>
      <c r="C204" s="12"/>
      <c r="D204" s="12"/>
      <c r="E204" s="11"/>
    </row>
    <row r="205" spans="1:5" x14ac:dyDescent="0.35">
      <c r="A205" s="12"/>
      <c r="B205" s="12"/>
      <c r="C205" s="12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2"/>
      <c r="D207" s="12"/>
      <c r="E207" s="11"/>
    </row>
    <row r="208" spans="1:5" x14ac:dyDescent="0.35">
      <c r="A208" s="12"/>
      <c r="B208" s="12"/>
      <c r="C208" s="12"/>
      <c r="D208" s="12"/>
      <c r="E208" s="11"/>
    </row>
    <row r="209" spans="1:5" x14ac:dyDescent="0.35">
      <c r="A209" s="12"/>
      <c r="B209" s="12"/>
      <c r="C209" s="12"/>
      <c r="D209" s="12"/>
      <c r="E209" s="11"/>
    </row>
    <row r="210" spans="1:5" x14ac:dyDescent="0.35">
      <c r="A210" s="12"/>
      <c r="B210" s="12"/>
      <c r="C210" s="12"/>
      <c r="D210" s="12"/>
      <c r="E210" s="11"/>
    </row>
    <row r="211" spans="1:5" x14ac:dyDescent="0.35">
      <c r="A211" s="11"/>
      <c r="B211" s="11"/>
      <c r="C211" s="11"/>
      <c r="D211" s="11"/>
      <c r="E211" s="11"/>
    </row>
    <row r="212" spans="1:5" x14ac:dyDescent="0.35">
      <c r="A212" s="12"/>
      <c r="B212" s="12"/>
      <c r="C212" s="12"/>
      <c r="D212" s="12"/>
      <c r="E212" s="11"/>
    </row>
    <row r="213" spans="1:5" x14ac:dyDescent="0.35">
      <c r="A213" s="12"/>
      <c r="B213" s="12"/>
      <c r="C213" s="12"/>
      <c r="D213" s="12"/>
      <c r="E213" s="11"/>
    </row>
    <row r="214" spans="1:5" x14ac:dyDescent="0.35">
      <c r="A214" s="12"/>
      <c r="B214" s="12"/>
      <c r="C214" s="12"/>
      <c r="D214" s="12"/>
      <c r="E214" s="11"/>
    </row>
    <row r="215" spans="1:5" x14ac:dyDescent="0.35">
      <c r="A215" s="12"/>
      <c r="B215" s="12"/>
      <c r="C215" s="12"/>
      <c r="D215" s="12"/>
      <c r="E215" s="11"/>
    </row>
    <row r="216" spans="1:5" x14ac:dyDescent="0.35">
      <c r="A216" s="12"/>
      <c r="B216" s="12"/>
      <c r="C216" s="12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2"/>
      <c r="D218" s="12"/>
      <c r="E218" s="11"/>
    </row>
    <row r="219" spans="1:5" x14ac:dyDescent="0.35">
      <c r="A219" s="12"/>
      <c r="B219" s="12"/>
      <c r="C219" s="12"/>
      <c r="D219" s="12"/>
      <c r="E219" s="11"/>
    </row>
    <row r="220" spans="1:5" x14ac:dyDescent="0.35">
      <c r="A220" s="12"/>
      <c r="B220" s="12"/>
      <c r="C220" s="12"/>
      <c r="D220" s="12"/>
      <c r="E220" s="11"/>
    </row>
    <row r="221" spans="1:5" x14ac:dyDescent="0.35">
      <c r="A221" s="12"/>
      <c r="B221" s="12"/>
      <c r="C221" s="12"/>
      <c r="D221" s="12"/>
      <c r="E221" s="11"/>
    </row>
    <row r="222" spans="1:5" x14ac:dyDescent="0.35">
      <c r="A222" s="12"/>
      <c r="B222" s="12"/>
      <c r="C222" s="12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2"/>
      <c r="D224" s="12"/>
      <c r="E224" s="11"/>
    </row>
    <row r="225" spans="1:5" x14ac:dyDescent="0.35">
      <c r="A225" s="12"/>
      <c r="B225" s="12"/>
      <c r="C225" s="12"/>
      <c r="D225" s="12"/>
      <c r="E225" s="11"/>
    </row>
    <row r="226" spans="1:5" x14ac:dyDescent="0.35">
      <c r="A226" s="12"/>
      <c r="B226" s="12"/>
      <c r="C226" s="12"/>
      <c r="D226" s="12"/>
      <c r="E226" s="11"/>
    </row>
    <row r="227" spans="1:5" x14ac:dyDescent="0.35">
      <c r="A227" s="12"/>
      <c r="B227" s="12"/>
      <c r="C227" s="12"/>
      <c r="D227" s="12"/>
      <c r="E227" s="11"/>
    </row>
    <row r="228" spans="1:5" x14ac:dyDescent="0.35">
      <c r="A228" s="12"/>
      <c r="B228" s="12"/>
      <c r="C228" s="12"/>
      <c r="D228" s="12"/>
      <c r="E228" s="11"/>
    </row>
    <row r="229" spans="1:5" x14ac:dyDescent="0.35">
      <c r="A229" s="12"/>
      <c r="B229" s="12"/>
      <c r="C229" s="11"/>
      <c r="D229" s="11"/>
      <c r="E229" s="11"/>
    </row>
    <row r="230" spans="1:5" x14ac:dyDescent="0.35">
      <c r="A230" s="12"/>
      <c r="B230" s="12"/>
      <c r="C230" s="12"/>
      <c r="D230" s="12"/>
      <c r="E230" s="11"/>
    </row>
    <row r="231" spans="1:5" x14ac:dyDescent="0.35">
      <c r="A231" s="12"/>
      <c r="B231" s="12"/>
      <c r="C231" s="12"/>
      <c r="D231" s="12"/>
      <c r="E231" s="11"/>
    </row>
    <row r="232" spans="1:5" x14ac:dyDescent="0.35">
      <c r="A232" s="12"/>
      <c r="B232" s="12"/>
      <c r="C232" s="12"/>
      <c r="D232" s="12"/>
      <c r="E232" s="11"/>
    </row>
    <row r="233" spans="1:5" x14ac:dyDescent="0.35">
      <c r="A233" s="12"/>
      <c r="B233" s="12"/>
      <c r="C233" s="12"/>
      <c r="D233" s="12"/>
      <c r="E233" s="11"/>
    </row>
    <row r="234" spans="1:5" x14ac:dyDescent="0.35">
      <c r="A234" s="12"/>
      <c r="B234" s="12"/>
      <c r="C234" s="12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2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2"/>
      <c r="B238" s="12"/>
      <c r="C238" s="12"/>
      <c r="D238" s="12"/>
      <c r="E238" s="11"/>
    </row>
    <row r="239" spans="1:5" x14ac:dyDescent="0.35">
      <c r="A239" s="12"/>
      <c r="B239" s="12"/>
      <c r="C239" s="12"/>
      <c r="D239" s="12"/>
      <c r="E239" s="11"/>
    </row>
    <row r="240" spans="1:5" x14ac:dyDescent="0.35">
      <c r="A240" s="12"/>
      <c r="B240" s="12"/>
      <c r="C240" s="12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2"/>
      <c r="D242" s="12"/>
      <c r="E242" s="11"/>
    </row>
    <row r="243" spans="1:5" x14ac:dyDescent="0.35">
      <c r="A243" s="12"/>
      <c r="B243" s="12"/>
      <c r="C243" s="12"/>
      <c r="D243" s="12"/>
      <c r="E243" s="11"/>
    </row>
    <row r="244" spans="1:5" x14ac:dyDescent="0.35">
      <c r="A244" s="12"/>
      <c r="B244" s="12"/>
      <c r="C244" s="12"/>
      <c r="D244" s="12"/>
      <c r="E244" s="11"/>
    </row>
    <row r="245" spans="1:5" x14ac:dyDescent="0.35">
      <c r="A245" s="12"/>
      <c r="B245" s="12"/>
      <c r="C245" s="12"/>
      <c r="D245" s="12"/>
      <c r="E245" s="11"/>
    </row>
    <row r="246" spans="1:5" x14ac:dyDescent="0.35">
      <c r="A246" s="12"/>
      <c r="B246" s="12"/>
      <c r="C246" s="12"/>
      <c r="D246" s="12"/>
      <c r="E246" s="11"/>
    </row>
    <row r="247" spans="1:5" x14ac:dyDescent="0.35">
      <c r="A247" s="11"/>
      <c r="B247" s="11"/>
      <c r="C247" s="11"/>
      <c r="D247" s="11"/>
      <c r="E247" s="11"/>
    </row>
    <row r="248" spans="1:5" x14ac:dyDescent="0.35">
      <c r="A248" s="12"/>
      <c r="B248" s="12"/>
      <c r="C248" s="12"/>
      <c r="D248" s="12"/>
      <c r="E248" s="11"/>
    </row>
    <row r="249" spans="1:5" x14ac:dyDescent="0.35">
      <c r="A249" s="12"/>
      <c r="B249" s="12"/>
      <c r="C249" s="12"/>
      <c r="D249" s="12"/>
      <c r="E249" s="11"/>
    </row>
    <row r="250" spans="1:5" x14ac:dyDescent="0.35">
      <c r="A250" s="12"/>
      <c r="B250" s="12"/>
      <c r="C250" s="12"/>
      <c r="D250" s="12"/>
      <c r="E250" s="11"/>
    </row>
    <row r="251" spans="1:5" x14ac:dyDescent="0.35">
      <c r="A251" s="12"/>
      <c r="B251" s="12"/>
      <c r="C251" s="12"/>
      <c r="D251" s="12"/>
      <c r="E251" s="11"/>
    </row>
    <row r="252" spans="1:5" x14ac:dyDescent="0.35">
      <c r="A252" s="12"/>
      <c r="B252" s="12"/>
      <c r="C252" s="12"/>
      <c r="D252" s="12"/>
      <c r="E252" s="11"/>
    </row>
    <row r="253" spans="1:5" x14ac:dyDescent="0.35">
      <c r="A253" s="12"/>
      <c r="B253" s="12"/>
      <c r="C253" s="12"/>
      <c r="D253" s="12"/>
      <c r="E253" s="11"/>
    </row>
    <row r="254" spans="1:5" x14ac:dyDescent="0.35">
      <c r="A254" s="12"/>
      <c r="B254" s="12"/>
      <c r="C254" s="11"/>
      <c r="D254" s="12"/>
      <c r="E254" s="11"/>
    </row>
    <row r="255" spans="1:5" x14ac:dyDescent="0.35">
      <c r="A255" s="12"/>
      <c r="B255" s="12"/>
      <c r="C255" s="12"/>
      <c r="D255" s="12"/>
      <c r="E255" s="11"/>
    </row>
    <row r="256" spans="1:5" x14ac:dyDescent="0.35">
      <c r="A256" s="12"/>
      <c r="B256" s="12"/>
      <c r="C256" s="12"/>
      <c r="D256" s="12"/>
      <c r="E256" s="11"/>
    </row>
    <row r="257" spans="1:5" x14ac:dyDescent="0.35">
      <c r="A257" s="12"/>
      <c r="B257" s="12"/>
      <c r="C257" s="12"/>
      <c r="D257" s="12"/>
      <c r="E257" s="11"/>
    </row>
    <row r="258" spans="1:5" x14ac:dyDescent="0.35">
      <c r="A258" s="12"/>
      <c r="B258" s="12"/>
      <c r="C258" s="12"/>
      <c r="D258" s="12"/>
      <c r="E258" s="11"/>
    </row>
    <row r="259" spans="1:5" x14ac:dyDescent="0.35">
      <c r="A259" s="12"/>
      <c r="B259" s="12"/>
      <c r="C259" s="12"/>
      <c r="D259" s="12"/>
      <c r="E259" s="11"/>
    </row>
    <row r="260" spans="1:5" x14ac:dyDescent="0.35">
      <c r="A260" s="12"/>
      <c r="B260" s="12"/>
      <c r="C260" s="12"/>
      <c r="D260" s="12"/>
      <c r="E260" s="11"/>
    </row>
    <row r="261" spans="1:5" x14ac:dyDescent="0.35">
      <c r="A261" s="12"/>
      <c r="B261" s="12"/>
      <c r="C261" s="11"/>
      <c r="D261" s="12"/>
      <c r="E261" s="11"/>
    </row>
    <row r="262" spans="1:5" x14ac:dyDescent="0.35">
      <c r="A262" s="12"/>
      <c r="B262" s="12"/>
      <c r="C262" s="12"/>
      <c r="D262" s="12"/>
      <c r="E262" s="11"/>
    </row>
    <row r="263" spans="1:5" x14ac:dyDescent="0.35">
      <c r="A263" s="12"/>
      <c r="B263" s="12"/>
      <c r="C263" s="12"/>
      <c r="D263" s="12"/>
      <c r="E263" s="11"/>
    </row>
    <row r="264" spans="1:5" x14ac:dyDescent="0.35">
      <c r="A264" s="12"/>
      <c r="B264" s="12"/>
      <c r="C264" s="12"/>
      <c r="D264" s="12"/>
      <c r="E264" s="11"/>
    </row>
    <row r="265" spans="1:5" x14ac:dyDescent="0.35">
      <c r="A265" s="12"/>
      <c r="B265" s="12"/>
      <c r="C265" s="12"/>
      <c r="D265" s="12"/>
      <c r="E265" s="11"/>
    </row>
    <row r="266" spans="1:5" x14ac:dyDescent="0.35">
      <c r="A266" s="12"/>
      <c r="B266" s="12"/>
      <c r="C266" s="12"/>
      <c r="D266" s="12"/>
      <c r="E266" s="11"/>
    </row>
    <row r="267" spans="1:5" x14ac:dyDescent="0.35">
      <c r="A267" s="12"/>
      <c r="B267" s="12"/>
      <c r="C267" s="12"/>
      <c r="D267" s="12"/>
      <c r="E267" s="11"/>
    </row>
    <row r="268" spans="1:5" x14ac:dyDescent="0.35">
      <c r="A268" s="12"/>
      <c r="B268" s="12"/>
      <c r="C268" s="11"/>
      <c r="D268" s="12"/>
      <c r="E268" s="11"/>
    </row>
    <row r="269" spans="1:5" x14ac:dyDescent="0.35">
      <c r="A269" s="12"/>
      <c r="B269" s="12"/>
      <c r="C269" s="12"/>
      <c r="D269" s="12"/>
      <c r="E269" s="11"/>
    </row>
    <row r="270" spans="1:5" x14ac:dyDescent="0.35">
      <c r="A270" s="12"/>
      <c r="B270" s="12"/>
      <c r="C270" s="12"/>
      <c r="D270" s="12"/>
      <c r="E270" s="11"/>
    </row>
    <row r="271" spans="1:5" x14ac:dyDescent="0.35">
      <c r="A271" s="12"/>
      <c r="B271" s="12"/>
      <c r="C271" s="12"/>
      <c r="D271" s="12"/>
      <c r="E271" s="11"/>
    </row>
    <row r="272" spans="1:5" x14ac:dyDescent="0.35">
      <c r="A272" s="12"/>
      <c r="B272" s="12"/>
      <c r="C272" s="12"/>
      <c r="D272" s="12"/>
      <c r="E272" s="11"/>
    </row>
    <row r="273" spans="1:5" x14ac:dyDescent="0.35">
      <c r="A273" s="12"/>
      <c r="B273" s="12"/>
      <c r="C273" s="12"/>
      <c r="D273" s="12"/>
      <c r="E273" s="11"/>
    </row>
    <row r="274" spans="1:5" x14ac:dyDescent="0.35">
      <c r="A274" s="12"/>
      <c r="B274" s="12"/>
      <c r="C274" s="12"/>
      <c r="D274" s="12"/>
      <c r="E274" s="11"/>
    </row>
    <row r="275" spans="1:5" x14ac:dyDescent="0.35">
      <c r="A275" s="12"/>
      <c r="B275" s="12"/>
      <c r="C275" s="11"/>
      <c r="D275" s="12"/>
      <c r="E275" s="11"/>
    </row>
    <row r="276" spans="1:5" x14ac:dyDescent="0.35">
      <c r="A276" s="12"/>
      <c r="B276" s="12"/>
      <c r="C276" s="12"/>
      <c r="D276" s="12"/>
      <c r="E276" s="11"/>
    </row>
    <row r="277" spans="1:5" x14ac:dyDescent="0.35">
      <c r="A277" s="12"/>
      <c r="B277" s="12"/>
      <c r="C277" s="12"/>
      <c r="D277" s="12"/>
      <c r="E277" s="11"/>
    </row>
    <row r="278" spans="1:5" x14ac:dyDescent="0.35">
      <c r="A278" s="12"/>
      <c r="B278" s="12"/>
      <c r="C278" s="12"/>
      <c r="D278" s="12"/>
      <c r="E278" s="11"/>
    </row>
    <row r="279" spans="1:5" x14ac:dyDescent="0.35">
      <c r="A279" s="12"/>
      <c r="B279" s="12"/>
      <c r="C279" s="12"/>
      <c r="D279" s="12"/>
      <c r="E279" s="11"/>
    </row>
    <row r="280" spans="1:5" x14ac:dyDescent="0.35">
      <c r="A280" s="12"/>
      <c r="B280" s="12"/>
      <c r="C280" s="12"/>
      <c r="D280" s="12"/>
      <c r="E280" s="11"/>
    </row>
    <row r="281" spans="1:5" x14ac:dyDescent="0.35">
      <c r="A281" s="12"/>
      <c r="B281" s="12"/>
      <c r="C281" s="12"/>
      <c r="D281" s="12"/>
      <c r="E281" s="11"/>
    </row>
    <row r="282" spans="1:5" x14ac:dyDescent="0.35">
      <c r="A282" s="12"/>
      <c r="B282" s="12"/>
      <c r="C282" s="11"/>
      <c r="D282" s="11"/>
      <c r="E282" s="11"/>
    </row>
    <row r="283" spans="1:5" x14ac:dyDescent="0.35">
      <c r="A283" s="12"/>
      <c r="B283" s="12"/>
      <c r="C283" s="12"/>
      <c r="D283" s="12"/>
      <c r="E283" s="11"/>
    </row>
    <row r="284" spans="1:5" x14ac:dyDescent="0.35">
      <c r="A284" s="12"/>
      <c r="B284" s="12"/>
      <c r="C284" s="12"/>
      <c r="D284" s="12"/>
      <c r="E284" s="11"/>
    </row>
    <row r="285" spans="1:5" x14ac:dyDescent="0.35">
      <c r="A285" s="12"/>
      <c r="B285" s="12"/>
      <c r="C285" s="12"/>
      <c r="D285" s="12"/>
      <c r="E285" s="11"/>
    </row>
    <row r="286" spans="1:5" x14ac:dyDescent="0.35">
      <c r="A286" s="12"/>
      <c r="B286" s="12"/>
      <c r="C286" s="12"/>
      <c r="D286" s="12"/>
      <c r="E286" s="11"/>
    </row>
    <row r="287" spans="1:5" x14ac:dyDescent="0.35">
      <c r="A287" s="12"/>
      <c r="B287" s="12"/>
      <c r="C287" s="12"/>
      <c r="D287" s="12"/>
      <c r="E287" s="11"/>
    </row>
    <row r="288" spans="1:5" x14ac:dyDescent="0.35">
      <c r="A288" s="12"/>
      <c r="B288" s="11"/>
      <c r="C288" s="12"/>
      <c r="D288" s="11"/>
      <c r="E288" s="11"/>
    </row>
    <row r="289" spans="1:5" x14ac:dyDescent="0.35">
      <c r="A289" s="12"/>
      <c r="B289" s="12"/>
      <c r="C289" s="11"/>
      <c r="D289" s="12"/>
      <c r="E289" s="11"/>
    </row>
    <row r="290" spans="1:5" x14ac:dyDescent="0.35">
      <c r="A290" s="12"/>
      <c r="B290" s="12"/>
      <c r="C290" s="12"/>
      <c r="D290" s="12"/>
      <c r="E290" s="11"/>
    </row>
    <row r="291" spans="1:5" x14ac:dyDescent="0.35">
      <c r="A291" s="12"/>
      <c r="B291" s="12"/>
      <c r="C291" s="12"/>
      <c r="D291" s="12"/>
      <c r="E291" s="11"/>
    </row>
    <row r="292" spans="1:5" x14ac:dyDescent="0.35">
      <c r="A292" s="12"/>
      <c r="B292" s="12"/>
      <c r="C292" s="12"/>
      <c r="D292" s="12"/>
      <c r="E292" s="11"/>
    </row>
    <row r="293" spans="1:5" x14ac:dyDescent="0.35">
      <c r="A293" s="12"/>
      <c r="B293" s="12"/>
      <c r="C293" s="12"/>
      <c r="D293" s="12"/>
      <c r="E293" s="11"/>
    </row>
    <row r="294" spans="1:5" x14ac:dyDescent="0.35">
      <c r="A294" s="12"/>
      <c r="B294" s="12"/>
      <c r="C294" s="12"/>
      <c r="D294" s="12"/>
      <c r="E294" s="11"/>
    </row>
    <row r="295" spans="1:5" x14ac:dyDescent="0.35">
      <c r="A295" s="12"/>
      <c r="B295" s="12"/>
      <c r="C295" s="12"/>
      <c r="D295" s="12"/>
      <c r="E295" s="11"/>
    </row>
    <row r="296" spans="1:5" x14ac:dyDescent="0.35">
      <c r="A296" s="11"/>
      <c r="B296" s="11"/>
      <c r="C296" s="11"/>
      <c r="D296" s="11"/>
      <c r="E296" s="11"/>
    </row>
    <row r="297" spans="1:5" x14ac:dyDescent="0.35">
      <c r="A297" s="12"/>
      <c r="B297" s="12"/>
      <c r="C297" s="12"/>
      <c r="D297" s="12"/>
      <c r="E297" s="11"/>
    </row>
    <row r="298" spans="1:5" x14ac:dyDescent="0.35">
      <c r="A298" s="12"/>
      <c r="B298" s="12"/>
      <c r="C298" s="12"/>
      <c r="D298" s="12"/>
      <c r="E298" s="11"/>
    </row>
    <row r="299" spans="1:5" x14ac:dyDescent="0.35">
      <c r="A299" s="12"/>
      <c r="B299" s="12"/>
      <c r="C299" s="12"/>
      <c r="D299" s="12"/>
      <c r="E299" s="11"/>
    </row>
    <row r="300" spans="1:5" x14ac:dyDescent="0.35">
      <c r="A300" s="12"/>
      <c r="B300" s="12"/>
      <c r="C300" s="12"/>
      <c r="D300" s="12"/>
      <c r="E300" s="11"/>
    </row>
    <row r="301" spans="1:5" x14ac:dyDescent="0.35">
      <c r="A301" s="12"/>
      <c r="B301" s="12"/>
      <c r="C301" s="11"/>
      <c r="D301" s="12"/>
      <c r="E301" s="11"/>
    </row>
    <row r="302" spans="1:5" x14ac:dyDescent="0.35">
      <c r="A302" s="12"/>
      <c r="B302" s="12"/>
      <c r="C302" s="12"/>
      <c r="D302" s="12"/>
      <c r="E302" s="11"/>
    </row>
    <row r="303" spans="1:5" x14ac:dyDescent="0.35">
      <c r="A303" s="12"/>
      <c r="B303" s="12"/>
      <c r="C303" s="12"/>
      <c r="D303" s="12"/>
      <c r="E303" s="11"/>
    </row>
    <row r="304" spans="1:5" x14ac:dyDescent="0.35">
      <c r="A304" s="12"/>
      <c r="B304" s="12"/>
      <c r="C304" s="12"/>
      <c r="D304" s="12"/>
      <c r="E304" s="11"/>
    </row>
    <row r="305" spans="1:5" x14ac:dyDescent="0.35">
      <c r="A305" s="12"/>
      <c r="B305" s="12"/>
      <c r="C305" s="12"/>
      <c r="D305" s="12"/>
      <c r="E305" s="11"/>
    </row>
    <row r="306" spans="1:5" x14ac:dyDescent="0.35">
      <c r="A306" s="12"/>
      <c r="B306" s="12"/>
      <c r="C306" s="11"/>
      <c r="D306" s="12"/>
      <c r="E306" s="11"/>
    </row>
    <row r="307" spans="1:5" x14ac:dyDescent="0.35">
      <c r="A307" s="12"/>
      <c r="B307" s="12"/>
      <c r="C307" s="12"/>
      <c r="D307" s="12"/>
      <c r="E307" s="11"/>
    </row>
    <row r="308" spans="1:5" x14ac:dyDescent="0.35">
      <c r="A308" s="12"/>
      <c r="B308" s="12"/>
      <c r="C308" s="12"/>
      <c r="D308" s="12"/>
      <c r="E308" s="11"/>
    </row>
    <row r="309" spans="1:5" x14ac:dyDescent="0.35">
      <c r="A309" s="12"/>
      <c r="B309" s="12"/>
      <c r="C309" s="12"/>
      <c r="D309" s="12"/>
      <c r="E309" s="11"/>
    </row>
    <row r="310" spans="1:5" x14ac:dyDescent="0.35">
      <c r="A310" s="12"/>
      <c r="B310" s="12"/>
      <c r="C310" s="12"/>
      <c r="D310" s="12"/>
      <c r="E310" s="11"/>
    </row>
    <row r="311" spans="1:5" x14ac:dyDescent="0.35">
      <c r="A311" s="12"/>
      <c r="B311" s="12"/>
      <c r="C311" s="11"/>
      <c r="D311" s="12"/>
      <c r="E311" s="11"/>
    </row>
    <row r="312" spans="1:5" x14ac:dyDescent="0.35">
      <c r="A312" s="12"/>
      <c r="B312" s="12"/>
      <c r="C312" s="12"/>
      <c r="D312" s="12"/>
      <c r="E312" s="11"/>
    </row>
    <row r="313" spans="1:5" x14ac:dyDescent="0.35">
      <c r="A313" s="12"/>
      <c r="B313" s="12"/>
      <c r="C313" s="12"/>
      <c r="D313" s="12"/>
      <c r="E313" s="11"/>
    </row>
    <row r="314" spans="1:5" x14ac:dyDescent="0.35">
      <c r="A314" s="12"/>
      <c r="B314" s="12"/>
      <c r="C314" s="12"/>
      <c r="D314" s="12"/>
      <c r="E314" s="11"/>
    </row>
    <row r="315" spans="1:5" x14ac:dyDescent="0.35">
      <c r="A315" s="12"/>
      <c r="B315" s="12"/>
      <c r="C315" s="12"/>
      <c r="D315" s="12"/>
      <c r="E315" s="11"/>
    </row>
    <row r="316" spans="1:5" x14ac:dyDescent="0.35">
      <c r="A316" s="12"/>
      <c r="B316" s="12"/>
      <c r="C316" s="12"/>
      <c r="D316" s="12"/>
      <c r="E316" s="11"/>
    </row>
    <row r="317" spans="1:5" x14ac:dyDescent="0.35">
      <c r="A317" s="12"/>
      <c r="B317" s="12"/>
      <c r="C317" s="12"/>
      <c r="D317" s="12"/>
      <c r="E317" s="11"/>
    </row>
    <row r="318" spans="1:5" x14ac:dyDescent="0.35">
      <c r="A318" s="12"/>
      <c r="B318" s="12"/>
      <c r="C318" s="11"/>
      <c r="D318" s="12"/>
      <c r="E318" s="11"/>
    </row>
    <row r="319" spans="1:5" x14ac:dyDescent="0.35">
      <c r="A319" s="12"/>
      <c r="B319" s="12"/>
      <c r="C319" s="12"/>
      <c r="D319" s="12"/>
      <c r="E319" s="11"/>
    </row>
    <row r="320" spans="1:5" x14ac:dyDescent="0.35">
      <c r="A320" s="12"/>
      <c r="B320" s="12"/>
      <c r="C320" s="12"/>
      <c r="D320" s="12"/>
      <c r="E320" s="11"/>
    </row>
    <row r="321" spans="1:5" x14ac:dyDescent="0.35">
      <c r="A321" s="12"/>
      <c r="B321" s="12"/>
      <c r="C321" s="12"/>
      <c r="D321" s="12"/>
      <c r="E321" s="11"/>
    </row>
    <row r="322" spans="1:5" x14ac:dyDescent="0.35">
      <c r="A322" s="12"/>
      <c r="B322" s="12"/>
      <c r="C322" s="12"/>
      <c r="D322" s="12"/>
      <c r="E322" s="11"/>
    </row>
    <row r="323" spans="1:5" x14ac:dyDescent="0.35">
      <c r="A323" s="12"/>
      <c r="B323" s="12"/>
      <c r="C323" s="12"/>
      <c r="D323" s="12"/>
      <c r="E323" s="11"/>
    </row>
    <row r="324" spans="1:5" x14ac:dyDescent="0.35">
      <c r="A324" s="12"/>
      <c r="B324" s="12"/>
      <c r="C324" s="12"/>
      <c r="D324" s="12"/>
      <c r="E324" s="11"/>
    </row>
    <row r="325" spans="1:5" x14ac:dyDescent="0.35">
      <c r="A325" s="11"/>
      <c r="B325" s="11"/>
      <c r="C325" s="11"/>
      <c r="D325" s="12"/>
      <c r="E325" s="11"/>
    </row>
    <row r="326" spans="1:5" x14ac:dyDescent="0.35">
      <c r="A326" s="12"/>
      <c r="B326" s="12"/>
      <c r="C326" s="12"/>
      <c r="D326" s="12"/>
      <c r="E326" s="11"/>
    </row>
    <row r="327" spans="1:5" x14ac:dyDescent="0.35">
      <c r="A327" s="12"/>
      <c r="B327" s="12"/>
      <c r="C327" s="12"/>
      <c r="D327" s="12"/>
      <c r="E327" s="11"/>
    </row>
    <row r="328" spans="1:5" x14ac:dyDescent="0.35">
      <c r="A328" s="12"/>
      <c r="B328" s="12"/>
      <c r="C328" s="12"/>
      <c r="D328" s="12"/>
      <c r="E328" s="11"/>
    </row>
    <row r="329" spans="1:5" x14ac:dyDescent="0.35">
      <c r="A329" s="12"/>
      <c r="B329" s="12"/>
      <c r="C329" s="12"/>
      <c r="D329" s="12"/>
      <c r="E329" s="11"/>
    </row>
    <row r="330" spans="1:5" x14ac:dyDescent="0.35">
      <c r="A330" s="12"/>
      <c r="B330" s="12"/>
      <c r="C330" s="12"/>
      <c r="D330" s="12"/>
      <c r="E330" s="11"/>
    </row>
    <row r="331" spans="1:5" x14ac:dyDescent="0.35">
      <c r="A331" s="12"/>
      <c r="B331" s="12"/>
      <c r="C331" s="11"/>
      <c r="D331" s="12"/>
      <c r="E331" s="11"/>
    </row>
    <row r="332" spans="1:5" x14ac:dyDescent="0.35">
      <c r="A332" s="12"/>
      <c r="B332" s="12"/>
      <c r="C332" s="12"/>
      <c r="D332" s="12"/>
      <c r="E332" s="11"/>
    </row>
    <row r="333" spans="1:5" x14ac:dyDescent="0.35">
      <c r="A333" s="12"/>
      <c r="B333" s="12"/>
      <c r="C333" s="12"/>
      <c r="D333" s="12"/>
      <c r="E333" s="11"/>
    </row>
    <row r="334" spans="1:5" x14ac:dyDescent="0.35">
      <c r="A334" s="12"/>
      <c r="B334" s="12"/>
      <c r="C334" s="12"/>
      <c r="D334" s="12"/>
      <c r="E334" s="11"/>
    </row>
    <row r="335" spans="1:5" x14ac:dyDescent="0.35">
      <c r="A335" s="12"/>
      <c r="B335" s="12"/>
      <c r="C335" s="12"/>
      <c r="D335" s="12"/>
      <c r="E335" s="11"/>
    </row>
    <row r="336" spans="1:5" x14ac:dyDescent="0.35">
      <c r="A336" s="12"/>
      <c r="B336" s="12"/>
      <c r="C336" s="12"/>
      <c r="D336" s="12"/>
      <c r="E336" s="11"/>
    </row>
    <row r="337" spans="1:5" x14ac:dyDescent="0.35">
      <c r="A337" s="12"/>
      <c r="B337" s="12"/>
      <c r="C337" s="11"/>
      <c r="D337" s="12"/>
      <c r="E337" s="11"/>
    </row>
    <row r="338" spans="1:5" x14ac:dyDescent="0.35">
      <c r="A338" s="12"/>
      <c r="B338" s="12"/>
      <c r="C338" s="12"/>
      <c r="D338" s="12"/>
      <c r="E338" s="11"/>
    </row>
    <row r="339" spans="1:5" x14ac:dyDescent="0.35">
      <c r="A339" s="12"/>
      <c r="B339" s="12"/>
      <c r="C339" s="12"/>
      <c r="D339" s="12"/>
      <c r="E339" s="11"/>
    </row>
    <row r="340" spans="1:5" x14ac:dyDescent="0.35">
      <c r="A340" s="12"/>
      <c r="B340" s="12"/>
      <c r="C340" s="12"/>
      <c r="D340" s="12"/>
      <c r="E340" s="11"/>
    </row>
    <row r="341" spans="1:5" x14ac:dyDescent="0.35">
      <c r="A341" s="12"/>
      <c r="B341" s="12"/>
      <c r="C341" s="12"/>
      <c r="D341" s="12"/>
      <c r="E341" s="11"/>
    </row>
    <row r="342" spans="1:5" x14ac:dyDescent="0.35">
      <c r="A342" s="12"/>
      <c r="B342" s="12"/>
      <c r="C342" s="12"/>
      <c r="D342" s="12"/>
      <c r="E342" s="11"/>
    </row>
    <row r="343" spans="1:5" x14ac:dyDescent="0.35">
      <c r="A343" s="12"/>
      <c r="B343" s="12"/>
      <c r="C343" s="11"/>
      <c r="D343" s="12"/>
      <c r="E343" s="11"/>
    </row>
    <row r="344" spans="1:5" x14ac:dyDescent="0.35">
      <c r="A344" s="12"/>
      <c r="B344" s="12"/>
      <c r="C344" s="12"/>
      <c r="D344" s="12"/>
      <c r="E344" s="11"/>
    </row>
    <row r="345" spans="1:5" x14ac:dyDescent="0.35">
      <c r="A345" s="12"/>
      <c r="B345" s="12"/>
      <c r="C345" s="12"/>
      <c r="D345" s="12"/>
      <c r="E345" s="11"/>
    </row>
    <row r="346" spans="1:5" x14ac:dyDescent="0.35">
      <c r="A346" s="12"/>
      <c r="B346" s="12"/>
      <c r="C346" s="12"/>
      <c r="D346" s="12"/>
      <c r="E346" s="11"/>
    </row>
    <row r="347" spans="1:5" x14ac:dyDescent="0.35">
      <c r="A347" s="12"/>
      <c r="B347" s="12"/>
      <c r="C347" s="12"/>
      <c r="D347" s="12"/>
      <c r="E347" s="11"/>
    </row>
    <row r="348" spans="1:5" x14ac:dyDescent="0.35">
      <c r="A348" s="12"/>
      <c r="B348" s="12"/>
      <c r="C348" s="12"/>
      <c r="D348" s="12"/>
      <c r="E348" s="11"/>
    </row>
    <row r="349" spans="1:5" x14ac:dyDescent="0.35">
      <c r="A349" s="12"/>
      <c r="B349" s="12"/>
      <c r="C349" s="11"/>
      <c r="D349" s="12"/>
      <c r="E349" s="11"/>
    </row>
    <row r="350" spans="1:5" x14ac:dyDescent="0.35">
      <c r="A350" s="12"/>
      <c r="B350" s="12"/>
      <c r="C350" s="12"/>
      <c r="D350" s="12"/>
      <c r="E350" s="11"/>
    </row>
    <row r="351" spans="1:5" x14ac:dyDescent="0.35">
      <c r="A351" s="12"/>
      <c r="B351" s="12"/>
      <c r="C351" s="12"/>
      <c r="D351" s="12"/>
      <c r="E351" s="11"/>
    </row>
    <row r="352" spans="1:5" x14ac:dyDescent="0.35">
      <c r="A352" s="12"/>
      <c r="B352" s="12"/>
      <c r="C352" s="12"/>
      <c r="D352" s="12"/>
      <c r="E352" s="11"/>
    </row>
    <row r="353" spans="1:5" x14ac:dyDescent="0.35">
      <c r="A353" s="12"/>
      <c r="B353" s="12"/>
      <c r="C353" s="12"/>
      <c r="D353" s="12"/>
      <c r="E353" s="11"/>
    </row>
    <row r="354" spans="1:5" x14ac:dyDescent="0.35">
      <c r="A354" s="12"/>
      <c r="B354" s="12"/>
      <c r="C354" s="12"/>
      <c r="D354" s="12"/>
      <c r="E354" s="11"/>
    </row>
    <row r="355" spans="1:5" x14ac:dyDescent="0.35">
      <c r="A355" s="12"/>
      <c r="B355" s="12"/>
      <c r="C355" s="12"/>
      <c r="D355" s="12"/>
      <c r="E355" s="11"/>
    </row>
    <row r="356" spans="1:5" x14ac:dyDescent="0.35">
      <c r="A356" s="12"/>
      <c r="B356" s="12"/>
      <c r="C356" s="12"/>
      <c r="D356" s="12"/>
      <c r="E356" s="11"/>
    </row>
    <row r="357" spans="1:5" x14ac:dyDescent="0.35">
      <c r="A357" s="12"/>
      <c r="B357" s="12"/>
      <c r="C357" s="11"/>
      <c r="D357" s="12"/>
      <c r="E357" s="11"/>
    </row>
    <row r="358" spans="1:5" x14ac:dyDescent="0.35">
      <c r="A358" s="12"/>
      <c r="B358" s="12"/>
      <c r="C358" s="12"/>
      <c r="D358" s="12"/>
      <c r="E358" s="11"/>
    </row>
    <row r="359" spans="1:5" x14ac:dyDescent="0.35">
      <c r="A359" s="12"/>
      <c r="B359" s="12"/>
      <c r="C359" s="12"/>
      <c r="D359" s="12"/>
      <c r="E359" s="11"/>
    </row>
    <row r="360" spans="1:5" x14ac:dyDescent="0.35">
      <c r="A360" s="12"/>
      <c r="B360" s="12"/>
      <c r="C360" s="12"/>
      <c r="D360" s="12"/>
      <c r="E360" s="11"/>
    </row>
    <row r="361" spans="1:5" x14ac:dyDescent="0.35">
      <c r="A361" s="12"/>
      <c r="B361" s="12"/>
      <c r="C361" s="12"/>
      <c r="D361" s="12"/>
      <c r="E361" s="11"/>
    </row>
    <row r="362" spans="1:5" x14ac:dyDescent="0.35">
      <c r="A362" s="12"/>
      <c r="B362" s="12"/>
      <c r="C362" s="12"/>
      <c r="D362" s="12"/>
      <c r="E362" s="11"/>
    </row>
    <row r="363" spans="1:5" x14ac:dyDescent="0.35">
      <c r="A363" s="12"/>
      <c r="B363" s="12"/>
      <c r="C363" s="12"/>
      <c r="D363" s="12"/>
      <c r="E363" s="11"/>
    </row>
    <row r="364" spans="1:5" x14ac:dyDescent="0.35">
      <c r="A364" s="12"/>
      <c r="B364" s="12"/>
      <c r="C364" s="12"/>
      <c r="D364" s="12"/>
      <c r="E364" s="11"/>
    </row>
    <row r="365" spans="1:5" x14ac:dyDescent="0.35">
      <c r="A365" s="11"/>
      <c r="B365" s="11"/>
      <c r="C365" s="11"/>
      <c r="D365" s="11"/>
      <c r="E365" s="11"/>
    </row>
    <row r="366" spans="1:5" x14ac:dyDescent="0.35">
      <c r="A366" s="12"/>
      <c r="B366" s="12"/>
      <c r="C366" s="12"/>
      <c r="D366" s="12"/>
      <c r="E366" s="11"/>
    </row>
    <row r="367" spans="1:5" x14ac:dyDescent="0.35">
      <c r="A367" s="12"/>
      <c r="B367" s="12"/>
      <c r="C367" s="12"/>
      <c r="D367" s="12"/>
      <c r="E367" s="11"/>
    </row>
    <row r="368" spans="1:5" x14ac:dyDescent="0.35">
      <c r="A368" s="12"/>
      <c r="B368" s="12"/>
      <c r="C368" s="12"/>
      <c r="D368" s="12"/>
      <c r="E368" s="11"/>
    </row>
    <row r="369" spans="1:5" x14ac:dyDescent="0.35">
      <c r="A369" s="12"/>
      <c r="B369" s="12"/>
      <c r="C369" s="12"/>
      <c r="D369" s="12"/>
      <c r="E369" s="11"/>
    </row>
    <row r="370" spans="1:5" x14ac:dyDescent="0.35">
      <c r="A370" s="12"/>
      <c r="B370" s="12"/>
      <c r="C370" s="12"/>
      <c r="D370" s="12"/>
      <c r="E370" s="11"/>
    </row>
    <row r="371" spans="1:5" x14ac:dyDescent="0.35">
      <c r="A371" s="12"/>
      <c r="B371" s="12"/>
      <c r="C371" s="11"/>
      <c r="D371" s="12"/>
      <c r="E371" s="11"/>
    </row>
    <row r="372" spans="1:5" x14ac:dyDescent="0.35">
      <c r="A372" s="12"/>
      <c r="B372" s="12"/>
      <c r="C372" s="12"/>
      <c r="D372" s="12"/>
      <c r="E372" s="11"/>
    </row>
    <row r="373" spans="1:5" x14ac:dyDescent="0.35">
      <c r="A373" s="12"/>
      <c r="B373" s="12"/>
      <c r="C373" s="12"/>
      <c r="D373" s="12"/>
      <c r="E373" s="11"/>
    </row>
    <row r="374" spans="1:5" x14ac:dyDescent="0.35">
      <c r="A374" s="12"/>
      <c r="B374" s="12"/>
      <c r="C374" s="12"/>
      <c r="D374" s="12"/>
      <c r="E374" s="11"/>
    </row>
    <row r="375" spans="1:5" x14ac:dyDescent="0.35">
      <c r="A375" s="12"/>
      <c r="B375" s="12"/>
      <c r="C375" s="12"/>
      <c r="D375" s="12"/>
      <c r="E375" s="11"/>
    </row>
    <row r="376" spans="1:5" x14ac:dyDescent="0.35">
      <c r="A376" s="12"/>
      <c r="B376" s="12"/>
      <c r="C376" s="12"/>
      <c r="D376" s="12"/>
      <c r="E376" s="1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5"/>
  <sheetViews>
    <sheetView zoomScale="160" zoomScaleNormal="160" workbookViewId="0">
      <selection activeCell="F19" sqref="F19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17</v>
      </c>
      <c r="B2" s="1" t="s">
        <v>65</v>
      </c>
      <c r="C2" s="1" t="s">
        <v>47</v>
      </c>
      <c r="D2">
        <v>0.56799999999999995</v>
      </c>
    </row>
    <row r="3" spans="1:4" x14ac:dyDescent="0.35">
      <c r="A3" s="1" t="s">
        <v>61</v>
      </c>
      <c r="B3" s="1" t="s">
        <v>191</v>
      </c>
      <c r="C3" s="1" t="s">
        <v>18</v>
      </c>
      <c r="D3">
        <v>0.95199999999999996</v>
      </c>
    </row>
    <row r="4" spans="1:4" x14ac:dyDescent="0.35">
      <c r="A4" s="1" t="s">
        <v>78</v>
      </c>
      <c r="B4" s="1" t="s">
        <v>93</v>
      </c>
      <c r="C4" s="1" t="s">
        <v>2399</v>
      </c>
      <c r="D4" t="s">
        <v>2574</v>
      </c>
    </row>
    <row r="5" spans="1:4" x14ac:dyDescent="0.35">
      <c r="A5" s="1" t="s">
        <v>93</v>
      </c>
      <c r="B5" s="1" t="s">
        <v>114</v>
      </c>
      <c r="C5" s="1" t="s">
        <v>265</v>
      </c>
      <c r="D5">
        <v>1.82</v>
      </c>
    </row>
    <row r="6" spans="1:4" x14ac:dyDescent="0.35">
      <c r="A6" s="1" t="s">
        <v>114</v>
      </c>
      <c r="B6" s="1" t="s">
        <v>131</v>
      </c>
      <c r="C6" s="1" t="s">
        <v>22</v>
      </c>
      <c r="D6" t="s">
        <v>2762</v>
      </c>
    </row>
    <row r="7" spans="1:4" x14ac:dyDescent="0.35">
      <c r="A7" s="1" t="s">
        <v>136</v>
      </c>
      <c r="B7" s="1" t="s">
        <v>152</v>
      </c>
      <c r="C7" s="1" t="s">
        <v>22</v>
      </c>
      <c r="D7" t="s">
        <v>2763</v>
      </c>
    </row>
    <row r="8" spans="1:4" x14ac:dyDescent="0.35">
      <c r="A8" s="1" t="s">
        <v>170</v>
      </c>
      <c r="B8" s="1" t="s">
        <v>195</v>
      </c>
      <c r="C8" s="1" t="s">
        <v>22</v>
      </c>
      <c r="D8">
        <v>4</v>
      </c>
    </row>
    <row r="9" spans="1:4" x14ac:dyDescent="0.35">
      <c r="A9" s="1" t="s">
        <v>221</v>
      </c>
      <c r="B9" s="1" t="s">
        <v>258</v>
      </c>
      <c r="C9" s="1" t="s">
        <v>26</v>
      </c>
      <c r="D9" t="s">
        <v>2475</v>
      </c>
    </row>
    <row r="10" spans="1:4" x14ac:dyDescent="0.35">
      <c r="A10" s="1" t="s">
        <v>272</v>
      </c>
      <c r="B10" s="1" t="s">
        <v>298</v>
      </c>
      <c r="C10" s="1" t="s">
        <v>26</v>
      </c>
      <c r="D10" t="s">
        <v>2764</v>
      </c>
    </row>
    <row r="11" spans="1:4" x14ac:dyDescent="0.35">
      <c r="A11" s="1" t="s">
        <v>337</v>
      </c>
      <c r="B11" s="1" t="s">
        <v>358</v>
      </c>
      <c r="C11" s="1" t="s">
        <v>26</v>
      </c>
      <c r="D11" t="s">
        <v>2765</v>
      </c>
    </row>
    <row r="12" spans="1:4" x14ac:dyDescent="0.35">
      <c r="A12" s="1" t="s">
        <v>407</v>
      </c>
      <c r="B12" s="1" t="s">
        <v>428</v>
      </c>
      <c r="C12" s="1" t="s">
        <v>29</v>
      </c>
      <c r="D12" t="s">
        <v>2766</v>
      </c>
    </row>
    <row r="13" spans="1:4" x14ac:dyDescent="0.35">
      <c r="A13" s="1" t="s">
        <v>473</v>
      </c>
      <c r="B13" s="1" t="s">
        <v>498</v>
      </c>
      <c r="C13" s="1" t="s">
        <v>29</v>
      </c>
      <c r="D13" t="s">
        <v>2767</v>
      </c>
    </row>
    <row r="14" spans="1:4" x14ac:dyDescent="0.35">
      <c r="A14" s="1" t="s">
        <v>608</v>
      </c>
      <c r="B14" s="1" t="s">
        <v>656</v>
      </c>
      <c r="C14" s="1" t="s">
        <v>34</v>
      </c>
      <c r="D14" t="s">
        <v>2768</v>
      </c>
    </row>
    <row r="15" spans="1:4" x14ac:dyDescent="0.35">
      <c r="A15" s="1" t="s">
        <v>739</v>
      </c>
      <c r="B15" s="1" t="s">
        <v>800</v>
      </c>
      <c r="C15" s="1" t="s">
        <v>41</v>
      </c>
      <c r="D15" t="s">
        <v>2769</v>
      </c>
    </row>
    <row r="16" spans="1:4" x14ac:dyDescent="0.35">
      <c r="A16" s="1" t="s">
        <v>866</v>
      </c>
      <c r="B16" s="1" t="s">
        <v>931</v>
      </c>
      <c r="C16" s="1" t="s">
        <v>41</v>
      </c>
      <c r="D16" t="s">
        <v>2770</v>
      </c>
    </row>
    <row r="17" spans="1:4" x14ac:dyDescent="0.35">
      <c r="A17" s="1" t="s">
        <v>996</v>
      </c>
      <c r="B17" s="1" t="s">
        <v>1077</v>
      </c>
      <c r="C17" s="1" t="s">
        <v>45</v>
      </c>
      <c r="D17" t="s">
        <v>2771</v>
      </c>
    </row>
    <row r="18" spans="1:4" x14ac:dyDescent="0.35">
      <c r="A18" s="1" t="s">
        <v>1142</v>
      </c>
      <c r="B18" s="1" t="s">
        <v>1221</v>
      </c>
      <c r="C18" s="1" t="s">
        <v>45</v>
      </c>
      <c r="D18" t="s">
        <v>2772</v>
      </c>
    </row>
    <row r="19" spans="1:4" x14ac:dyDescent="0.35">
      <c r="A19" s="1" t="s">
        <v>1428</v>
      </c>
      <c r="B19" s="1" t="s">
        <v>1512</v>
      </c>
      <c r="C19" s="1" t="s">
        <v>45</v>
      </c>
      <c r="D19" t="s">
        <v>2773</v>
      </c>
    </row>
    <row r="20" spans="1:4" x14ac:dyDescent="0.35">
      <c r="A20" s="1" t="s">
        <v>1721</v>
      </c>
      <c r="B20" s="1" t="s">
        <v>1809</v>
      </c>
      <c r="C20" s="1" t="s">
        <v>17</v>
      </c>
      <c r="D20" t="s">
        <v>2774</v>
      </c>
    </row>
    <row r="21" spans="1:4" x14ac:dyDescent="0.35">
      <c r="A21" s="1" t="s">
        <v>2021</v>
      </c>
      <c r="B21" s="1" t="s">
        <v>1969</v>
      </c>
      <c r="C21" s="1" t="s">
        <v>17</v>
      </c>
      <c r="D21" t="s">
        <v>2775</v>
      </c>
    </row>
    <row r="22" spans="1:4" x14ac:dyDescent="0.35">
      <c r="A22" s="1" t="s">
        <v>2322</v>
      </c>
      <c r="B22" s="1" t="s">
        <v>2042</v>
      </c>
      <c r="C22" s="1" t="s">
        <v>17</v>
      </c>
      <c r="D22" t="s">
        <v>2776</v>
      </c>
    </row>
    <row r="23" spans="1:4" x14ac:dyDescent="0.35">
      <c r="A23" s="1" t="s">
        <v>2371</v>
      </c>
      <c r="B23" s="1" t="s">
        <v>2155</v>
      </c>
      <c r="C23" s="1" t="s">
        <v>33</v>
      </c>
      <c r="D23" t="s">
        <v>2777</v>
      </c>
    </row>
    <row r="24" spans="1:4" x14ac:dyDescent="0.35">
      <c r="A24" s="1" t="s">
        <v>2372</v>
      </c>
      <c r="B24" s="1" t="s">
        <v>2269</v>
      </c>
      <c r="C24" s="1" t="s">
        <v>33</v>
      </c>
      <c r="D24" t="s">
        <v>2778</v>
      </c>
    </row>
    <row r="25" spans="1:4" x14ac:dyDescent="0.35">
      <c r="A25" s="1" t="s">
        <v>2758</v>
      </c>
      <c r="B25" s="1" t="s">
        <v>2306</v>
      </c>
      <c r="C25" s="1" t="s">
        <v>58</v>
      </c>
      <c r="D25" t="s">
        <v>2779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3"/>
  <sheetViews>
    <sheetView tabSelected="1" zoomScale="175" zoomScaleNormal="175" workbookViewId="0">
      <selection activeCell="J13" sqref="J13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78</v>
      </c>
      <c r="B2" s="1" t="s">
        <v>99</v>
      </c>
      <c r="C2" s="1" t="s">
        <v>22</v>
      </c>
      <c r="D2" s="1" t="s">
        <v>3676</v>
      </c>
    </row>
    <row r="3" spans="1:4" ht="15" thickBot="1" x14ac:dyDescent="0.4">
      <c r="A3" s="1" t="s">
        <v>93</v>
      </c>
      <c r="B3" s="1" t="s">
        <v>120</v>
      </c>
      <c r="C3" s="1" t="s">
        <v>22</v>
      </c>
      <c r="D3" s="1" t="s">
        <v>3675</v>
      </c>
    </row>
    <row r="4" spans="1:4" ht="16" thickBot="1" x14ac:dyDescent="0.4">
      <c r="A4" s="1" t="s">
        <v>114</v>
      </c>
      <c r="B4" s="1" t="s">
        <v>144</v>
      </c>
      <c r="C4" s="1" t="s">
        <v>2402</v>
      </c>
      <c r="D4" s="21">
        <v>3.26</v>
      </c>
    </row>
    <row r="5" spans="1:4" ht="16" thickBot="1" x14ac:dyDescent="0.4">
      <c r="A5" s="1" t="s">
        <v>136</v>
      </c>
      <c r="B5" s="1" t="s">
        <v>164</v>
      </c>
      <c r="C5" s="1" t="s">
        <v>2402</v>
      </c>
      <c r="D5" s="22">
        <v>3.76</v>
      </c>
    </row>
    <row r="6" spans="1:4" ht="16" thickBot="1" x14ac:dyDescent="0.4">
      <c r="A6" s="1" t="s">
        <v>170</v>
      </c>
      <c r="B6" s="1" t="s">
        <v>195</v>
      </c>
      <c r="C6" s="1" t="s">
        <v>22</v>
      </c>
      <c r="D6" s="22">
        <v>4.07</v>
      </c>
    </row>
    <row r="7" spans="1:4" ht="16" thickBot="1" x14ac:dyDescent="0.4">
      <c r="A7" s="1" t="s">
        <v>221</v>
      </c>
      <c r="B7" s="1" t="s">
        <v>258</v>
      </c>
      <c r="C7" s="1" t="s">
        <v>22</v>
      </c>
      <c r="D7" s="22">
        <v>5.5</v>
      </c>
    </row>
    <row r="8" spans="1:4" ht="16" thickBot="1" x14ac:dyDescent="0.4">
      <c r="A8" s="1" t="s">
        <v>272</v>
      </c>
      <c r="B8" s="1" t="s">
        <v>298</v>
      </c>
      <c r="C8" s="1" t="s">
        <v>22</v>
      </c>
      <c r="D8" s="22">
        <v>6.47</v>
      </c>
    </row>
    <row r="9" spans="1:4" ht="16" thickBot="1" x14ac:dyDescent="0.4">
      <c r="A9" s="1" t="s">
        <v>337</v>
      </c>
      <c r="B9" s="1" t="s">
        <v>358</v>
      </c>
      <c r="C9" s="1" t="s">
        <v>22</v>
      </c>
      <c r="D9" s="22">
        <v>7.9</v>
      </c>
    </row>
    <row r="10" spans="1:4" ht="16" thickBot="1" x14ac:dyDescent="0.4">
      <c r="A10" s="1" t="s">
        <v>407</v>
      </c>
      <c r="B10" s="1" t="s">
        <v>428</v>
      </c>
      <c r="C10" s="1" t="s">
        <v>26</v>
      </c>
      <c r="D10" s="22">
        <v>12.8</v>
      </c>
    </row>
    <row r="11" spans="1:4" ht="16" thickBot="1" x14ac:dyDescent="0.4">
      <c r="A11" s="1" t="s">
        <v>473</v>
      </c>
      <c r="B11" s="1" t="s">
        <v>498</v>
      </c>
      <c r="C11" s="1" t="s">
        <v>26</v>
      </c>
      <c r="D11" s="22">
        <v>15.6</v>
      </c>
    </row>
    <row r="12" spans="1:4" ht="16" thickBot="1" x14ac:dyDescent="0.4">
      <c r="A12" s="1" t="s">
        <v>608</v>
      </c>
      <c r="B12" s="1" t="s">
        <v>656</v>
      </c>
      <c r="C12" s="1" t="s">
        <v>26</v>
      </c>
      <c r="D12" s="22">
        <v>21.6</v>
      </c>
    </row>
    <row r="13" spans="1:4" ht="16" thickBot="1" x14ac:dyDescent="0.4">
      <c r="A13" s="1" t="s">
        <v>739</v>
      </c>
      <c r="B13" s="1" t="s">
        <v>800</v>
      </c>
      <c r="C13" s="1" t="s">
        <v>34</v>
      </c>
      <c r="D13" s="22">
        <v>40.200000000000003</v>
      </c>
    </row>
    <row r="14" spans="1:4" ht="16" thickBot="1" x14ac:dyDescent="0.4">
      <c r="A14" s="1" t="s">
        <v>866</v>
      </c>
      <c r="B14" s="1" t="s">
        <v>931</v>
      </c>
      <c r="C14" s="1" t="s">
        <v>34</v>
      </c>
      <c r="D14" s="22">
        <v>47.9</v>
      </c>
    </row>
    <row r="15" spans="1:4" ht="16" thickBot="1" x14ac:dyDescent="0.4">
      <c r="A15" s="1" t="s">
        <v>996</v>
      </c>
      <c r="B15" s="1" t="s">
        <v>1077</v>
      </c>
      <c r="C15" s="1" t="s">
        <v>34</v>
      </c>
      <c r="D15" s="21">
        <v>54.8</v>
      </c>
    </row>
    <row r="16" spans="1:4" ht="16" thickBot="1" x14ac:dyDescent="0.4">
      <c r="A16" s="1" t="s">
        <v>1142</v>
      </c>
      <c r="B16" s="1" t="s">
        <v>1221</v>
      </c>
      <c r="C16" s="1" t="s">
        <v>34</v>
      </c>
      <c r="D16" s="22">
        <v>62.1</v>
      </c>
    </row>
    <row r="17" spans="1:4" ht="16" thickBot="1" x14ac:dyDescent="0.4">
      <c r="A17" s="1" t="s">
        <v>1428</v>
      </c>
      <c r="B17" s="1" t="s">
        <v>1512</v>
      </c>
      <c r="C17" s="1" t="s">
        <v>34</v>
      </c>
      <c r="D17" s="22">
        <v>77.599999999999994</v>
      </c>
    </row>
    <row r="18" spans="1:4" ht="16" thickBot="1" x14ac:dyDescent="0.4">
      <c r="A18" s="1" t="s">
        <v>1721</v>
      </c>
      <c r="B18" s="1" t="s">
        <v>1809</v>
      </c>
      <c r="C18" s="1" t="s">
        <v>41</v>
      </c>
      <c r="D18" s="22">
        <v>123.1</v>
      </c>
    </row>
    <row r="19" spans="1:4" ht="16" thickBot="1" x14ac:dyDescent="0.4">
      <c r="A19" s="1" t="s">
        <v>2021</v>
      </c>
      <c r="B19" s="1" t="s">
        <v>1969</v>
      </c>
      <c r="C19" s="1" t="s">
        <v>41</v>
      </c>
      <c r="D19" s="22">
        <v>140.9</v>
      </c>
    </row>
    <row r="20" spans="1:4" ht="16" thickBot="1" x14ac:dyDescent="0.4">
      <c r="A20" s="1" t="s">
        <v>2322</v>
      </c>
      <c r="B20" s="1" t="s">
        <v>2042</v>
      </c>
      <c r="C20" s="1" t="s">
        <v>41</v>
      </c>
      <c r="D20" s="22">
        <v>160.80000000000001</v>
      </c>
    </row>
    <row r="21" spans="1:4" ht="16" thickBot="1" x14ac:dyDescent="0.4">
      <c r="A21" s="1" t="s">
        <v>2371</v>
      </c>
      <c r="B21" s="1" t="s">
        <v>2155</v>
      </c>
      <c r="C21" s="1" t="s">
        <v>17</v>
      </c>
      <c r="D21" s="22">
        <v>250.2</v>
      </c>
    </row>
    <row r="22" spans="1:4" ht="16" thickBot="1" x14ac:dyDescent="0.4">
      <c r="A22" s="1" t="s">
        <v>2372</v>
      </c>
      <c r="B22" s="1" t="s">
        <v>2269</v>
      </c>
      <c r="C22" s="1" t="s">
        <v>17</v>
      </c>
      <c r="D22" s="22">
        <v>300</v>
      </c>
    </row>
    <row r="23" spans="1:4" ht="16" thickBot="1" x14ac:dyDescent="0.4">
      <c r="A23" s="1" t="s">
        <v>2758</v>
      </c>
      <c r="B23" s="1" t="s">
        <v>2306</v>
      </c>
      <c r="C23" s="1" t="s">
        <v>17</v>
      </c>
      <c r="D23" s="22">
        <v>349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17"/>
  <sheetViews>
    <sheetView zoomScale="160" zoomScaleNormal="160" workbookViewId="0">
      <selection activeCell="K31" sqref="K31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34</v>
      </c>
      <c r="B2" s="1" t="s">
        <v>3175</v>
      </c>
      <c r="C2" s="1" t="s">
        <v>3653</v>
      </c>
      <c r="D2" s="21">
        <v>0.104</v>
      </c>
    </row>
    <row r="3" spans="1:4" ht="16" thickBot="1" x14ac:dyDescent="0.4">
      <c r="A3" s="1" t="s">
        <v>17</v>
      </c>
      <c r="B3" s="1" t="s">
        <v>3650</v>
      </c>
      <c r="C3" s="1" t="s">
        <v>3654</v>
      </c>
      <c r="D3" s="22">
        <v>0.19800000000000001</v>
      </c>
    </row>
    <row r="4" spans="1:4" ht="16" thickBot="1" x14ac:dyDescent="0.4">
      <c r="A4" s="1" t="s">
        <v>33</v>
      </c>
      <c r="B4" s="1" t="s">
        <v>2795</v>
      </c>
      <c r="C4" s="1" t="s">
        <v>3654</v>
      </c>
      <c r="D4" s="22">
        <v>0.27</v>
      </c>
    </row>
    <row r="5" spans="1:4" ht="16" thickBot="1" x14ac:dyDescent="0.4">
      <c r="A5" s="1" t="s">
        <v>61</v>
      </c>
      <c r="B5" s="1" t="s">
        <v>2678</v>
      </c>
      <c r="C5" s="1" t="s">
        <v>2529</v>
      </c>
      <c r="D5" s="22">
        <v>0.372</v>
      </c>
    </row>
    <row r="6" spans="1:4" ht="16" thickBot="1" x14ac:dyDescent="0.4">
      <c r="A6" s="1" t="s">
        <v>74</v>
      </c>
      <c r="B6" s="1" t="s">
        <v>3651</v>
      </c>
      <c r="C6" s="1" t="s">
        <v>2529</v>
      </c>
      <c r="D6" s="22">
        <v>0.45100000000000001</v>
      </c>
    </row>
    <row r="7" spans="1:4" ht="16" thickBot="1" x14ac:dyDescent="0.4">
      <c r="A7" s="1" t="s">
        <v>85</v>
      </c>
      <c r="B7" s="1" t="s">
        <v>3652</v>
      </c>
      <c r="C7" s="1" t="s">
        <v>3655</v>
      </c>
      <c r="D7" s="22">
        <v>0.67200000000000004</v>
      </c>
    </row>
    <row r="8" spans="1:4" ht="16" thickBot="1" x14ac:dyDescent="0.4">
      <c r="A8" s="1" t="s">
        <v>93</v>
      </c>
      <c r="B8" s="1" t="s">
        <v>2639</v>
      </c>
      <c r="C8" s="1" t="s">
        <v>3655</v>
      </c>
      <c r="D8" s="22">
        <v>0.77300000000000002</v>
      </c>
    </row>
    <row r="9" spans="1:4" ht="16" thickBot="1" x14ac:dyDescent="0.4">
      <c r="A9" s="1" t="s">
        <v>102</v>
      </c>
      <c r="B9" s="1" t="s">
        <v>3664</v>
      </c>
      <c r="C9" s="1" t="s">
        <v>3188</v>
      </c>
      <c r="D9" s="22">
        <v>0.96899999999999997</v>
      </c>
    </row>
    <row r="10" spans="1:4" ht="16" thickBot="1" x14ac:dyDescent="0.4">
      <c r="A10" s="1" t="s">
        <v>123</v>
      </c>
      <c r="B10" s="1" t="s">
        <v>3665</v>
      </c>
      <c r="C10" s="1" t="s">
        <v>2404</v>
      </c>
      <c r="D10" s="22">
        <v>1.3120000000000001</v>
      </c>
    </row>
    <row r="11" spans="1:4" ht="16" thickBot="1" x14ac:dyDescent="0.4">
      <c r="A11" s="1" t="s">
        <v>136</v>
      </c>
      <c r="B11" s="1" t="s">
        <v>3666</v>
      </c>
      <c r="C11" s="1" t="s">
        <v>3182</v>
      </c>
      <c r="D11" s="22">
        <v>1.69</v>
      </c>
    </row>
    <row r="12" spans="1:4" ht="16" thickBot="1" x14ac:dyDescent="0.4">
      <c r="A12" s="1" t="s">
        <v>188</v>
      </c>
      <c r="B12" s="1" t="s">
        <v>3667</v>
      </c>
      <c r="C12" s="1" t="s">
        <v>3674</v>
      </c>
      <c r="D12" s="22">
        <v>2.597</v>
      </c>
    </row>
    <row r="13" spans="1:4" ht="16" thickBot="1" x14ac:dyDescent="0.4">
      <c r="A13" s="1" t="s">
        <v>228</v>
      </c>
      <c r="B13" s="1" t="s">
        <v>3668</v>
      </c>
      <c r="C13" s="1" t="s">
        <v>3673</v>
      </c>
      <c r="D13" s="21">
        <v>3.669</v>
      </c>
    </row>
    <row r="14" spans="1:4" ht="16" thickBot="1" x14ac:dyDescent="0.4">
      <c r="A14" s="1" t="s">
        <v>272</v>
      </c>
      <c r="B14" s="1" t="s">
        <v>3669</v>
      </c>
      <c r="C14" s="1" t="s">
        <v>3672</v>
      </c>
      <c r="D14" s="22">
        <v>4.9359999999999999</v>
      </c>
    </row>
    <row r="15" spans="1:4" ht="16" thickBot="1" x14ac:dyDescent="0.4">
      <c r="A15" s="1" t="s">
        <v>310</v>
      </c>
      <c r="B15" s="1" t="s">
        <v>3671</v>
      </c>
      <c r="C15" s="1" t="s">
        <v>2527</v>
      </c>
      <c r="D15" s="22">
        <v>6.359</v>
      </c>
    </row>
    <row r="16" spans="1:4" ht="16" thickBot="1" x14ac:dyDescent="0.4">
      <c r="A16" s="1" t="s">
        <v>347</v>
      </c>
      <c r="B16" s="1" t="s">
        <v>3670</v>
      </c>
      <c r="C16" s="1" t="s">
        <v>2565</v>
      </c>
      <c r="D16" s="22">
        <v>7.952</v>
      </c>
    </row>
    <row r="17" spans="4:4" ht="16" thickBot="1" x14ac:dyDescent="0.4">
      <c r="D17" s="22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M47" sqref="M47"/>
    </sheetView>
  </sheetViews>
  <sheetFormatPr defaultRowHeight="14.5" x14ac:dyDescent="0.35"/>
  <cols>
    <col min="1" max="3" width="9.1796875" style="1"/>
  </cols>
  <sheetData>
    <row r="1" spans="1:13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13" x14ac:dyDescent="0.35">
      <c r="A2" s="11">
        <v>6</v>
      </c>
      <c r="B2" s="11">
        <v>10.199999999999999</v>
      </c>
      <c r="C2" s="11">
        <v>2</v>
      </c>
      <c r="D2" s="11">
        <v>0.4</v>
      </c>
      <c r="F2" s="11"/>
      <c r="G2" s="11"/>
      <c r="H2" s="11"/>
      <c r="I2" s="11"/>
      <c r="J2" s="11"/>
      <c r="K2" s="11"/>
      <c r="L2" s="11"/>
      <c r="M2" s="11"/>
    </row>
    <row r="3" spans="1:13" x14ac:dyDescent="0.35">
      <c r="A3" s="11">
        <v>8</v>
      </c>
      <c r="B3" s="11">
        <v>13.5</v>
      </c>
      <c r="C3" s="11">
        <v>2.2000000000000002</v>
      </c>
      <c r="D3" s="11">
        <v>0.61</v>
      </c>
      <c r="F3" s="11"/>
      <c r="G3" s="11"/>
      <c r="H3" s="11"/>
      <c r="I3" s="11"/>
      <c r="J3" s="11"/>
      <c r="K3" s="11"/>
      <c r="L3" s="11"/>
      <c r="M3" s="11"/>
    </row>
    <row r="4" spans="1:13" x14ac:dyDescent="0.35">
      <c r="A4" s="11">
        <v>10</v>
      </c>
      <c r="B4" s="11">
        <v>17</v>
      </c>
      <c r="C4" s="11">
        <v>2.2000000000000002</v>
      </c>
      <c r="D4" s="11">
        <v>0.8</v>
      </c>
      <c r="F4" s="11"/>
      <c r="G4" s="11"/>
      <c r="H4" s="11"/>
      <c r="I4" s="11"/>
      <c r="J4" s="11"/>
      <c r="K4" s="11"/>
      <c r="L4" s="11"/>
      <c r="M4" s="11"/>
    </row>
    <row r="5" spans="1:13" x14ac:dyDescent="0.35">
      <c r="A5" s="11">
        <v>15</v>
      </c>
      <c r="B5" s="11">
        <v>21.3</v>
      </c>
      <c r="C5" s="11">
        <v>2.8</v>
      </c>
      <c r="D5" s="11">
        <v>1.28</v>
      </c>
      <c r="F5" s="11"/>
      <c r="G5" s="11"/>
      <c r="H5" s="11"/>
      <c r="I5" s="11"/>
      <c r="J5" s="11"/>
      <c r="K5" s="11"/>
      <c r="L5" s="11"/>
      <c r="M5" s="11"/>
    </row>
    <row r="6" spans="1:13" x14ac:dyDescent="0.35">
      <c r="A6" s="11">
        <v>20</v>
      </c>
      <c r="B6" s="11">
        <v>26.8</v>
      </c>
      <c r="C6" s="11">
        <v>2.8</v>
      </c>
      <c r="D6" s="11">
        <v>1.66</v>
      </c>
      <c r="F6" s="11"/>
      <c r="G6" s="11"/>
      <c r="H6" s="11"/>
      <c r="I6" s="11"/>
      <c r="J6" s="11"/>
      <c r="K6" s="11"/>
      <c r="L6" s="11"/>
      <c r="M6" s="11"/>
    </row>
    <row r="7" spans="1:13" x14ac:dyDescent="0.35">
      <c r="A7" s="11">
        <v>25</v>
      </c>
      <c r="B7" s="11">
        <v>33.5</v>
      </c>
      <c r="C7" s="11">
        <v>3.2</v>
      </c>
      <c r="D7" s="11">
        <v>2.39</v>
      </c>
      <c r="F7" s="11"/>
      <c r="G7" s="11"/>
      <c r="H7" s="11"/>
      <c r="I7" s="11"/>
      <c r="J7" s="11"/>
      <c r="K7" s="11"/>
      <c r="L7" s="11"/>
      <c r="M7" s="11"/>
    </row>
    <row r="8" spans="1:13" x14ac:dyDescent="0.35">
      <c r="A8" s="11">
        <v>32</v>
      </c>
      <c r="B8" s="11">
        <v>42.3</v>
      </c>
      <c r="C8" s="11">
        <v>3.2</v>
      </c>
      <c r="D8" s="11">
        <v>3.09</v>
      </c>
      <c r="F8" s="11"/>
      <c r="G8" s="11"/>
      <c r="H8" s="11"/>
      <c r="I8" s="11"/>
      <c r="J8" s="11"/>
      <c r="K8" s="11"/>
      <c r="L8" s="11"/>
      <c r="M8" s="11"/>
    </row>
    <row r="9" spans="1:13" x14ac:dyDescent="0.35">
      <c r="A9" s="11">
        <v>40</v>
      </c>
      <c r="B9" s="11">
        <v>48</v>
      </c>
      <c r="C9" s="11">
        <v>3.5</v>
      </c>
      <c r="D9" s="11">
        <v>3.84</v>
      </c>
      <c r="F9" s="11"/>
      <c r="G9" s="11"/>
      <c r="H9" s="11"/>
      <c r="I9" s="11"/>
      <c r="J9" s="11"/>
      <c r="K9" s="11"/>
      <c r="L9" s="11"/>
      <c r="M9" s="11"/>
    </row>
    <row r="10" spans="1:13" x14ac:dyDescent="0.35">
      <c r="A10" s="11">
        <v>50</v>
      </c>
      <c r="B10" s="11">
        <v>60</v>
      </c>
      <c r="C10" s="11">
        <v>3.5</v>
      </c>
      <c r="D10" s="11">
        <v>4.88</v>
      </c>
      <c r="F10" s="11"/>
      <c r="G10" s="11"/>
      <c r="H10" s="11"/>
      <c r="I10" s="11"/>
      <c r="J10" s="11"/>
      <c r="K10" s="11"/>
      <c r="L10" s="11"/>
      <c r="M10" s="11"/>
    </row>
    <row r="11" spans="1:13" x14ac:dyDescent="0.35">
      <c r="A11" s="11">
        <v>65</v>
      </c>
      <c r="B11" s="11">
        <v>75.5</v>
      </c>
      <c r="C11" s="11">
        <v>4</v>
      </c>
      <c r="D11" s="11">
        <v>7.05</v>
      </c>
      <c r="F11" s="11"/>
      <c r="G11" s="11"/>
      <c r="H11" s="11"/>
      <c r="I11" s="11"/>
      <c r="J11" s="11"/>
      <c r="K11" s="11"/>
      <c r="L11" s="11"/>
      <c r="M11" s="11"/>
    </row>
    <row r="12" spans="1:13" x14ac:dyDescent="0.35">
      <c r="A12" s="11">
        <v>80</v>
      </c>
      <c r="B12" s="11">
        <v>88.5</v>
      </c>
      <c r="C12" s="11">
        <v>4</v>
      </c>
      <c r="D12" s="11">
        <v>8.34</v>
      </c>
      <c r="F12" s="11"/>
      <c r="G12" s="11"/>
      <c r="H12" s="11"/>
      <c r="I12" s="11"/>
      <c r="J12" s="11"/>
      <c r="K12" s="11"/>
      <c r="L12" s="11"/>
      <c r="M12" s="11"/>
    </row>
    <row r="13" spans="1:13" x14ac:dyDescent="0.35">
      <c r="A13" s="11">
        <v>90</v>
      </c>
      <c r="B13" s="11">
        <v>101.3</v>
      </c>
      <c r="C13" s="11">
        <v>4</v>
      </c>
      <c r="D13" s="11">
        <v>9.6</v>
      </c>
      <c r="F13" s="11"/>
      <c r="G13" s="11"/>
      <c r="H13" s="11"/>
      <c r="I13" s="11"/>
      <c r="J13" s="11"/>
      <c r="K13" s="11"/>
      <c r="L13" s="11"/>
      <c r="M13" s="11"/>
    </row>
    <row r="14" spans="1:13" x14ac:dyDescent="0.35">
      <c r="A14" s="11">
        <v>100</v>
      </c>
      <c r="B14" s="11">
        <v>114</v>
      </c>
      <c r="C14" s="11">
        <v>4.5</v>
      </c>
      <c r="D14" s="11">
        <v>12.15</v>
      </c>
      <c r="F14" s="11"/>
      <c r="G14" s="11"/>
      <c r="H14" s="11"/>
      <c r="I14" s="11"/>
      <c r="J14" s="11"/>
      <c r="K14" s="11"/>
      <c r="L14" s="11"/>
      <c r="M14" s="11"/>
    </row>
    <row r="15" spans="1:13" x14ac:dyDescent="0.35">
      <c r="A15" s="11">
        <v>125</v>
      </c>
      <c r="B15" s="11">
        <v>140</v>
      </c>
      <c r="C15" s="11">
        <v>4.5</v>
      </c>
      <c r="D15" s="11">
        <v>15.04</v>
      </c>
      <c r="F15" s="11"/>
      <c r="G15" s="11"/>
      <c r="H15" s="11"/>
      <c r="I15" s="11"/>
      <c r="J15" s="11"/>
      <c r="K15" s="11"/>
      <c r="L15" s="11"/>
      <c r="M15" s="11"/>
    </row>
    <row r="16" spans="1:13" x14ac:dyDescent="0.35">
      <c r="A16" s="11">
        <v>150</v>
      </c>
      <c r="B16" s="11">
        <v>165</v>
      </c>
      <c r="C16" s="11">
        <v>4.5</v>
      </c>
      <c r="D16" s="11">
        <v>17.809999999999999</v>
      </c>
      <c r="F16" s="11"/>
      <c r="G16" s="11"/>
      <c r="H16" s="11"/>
      <c r="I16" s="11"/>
      <c r="J16" s="11"/>
      <c r="K16" s="11"/>
      <c r="L16" s="11"/>
      <c r="M16" s="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2"/>
  <sheetViews>
    <sheetView topLeftCell="A16" zoomScale="175" zoomScaleNormal="175" workbookViewId="0">
      <selection activeCell="A6" sqref="A6:B7"/>
    </sheetView>
  </sheetViews>
  <sheetFormatPr defaultRowHeight="14.5" x14ac:dyDescent="0.35"/>
  <cols>
    <col min="1" max="5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136</v>
      </c>
      <c r="B2" s="1" t="s">
        <v>170</v>
      </c>
      <c r="C2" s="1" t="s">
        <v>22</v>
      </c>
      <c r="D2">
        <v>0.45600000000000002</v>
      </c>
      <c r="E2" s="1" t="s">
        <v>17</v>
      </c>
      <c r="F2" s="1" t="s">
        <v>3255</v>
      </c>
    </row>
    <row r="3" spans="1:6" x14ac:dyDescent="0.35">
      <c r="A3" s="1" t="s">
        <v>170</v>
      </c>
      <c r="B3" s="1" t="s">
        <v>214</v>
      </c>
      <c r="C3" s="1" t="s">
        <v>2462</v>
      </c>
      <c r="D3">
        <v>0.72399999999999998</v>
      </c>
      <c r="E3" s="1" t="s">
        <v>17</v>
      </c>
      <c r="F3" s="1" t="s">
        <v>3255</v>
      </c>
    </row>
    <row r="4" spans="1:6" x14ac:dyDescent="0.35">
      <c r="A4" s="1" t="s">
        <v>221</v>
      </c>
      <c r="B4" s="1" t="s">
        <v>255</v>
      </c>
      <c r="C4" s="1" t="s">
        <v>2410</v>
      </c>
      <c r="D4">
        <v>1.02</v>
      </c>
      <c r="E4" s="1" t="s">
        <v>17</v>
      </c>
      <c r="F4" s="1" t="s">
        <v>3255</v>
      </c>
    </row>
    <row r="5" spans="1:6" x14ac:dyDescent="0.35">
      <c r="A5" s="1" t="s">
        <v>272</v>
      </c>
      <c r="B5" s="1" t="s">
        <v>302</v>
      </c>
      <c r="C5" s="1" t="s">
        <v>2469</v>
      </c>
      <c r="D5">
        <v>1.48</v>
      </c>
      <c r="E5" s="1" t="s">
        <v>17</v>
      </c>
      <c r="F5" s="1" t="s">
        <v>3255</v>
      </c>
    </row>
    <row r="6" spans="1:6" x14ac:dyDescent="0.35">
      <c r="A6" s="1" t="s">
        <v>337</v>
      </c>
      <c r="B6" s="1" t="s">
        <v>364</v>
      </c>
      <c r="C6" s="1" t="s">
        <v>2420</v>
      </c>
      <c r="D6">
        <v>2.19</v>
      </c>
      <c r="E6" s="1" t="s">
        <v>17</v>
      </c>
      <c r="F6" s="1" t="s">
        <v>3255</v>
      </c>
    </row>
    <row r="7" spans="1:6" x14ac:dyDescent="0.35">
      <c r="A7" s="1" t="s">
        <v>337</v>
      </c>
      <c r="B7" s="1" t="s">
        <v>407</v>
      </c>
      <c r="C7" s="1" t="s">
        <v>2466</v>
      </c>
      <c r="D7">
        <v>2.81</v>
      </c>
      <c r="E7" s="1" t="s">
        <v>17</v>
      </c>
      <c r="F7" s="1" t="s">
        <v>3255</v>
      </c>
    </row>
    <row r="8" spans="1:6" x14ac:dyDescent="0.35">
      <c r="A8" s="1" t="s">
        <v>407</v>
      </c>
      <c r="B8" s="1" t="s">
        <v>447</v>
      </c>
      <c r="C8" s="1" t="s">
        <v>2488</v>
      </c>
      <c r="D8">
        <v>3.52</v>
      </c>
      <c r="E8" s="1" t="s">
        <v>17</v>
      </c>
      <c r="F8" s="1" t="s">
        <v>3255</v>
      </c>
    </row>
    <row r="9" spans="1:6" x14ac:dyDescent="0.35">
      <c r="A9" s="1" t="s">
        <v>473</v>
      </c>
      <c r="B9" s="1" t="s">
        <v>501</v>
      </c>
      <c r="C9" s="1" t="s">
        <v>3258</v>
      </c>
      <c r="D9">
        <v>4.5999999999999996</v>
      </c>
      <c r="E9" s="1" t="s">
        <v>17</v>
      </c>
      <c r="F9" s="1" t="s">
        <v>3255</v>
      </c>
    </row>
    <row r="10" spans="1:6" x14ac:dyDescent="0.35">
      <c r="A10" s="1" t="s">
        <v>473</v>
      </c>
      <c r="B10" s="1" t="s">
        <v>555</v>
      </c>
      <c r="C10" s="1" t="s">
        <v>2615</v>
      </c>
      <c r="D10">
        <v>5.83</v>
      </c>
      <c r="E10" s="1" t="s">
        <v>17</v>
      </c>
      <c r="F10" s="1" t="s">
        <v>3255</v>
      </c>
    </row>
    <row r="11" spans="1:6" x14ac:dyDescent="0.35">
      <c r="A11" s="1" t="s">
        <v>608</v>
      </c>
      <c r="B11" s="1" t="s">
        <v>608</v>
      </c>
      <c r="C11" s="1" t="s">
        <v>3236</v>
      </c>
      <c r="D11">
        <v>7.18</v>
      </c>
      <c r="E11" s="1" t="s">
        <v>17</v>
      </c>
      <c r="F11" s="1" t="s">
        <v>3255</v>
      </c>
    </row>
    <row r="12" spans="1:6" x14ac:dyDescent="0.35">
      <c r="A12" s="1" t="s">
        <v>608</v>
      </c>
      <c r="B12" s="1" t="s">
        <v>673</v>
      </c>
      <c r="C12" s="1" t="s">
        <v>2671</v>
      </c>
      <c r="D12">
        <v>9.1199999999999992</v>
      </c>
      <c r="E12" s="1" t="s">
        <v>17</v>
      </c>
      <c r="F12" s="1" t="s">
        <v>3255</v>
      </c>
    </row>
    <row r="13" spans="1:6" x14ac:dyDescent="0.35">
      <c r="A13" s="1" t="s">
        <v>739</v>
      </c>
      <c r="B13" s="1" t="s">
        <v>739</v>
      </c>
      <c r="C13" s="1" t="s">
        <v>2672</v>
      </c>
      <c r="D13">
        <v>11.2</v>
      </c>
      <c r="E13" s="1" t="s">
        <v>17</v>
      </c>
      <c r="F13" s="1" t="s">
        <v>3255</v>
      </c>
    </row>
    <row r="14" spans="1:6" x14ac:dyDescent="0.35">
      <c r="A14" s="1" t="s">
        <v>739</v>
      </c>
      <c r="B14" s="1" t="s">
        <v>818</v>
      </c>
      <c r="C14" s="1" t="s">
        <v>3259</v>
      </c>
      <c r="D14">
        <v>14</v>
      </c>
      <c r="E14" s="1" t="s">
        <v>17</v>
      </c>
      <c r="F14" s="1" t="s">
        <v>3255</v>
      </c>
    </row>
    <row r="15" spans="1:6" x14ac:dyDescent="0.35">
      <c r="A15" s="1" t="s">
        <v>866</v>
      </c>
      <c r="B15" s="1" t="s">
        <v>907</v>
      </c>
      <c r="C15" s="1" t="s">
        <v>3260</v>
      </c>
      <c r="D15">
        <v>17.8</v>
      </c>
      <c r="E15" s="1" t="s">
        <v>17</v>
      </c>
      <c r="F15" s="1" t="s">
        <v>3255</v>
      </c>
    </row>
    <row r="16" spans="1:6" x14ac:dyDescent="0.35">
      <c r="A16" s="1" t="s">
        <v>996</v>
      </c>
      <c r="B16" s="1" t="s">
        <v>1009</v>
      </c>
      <c r="C16" s="1" t="s">
        <v>3211</v>
      </c>
      <c r="D16">
        <v>22.6</v>
      </c>
      <c r="E16" s="1" t="s">
        <v>17</v>
      </c>
      <c r="F16" s="1" t="s">
        <v>3255</v>
      </c>
    </row>
    <row r="17" spans="1:6" x14ac:dyDescent="0.35">
      <c r="A17" s="1" t="s">
        <v>1142</v>
      </c>
      <c r="B17" s="1" t="s">
        <v>1142</v>
      </c>
      <c r="C17" s="1" t="s">
        <v>2703</v>
      </c>
      <c r="D17">
        <v>28.6</v>
      </c>
      <c r="E17" s="1" t="s">
        <v>17</v>
      </c>
      <c r="F17" s="1" t="s">
        <v>3255</v>
      </c>
    </row>
    <row r="18" spans="1:6" x14ac:dyDescent="0.35">
      <c r="A18" s="1" t="s">
        <v>1428</v>
      </c>
      <c r="B18" s="1" t="s">
        <v>1288</v>
      </c>
      <c r="C18" s="1" t="s">
        <v>3245</v>
      </c>
      <c r="D18">
        <v>36.299999999999997</v>
      </c>
      <c r="E18" s="1" t="s">
        <v>17</v>
      </c>
      <c r="F18" s="1" t="s">
        <v>3255</v>
      </c>
    </row>
    <row r="19" spans="1:6" x14ac:dyDescent="0.35">
      <c r="A19" s="1" t="s">
        <v>1428</v>
      </c>
      <c r="B19" s="1" t="s">
        <v>1428</v>
      </c>
      <c r="C19" s="1" t="s">
        <v>2815</v>
      </c>
      <c r="D19" s="1" t="s">
        <v>3267</v>
      </c>
      <c r="E19" s="1" t="s">
        <v>17</v>
      </c>
      <c r="F19" s="1" t="s">
        <v>3255</v>
      </c>
    </row>
    <row r="20" spans="1:6" x14ac:dyDescent="0.35">
      <c r="A20" s="1" t="s">
        <v>1721</v>
      </c>
      <c r="B20" s="1" t="s">
        <v>1600</v>
      </c>
      <c r="C20" s="1" t="s">
        <v>3261</v>
      </c>
      <c r="D20">
        <v>56.1</v>
      </c>
      <c r="E20" s="1" t="s">
        <v>17</v>
      </c>
      <c r="F20" s="1" t="s">
        <v>3255</v>
      </c>
    </row>
    <row r="21" spans="1:6" x14ac:dyDescent="0.35">
      <c r="A21" s="1" t="s">
        <v>1721</v>
      </c>
      <c r="B21" s="1" t="s">
        <v>1809</v>
      </c>
      <c r="C21" s="1" t="s">
        <v>3262</v>
      </c>
      <c r="D21">
        <v>71.2</v>
      </c>
      <c r="E21" s="1" t="s">
        <v>17</v>
      </c>
      <c r="F21" s="1" t="s">
        <v>3255</v>
      </c>
    </row>
    <row r="22" spans="1:6" x14ac:dyDescent="0.35">
      <c r="A22" s="1" t="s">
        <v>2021</v>
      </c>
      <c r="B22" s="1" t="s">
        <v>2051</v>
      </c>
      <c r="C22" s="1" t="s">
        <v>3263</v>
      </c>
      <c r="D22">
        <v>90.3</v>
      </c>
      <c r="E22" s="1" t="s">
        <v>17</v>
      </c>
      <c r="F22" s="1" t="s">
        <v>3255</v>
      </c>
    </row>
    <row r="23" spans="1:6" x14ac:dyDescent="0.35">
      <c r="A23" s="1" t="s">
        <v>2322</v>
      </c>
      <c r="B23" s="1" t="s">
        <v>2322</v>
      </c>
      <c r="C23" s="1" t="s">
        <v>3264</v>
      </c>
      <c r="D23">
        <v>114.5</v>
      </c>
      <c r="E23" s="1" t="s">
        <v>17</v>
      </c>
      <c r="F23" s="1" t="s">
        <v>3255</v>
      </c>
    </row>
    <row r="24" spans="1:6" x14ac:dyDescent="0.35">
      <c r="A24" s="1" t="s">
        <v>3257</v>
      </c>
      <c r="B24" s="1" t="s">
        <v>3257</v>
      </c>
      <c r="C24" s="1" t="s">
        <v>2989</v>
      </c>
      <c r="D24">
        <v>144.69999999999999</v>
      </c>
      <c r="E24" s="1" t="s">
        <v>17</v>
      </c>
      <c r="F24" s="1" t="s">
        <v>3255</v>
      </c>
    </row>
    <row r="25" spans="1:6" x14ac:dyDescent="0.35">
      <c r="A25" s="1" t="s">
        <v>2371</v>
      </c>
      <c r="B25" s="1" t="s">
        <v>2371</v>
      </c>
      <c r="C25" s="1" t="s">
        <v>3265</v>
      </c>
      <c r="D25">
        <v>178.9</v>
      </c>
      <c r="E25" s="1" t="s">
        <v>17</v>
      </c>
      <c r="F25" s="1" t="s">
        <v>3255</v>
      </c>
    </row>
    <row r="26" spans="1:6" x14ac:dyDescent="0.35">
      <c r="A26" s="1" t="s">
        <v>136</v>
      </c>
      <c r="B26" s="1" t="s">
        <v>170</v>
      </c>
      <c r="C26" s="1" t="s">
        <v>2412</v>
      </c>
      <c r="D26">
        <v>0.45600000000000002</v>
      </c>
      <c r="E26" s="1" t="s">
        <v>2389</v>
      </c>
      <c r="F26" s="1" t="s">
        <v>3256</v>
      </c>
    </row>
    <row r="27" spans="1:6" x14ac:dyDescent="0.35">
      <c r="A27" s="1" t="s">
        <v>170</v>
      </c>
      <c r="B27" s="1" t="s">
        <v>214</v>
      </c>
      <c r="C27" s="1" t="s">
        <v>2459</v>
      </c>
      <c r="D27">
        <v>0.72399999999999998</v>
      </c>
      <c r="E27" s="1" t="s">
        <v>2389</v>
      </c>
      <c r="F27" s="1" t="s">
        <v>3256</v>
      </c>
    </row>
    <row r="28" spans="1:6" x14ac:dyDescent="0.35">
      <c r="A28" s="1" t="s">
        <v>221</v>
      </c>
      <c r="B28" s="1" t="s">
        <v>255</v>
      </c>
      <c r="C28" s="1" t="s">
        <v>2473</v>
      </c>
      <c r="D28">
        <v>1.02</v>
      </c>
      <c r="E28" s="1" t="s">
        <v>2389</v>
      </c>
      <c r="F28" s="1" t="s">
        <v>3256</v>
      </c>
    </row>
    <row r="29" spans="1:6" x14ac:dyDescent="0.35">
      <c r="A29" s="1" t="s">
        <v>272</v>
      </c>
      <c r="B29" s="1" t="s">
        <v>302</v>
      </c>
      <c r="C29" s="1" t="s">
        <v>2470</v>
      </c>
      <c r="D29">
        <v>1.48</v>
      </c>
      <c r="E29" s="1" t="s">
        <v>2389</v>
      </c>
      <c r="F29" s="1" t="s">
        <v>3256</v>
      </c>
    </row>
    <row r="30" spans="1:6" x14ac:dyDescent="0.35">
      <c r="A30" s="1" t="s">
        <v>337</v>
      </c>
      <c r="B30" s="1" t="s">
        <v>364</v>
      </c>
      <c r="C30" s="1" t="s">
        <v>2471</v>
      </c>
      <c r="D30">
        <v>2.19</v>
      </c>
      <c r="E30" s="1" t="s">
        <v>2389</v>
      </c>
      <c r="F30" s="1" t="s">
        <v>3256</v>
      </c>
    </row>
    <row r="31" spans="1:6" x14ac:dyDescent="0.35">
      <c r="A31" s="1" t="s">
        <v>337</v>
      </c>
      <c r="B31" s="1" t="s">
        <v>407</v>
      </c>
      <c r="C31" s="1" t="s">
        <v>3173</v>
      </c>
      <c r="D31">
        <v>2.81</v>
      </c>
      <c r="E31" s="1" t="s">
        <v>2389</v>
      </c>
      <c r="F31" s="1" t="s">
        <v>3256</v>
      </c>
    </row>
    <row r="32" spans="1:6" x14ac:dyDescent="0.35">
      <c r="A32" s="1" t="s">
        <v>407</v>
      </c>
      <c r="B32" s="1" t="s">
        <v>447</v>
      </c>
      <c r="C32" s="1" t="s">
        <v>2665</v>
      </c>
      <c r="D32">
        <v>3.52</v>
      </c>
      <c r="E32" s="1" t="s">
        <v>2389</v>
      </c>
      <c r="F32" s="1" t="s">
        <v>3256</v>
      </c>
    </row>
    <row r="33" spans="1:6" x14ac:dyDescent="0.35">
      <c r="A33" s="1" t="s">
        <v>473</v>
      </c>
      <c r="B33" s="1" t="s">
        <v>501</v>
      </c>
      <c r="C33" s="1" t="s">
        <v>2648</v>
      </c>
      <c r="D33">
        <v>4.5999999999999996</v>
      </c>
      <c r="E33" s="1" t="s">
        <v>2389</v>
      </c>
      <c r="F33" s="1" t="s">
        <v>3256</v>
      </c>
    </row>
    <row r="34" spans="1:6" x14ac:dyDescent="0.35">
      <c r="A34" s="1" t="s">
        <v>473</v>
      </c>
      <c r="B34" s="1" t="s">
        <v>555</v>
      </c>
      <c r="C34" s="1" t="s">
        <v>2642</v>
      </c>
      <c r="D34">
        <v>5.83</v>
      </c>
      <c r="E34" s="1" t="s">
        <v>2389</v>
      </c>
      <c r="F34" s="1" t="s">
        <v>3256</v>
      </c>
    </row>
    <row r="35" spans="1:6" x14ac:dyDescent="0.35">
      <c r="A35" s="1" t="s">
        <v>608</v>
      </c>
      <c r="B35" s="1" t="s">
        <v>608</v>
      </c>
      <c r="C35" s="1" t="s">
        <v>3268</v>
      </c>
      <c r="D35">
        <v>7.18</v>
      </c>
      <c r="E35" s="1" t="s">
        <v>2389</v>
      </c>
      <c r="F35" s="1" t="s">
        <v>3256</v>
      </c>
    </row>
    <row r="36" spans="1:6" x14ac:dyDescent="0.35">
      <c r="A36" s="1" t="s">
        <v>608</v>
      </c>
      <c r="B36" s="1" t="s">
        <v>673</v>
      </c>
      <c r="C36" s="1" t="s">
        <v>3259</v>
      </c>
      <c r="D36">
        <v>9.1199999999999992</v>
      </c>
      <c r="E36" s="1" t="s">
        <v>2389</v>
      </c>
      <c r="F36" s="1" t="s">
        <v>3256</v>
      </c>
    </row>
    <row r="37" spans="1:6" x14ac:dyDescent="0.35">
      <c r="A37" s="1" t="s">
        <v>739</v>
      </c>
      <c r="B37" s="1" t="s">
        <v>739</v>
      </c>
      <c r="C37" s="1" t="s">
        <v>2428</v>
      </c>
      <c r="D37">
        <v>11.2</v>
      </c>
      <c r="E37" s="1" t="s">
        <v>2389</v>
      </c>
      <c r="F37" s="1" t="s">
        <v>3256</v>
      </c>
    </row>
    <row r="38" spans="1:6" x14ac:dyDescent="0.35">
      <c r="A38" s="1" t="s">
        <v>739</v>
      </c>
      <c r="B38" s="1" t="s">
        <v>818</v>
      </c>
      <c r="C38" s="1" t="s">
        <v>2695</v>
      </c>
      <c r="D38">
        <v>14</v>
      </c>
      <c r="E38" s="1" t="s">
        <v>2389</v>
      </c>
      <c r="F38" s="1" t="s">
        <v>3256</v>
      </c>
    </row>
    <row r="39" spans="1:6" x14ac:dyDescent="0.35">
      <c r="A39" s="1" t="s">
        <v>866</v>
      </c>
      <c r="B39" s="1" t="s">
        <v>907</v>
      </c>
      <c r="C39" s="1" t="s">
        <v>3230</v>
      </c>
      <c r="D39">
        <v>17.8</v>
      </c>
      <c r="E39" s="1" t="s">
        <v>2389</v>
      </c>
      <c r="F39" s="1" t="s">
        <v>3256</v>
      </c>
    </row>
    <row r="40" spans="1:6" x14ac:dyDescent="0.35">
      <c r="A40" s="1" t="s">
        <v>996</v>
      </c>
      <c r="B40" s="1" t="s">
        <v>1009</v>
      </c>
      <c r="C40" s="1" t="s">
        <v>3269</v>
      </c>
      <c r="D40">
        <v>22.6</v>
      </c>
      <c r="E40" s="1" t="s">
        <v>2389</v>
      </c>
      <c r="F40" s="1" t="s">
        <v>3256</v>
      </c>
    </row>
    <row r="41" spans="1:6" x14ac:dyDescent="0.35">
      <c r="A41" s="1" t="s">
        <v>1142</v>
      </c>
      <c r="B41" s="1" t="s">
        <v>1142</v>
      </c>
      <c r="C41" s="1" t="s">
        <v>3270</v>
      </c>
      <c r="D41">
        <v>28.6</v>
      </c>
      <c r="E41" s="1" t="s">
        <v>2389</v>
      </c>
      <c r="F41" s="1" t="s">
        <v>3256</v>
      </c>
    </row>
    <row r="42" spans="1:6" x14ac:dyDescent="0.35">
      <c r="A42" s="1" t="s">
        <v>1428</v>
      </c>
      <c r="B42" s="1" t="s">
        <v>1288</v>
      </c>
      <c r="C42" s="1" t="s">
        <v>2685</v>
      </c>
      <c r="D42">
        <v>36.299999999999997</v>
      </c>
      <c r="E42" s="1" t="s">
        <v>2389</v>
      </c>
      <c r="F42" s="1" t="s">
        <v>3256</v>
      </c>
    </row>
    <row r="43" spans="1:6" x14ac:dyDescent="0.35">
      <c r="A43" s="1" t="s">
        <v>1428</v>
      </c>
      <c r="B43" s="1" t="s">
        <v>1428</v>
      </c>
      <c r="C43" s="1" t="s">
        <v>3271</v>
      </c>
      <c r="D43" s="1" t="s">
        <v>3267</v>
      </c>
      <c r="E43" s="1" t="s">
        <v>2389</v>
      </c>
      <c r="F43" s="1" t="s">
        <v>3256</v>
      </c>
    </row>
    <row r="44" spans="1:6" x14ac:dyDescent="0.35">
      <c r="A44" s="1" t="s">
        <v>1721</v>
      </c>
      <c r="B44" s="1" t="s">
        <v>1600</v>
      </c>
      <c r="C44" s="1" t="s">
        <v>3272</v>
      </c>
      <c r="D44">
        <v>56.1</v>
      </c>
      <c r="E44" s="1" t="s">
        <v>2389</v>
      </c>
      <c r="F44" s="1" t="s">
        <v>3256</v>
      </c>
    </row>
    <row r="45" spans="1:6" x14ac:dyDescent="0.35">
      <c r="A45" s="1" t="s">
        <v>1721</v>
      </c>
      <c r="B45" s="1" t="s">
        <v>1809</v>
      </c>
      <c r="C45" s="1" t="s">
        <v>3273</v>
      </c>
      <c r="D45">
        <v>71.2</v>
      </c>
      <c r="E45" s="1" t="s">
        <v>2389</v>
      </c>
      <c r="F45" s="1" t="s">
        <v>3256</v>
      </c>
    </row>
    <row r="46" spans="1:6" x14ac:dyDescent="0.35">
      <c r="A46" s="1" t="s">
        <v>2021</v>
      </c>
      <c r="B46" s="1" t="s">
        <v>2051</v>
      </c>
      <c r="C46" s="1" t="s">
        <v>3274</v>
      </c>
      <c r="D46">
        <v>90.3</v>
      </c>
      <c r="E46" s="1" t="s">
        <v>2389</v>
      </c>
      <c r="F46" s="1" t="s">
        <v>3256</v>
      </c>
    </row>
    <row r="47" spans="1:6" x14ac:dyDescent="0.35">
      <c r="A47" s="1" t="s">
        <v>2322</v>
      </c>
      <c r="B47" s="1" t="s">
        <v>2322</v>
      </c>
      <c r="C47" s="1" t="s">
        <v>3275</v>
      </c>
      <c r="D47">
        <v>114.5</v>
      </c>
      <c r="E47" s="1" t="s">
        <v>2389</v>
      </c>
      <c r="F47" s="1" t="s">
        <v>3256</v>
      </c>
    </row>
    <row r="48" spans="1:6" x14ac:dyDescent="0.35">
      <c r="D48"/>
      <c r="F48" s="1"/>
    </row>
    <row r="49" spans="4:6" x14ac:dyDescent="0.35">
      <c r="D49"/>
      <c r="F49" s="1"/>
    </row>
    <row r="50" spans="4:6" x14ac:dyDescent="0.35">
      <c r="D50"/>
      <c r="F50" s="1"/>
    </row>
    <row r="51" spans="4:6" x14ac:dyDescent="0.35">
      <c r="D51"/>
      <c r="F51" s="1"/>
    </row>
    <row r="52" spans="4:6" x14ac:dyDescent="0.35">
      <c r="D52"/>
      <c r="F52" s="1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BA4-A934-4421-A423-09E22256CD46}">
  <sheetPr codeName="Лист29"/>
  <dimension ref="A1:H38"/>
  <sheetViews>
    <sheetView zoomScale="235" zoomScaleNormal="235" workbookViewId="0">
      <selection activeCell="H8" sqref="H8"/>
    </sheetView>
  </sheetViews>
  <sheetFormatPr defaultRowHeight="14.5" x14ac:dyDescent="0.35"/>
  <cols>
    <col min="1" max="5" width="9.1796875" style="1"/>
  </cols>
  <sheetData>
    <row r="1" spans="1:8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</row>
    <row r="2" spans="1:8" x14ac:dyDescent="0.35">
      <c r="A2" s="1" t="s">
        <v>61</v>
      </c>
      <c r="B2" s="1" t="s">
        <v>78</v>
      </c>
      <c r="C2" s="1" t="s">
        <v>2449</v>
      </c>
      <c r="D2" s="1" t="s">
        <v>3656</v>
      </c>
      <c r="E2" s="1" t="s">
        <v>17</v>
      </c>
    </row>
    <row r="3" spans="1:8" x14ac:dyDescent="0.35">
      <c r="A3" s="1" t="s">
        <v>78</v>
      </c>
      <c r="B3" s="1" t="s">
        <v>93</v>
      </c>
      <c r="C3" s="1" t="s">
        <v>2451</v>
      </c>
      <c r="D3" s="1" t="s">
        <v>3657</v>
      </c>
      <c r="E3" s="1" t="s">
        <v>17</v>
      </c>
      <c r="F3" s="1"/>
    </row>
    <row r="4" spans="1:8" x14ac:dyDescent="0.35">
      <c r="A4" s="1" t="s">
        <v>93</v>
      </c>
      <c r="B4" s="1" t="s">
        <v>114</v>
      </c>
      <c r="C4" s="1" t="s">
        <v>2415</v>
      </c>
      <c r="D4" s="1" t="s">
        <v>3658</v>
      </c>
      <c r="E4" s="1" t="s">
        <v>17</v>
      </c>
      <c r="F4" s="1"/>
    </row>
    <row r="5" spans="1:8" x14ac:dyDescent="0.35">
      <c r="A5" s="1" t="s">
        <v>114</v>
      </c>
      <c r="B5" s="1" t="s">
        <v>136</v>
      </c>
      <c r="C5" s="1" t="s">
        <v>2412</v>
      </c>
      <c r="D5">
        <v>0.41199999999999998</v>
      </c>
      <c r="E5" s="1" t="s">
        <v>17</v>
      </c>
      <c r="F5" s="1"/>
      <c r="G5" s="1"/>
      <c r="H5" s="1"/>
    </row>
    <row r="6" spans="1:8" x14ac:dyDescent="0.35">
      <c r="A6" s="1" t="s">
        <v>136</v>
      </c>
      <c r="B6" s="1" t="s">
        <v>170</v>
      </c>
      <c r="C6" s="1" t="s">
        <v>2485</v>
      </c>
      <c r="D6">
        <v>0.63800000000000001</v>
      </c>
      <c r="E6" s="1" t="s">
        <v>17</v>
      </c>
      <c r="F6" s="1"/>
    </row>
    <row r="7" spans="1:8" x14ac:dyDescent="0.35">
      <c r="A7" s="1" t="s">
        <v>170</v>
      </c>
      <c r="B7" s="1" t="s">
        <v>214</v>
      </c>
      <c r="C7" s="1" t="s">
        <v>2461</v>
      </c>
      <c r="D7">
        <v>1.01</v>
      </c>
      <c r="E7" s="1" t="s">
        <v>17</v>
      </c>
      <c r="F7" s="1"/>
    </row>
    <row r="8" spans="1:8" x14ac:dyDescent="0.35">
      <c r="A8" s="1" t="s">
        <v>221</v>
      </c>
      <c r="B8" s="1" t="s">
        <v>255</v>
      </c>
      <c r="C8" s="1" t="s">
        <v>2418</v>
      </c>
      <c r="D8">
        <v>1.41</v>
      </c>
      <c r="E8" s="1" t="s">
        <v>17</v>
      </c>
      <c r="F8" s="1"/>
    </row>
    <row r="9" spans="1:8" x14ac:dyDescent="0.35">
      <c r="A9" s="1" t="s">
        <v>272</v>
      </c>
      <c r="B9" s="1" t="s">
        <v>302</v>
      </c>
      <c r="C9" s="1" t="s">
        <v>2467</v>
      </c>
      <c r="D9">
        <v>2.0299999999999998</v>
      </c>
      <c r="E9" s="1" t="s">
        <v>17</v>
      </c>
      <c r="F9" s="1"/>
    </row>
    <row r="10" spans="1:8" x14ac:dyDescent="0.35">
      <c r="A10" s="1" t="s">
        <v>337</v>
      </c>
      <c r="B10" s="1" t="s">
        <v>364</v>
      </c>
      <c r="C10" s="1" t="s">
        <v>17</v>
      </c>
      <c r="D10">
        <v>3.01</v>
      </c>
      <c r="E10" s="1" t="s">
        <v>17</v>
      </c>
      <c r="F10" s="1"/>
    </row>
    <row r="11" spans="1:8" x14ac:dyDescent="0.35">
      <c r="A11" s="1" t="s">
        <v>337</v>
      </c>
      <c r="B11" s="1" t="s">
        <v>407</v>
      </c>
      <c r="C11" s="1" t="s">
        <v>2647</v>
      </c>
      <c r="D11">
        <v>3.91</v>
      </c>
      <c r="E11" s="1" t="s">
        <v>17</v>
      </c>
      <c r="F11" s="1"/>
    </row>
    <row r="12" spans="1:8" x14ac:dyDescent="0.35">
      <c r="A12" s="1" t="s">
        <v>473</v>
      </c>
      <c r="B12" s="1" t="s">
        <v>501</v>
      </c>
      <c r="C12" s="1" t="s">
        <v>2660</v>
      </c>
      <c r="D12">
        <v>6.3</v>
      </c>
      <c r="E12" s="1" t="s">
        <v>17</v>
      </c>
      <c r="F12" s="1"/>
    </row>
    <row r="13" spans="1:8" x14ac:dyDescent="0.35">
      <c r="A13" s="1" t="s">
        <v>61</v>
      </c>
      <c r="B13" s="1" t="s">
        <v>78</v>
      </c>
      <c r="C13" s="1" t="s">
        <v>2454</v>
      </c>
      <c r="D13" s="1" t="s">
        <v>3659</v>
      </c>
      <c r="E13" s="1" t="s">
        <v>78</v>
      </c>
    </row>
    <row r="14" spans="1:8" x14ac:dyDescent="0.35">
      <c r="A14" s="1" t="s">
        <v>78</v>
      </c>
      <c r="B14" s="1" t="s">
        <v>93</v>
      </c>
      <c r="C14" s="1" t="s">
        <v>3170</v>
      </c>
      <c r="D14" s="1" t="s">
        <v>3660</v>
      </c>
      <c r="E14" s="1" t="s">
        <v>78</v>
      </c>
    </row>
    <row r="15" spans="1:8" x14ac:dyDescent="0.35">
      <c r="A15" s="1" t="s">
        <v>93</v>
      </c>
      <c r="B15" s="1" t="s">
        <v>114</v>
      </c>
      <c r="C15" s="1" t="s">
        <v>2469</v>
      </c>
      <c r="D15" s="1" t="s">
        <v>3661</v>
      </c>
      <c r="E15" s="1" t="s">
        <v>78</v>
      </c>
    </row>
    <row r="16" spans="1:8" x14ac:dyDescent="0.35">
      <c r="A16" s="1" t="s">
        <v>114</v>
      </c>
      <c r="B16" s="1" t="s">
        <v>136</v>
      </c>
      <c r="C16" s="1" t="s">
        <v>2470</v>
      </c>
      <c r="D16">
        <v>0.67100000000000004</v>
      </c>
      <c r="E16" s="1" t="s">
        <v>78</v>
      </c>
    </row>
    <row r="17" spans="1:5" x14ac:dyDescent="0.35">
      <c r="A17" s="1" t="s">
        <v>136</v>
      </c>
      <c r="B17" s="1" t="s">
        <v>170</v>
      </c>
      <c r="C17" s="1" t="s">
        <v>2488</v>
      </c>
      <c r="D17">
        <v>1.04</v>
      </c>
      <c r="E17" s="1" t="s">
        <v>78</v>
      </c>
    </row>
    <row r="18" spans="1:5" x14ac:dyDescent="0.35">
      <c r="A18" s="1" t="s">
        <v>170</v>
      </c>
      <c r="B18" s="1" t="s">
        <v>214</v>
      </c>
      <c r="C18" s="1" t="s">
        <v>2602</v>
      </c>
      <c r="D18">
        <v>1.65</v>
      </c>
      <c r="E18" s="1" t="s">
        <v>78</v>
      </c>
    </row>
    <row r="19" spans="1:5" x14ac:dyDescent="0.35">
      <c r="A19" s="1" t="s">
        <v>221</v>
      </c>
      <c r="B19" s="1" t="s">
        <v>255</v>
      </c>
      <c r="C19" s="1" t="s">
        <v>2389</v>
      </c>
      <c r="D19">
        <v>2.34</v>
      </c>
      <c r="E19" s="1" t="s">
        <v>78</v>
      </c>
    </row>
    <row r="20" spans="1:5" x14ac:dyDescent="0.35">
      <c r="A20" s="1" t="s">
        <v>272</v>
      </c>
      <c r="B20" s="1" t="s">
        <v>302</v>
      </c>
      <c r="C20" s="1" t="s">
        <v>152</v>
      </c>
      <c r="D20">
        <v>3.36</v>
      </c>
      <c r="E20" s="1" t="s">
        <v>78</v>
      </c>
    </row>
    <row r="21" spans="1:5" x14ac:dyDescent="0.35">
      <c r="A21" s="1" t="s">
        <v>337</v>
      </c>
      <c r="B21" s="1" t="s">
        <v>364</v>
      </c>
      <c r="C21" s="1" t="s">
        <v>3662</v>
      </c>
      <c r="D21">
        <v>5.01</v>
      </c>
      <c r="E21" s="1" t="s">
        <v>78</v>
      </c>
    </row>
    <row r="22" spans="1:5" x14ac:dyDescent="0.35">
      <c r="A22" s="1" t="s">
        <v>337</v>
      </c>
      <c r="B22" s="1" t="s">
        <v>407</v>
      </c>
      <c r="C22" s="1" t="s">
        <v>3663</v>
      </c>
      <c r="D22">
        <v>6.47</v>
      </c>
      <c r="E22" s="1" t="s">
        <v>78</v>
      </c>
    </row>
    <row r="23" spans="1:5" x14ac:dyDescent="0.35">
      <c r="A23" s="1" t="s">
        <v>473</v>
      </c>
      <c r="B23" s="1" t="s">
        <v>501</v>
      </c>
      <c r="C23" s="1" t="s">
        <v>2427</v>
      </c>
      <c r="D23">
        <v>10.53</v>
      </c>
      <c r="E23" s="1" t="s">
        <v>78</v>
      </c>
    </row>
    <row r="24" spans="1:5" x14ac:dyDescent="0.35">
      <c r="D24"/>
    </row>
    <row r="25" spans="1:5" x14ac:dyDescent="0.35">
      <c r="D25"/>
    </row>
    <row r="26" spans="1:5" x14ac:dyDescent="0.35">
      <c r="D26"/>
    </row>
    <row r="27" spans="1:5" x14ac:dyDescent="0.35">
      <c r="D27"/>
    </row>
    <row r="28" spans="1:5" x14ac:dyDescent="0.35">
      <c r="D28"/>
    </row>
    <row r="30" spans="1:5" x14ac:dyDescent="0.35">
      <c r="D30"/>
    </row>
    <row r="31" spans="1:5" x14ac:dyDescent="0.35">
      <c r="D31"/>
    </row>
    <row r="32" spans="1:5" x14ac:dyDescent="0.35">
      <c r="D32"/>
    </row>
    <row r="33" spans="4:4" x14ac:dyDescent="0.35">
      <c r="D33"/>
    </row>
    <row r="34" spans="4:4" x14ac:dyDescent="0.35">
      <c r="D34"/>
    </row>
    <row r="35" spans="4:4" x14ac:dyDescent="0.35">
      <c r="D35"/>
    </row>
    <row r="36" spans="4:4" x14ac:dyDescent="0.35">
      <c r="D36"/>
    </row>
    <row r="37" spans="4:4" x14ac:dyDescent="0.35">
      <c r="D37"/>
    </row>
    <row r="38" spans="4:4" x14ac:dyDescent="0.35">
      <c r="D38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G52" sqref="G52"/>
    </sheetView>
  </sheetViews>
  <sheetFormatPr defaultRowHeight="14.5" x14ac:dyDescent="0.35"/>
  <cols>
    <col min="1" max="5" width="9.1796875" style="1"/>
  </cols>
  <sheetData>
    <row r="1" spans="1:5" x14ac:dyDescent="0.3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3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3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3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3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3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3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3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3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3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3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3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3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3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workbookViewId="0">
      <selection activeCell="J49" sqref="J49"/>
    </sheetView>
  </sheetViews>
  <sheetFormatPr defaultRowHeight="14.5" x14ac:dyDescent="0.35"/>
  <cols>
    <col min="1" max="5" width="9.1796875" style="1"/>
  </cols>
  <sheetData>
    <row r="1" spans="1:5" x14ac:dyDescent="0.3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3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3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3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3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3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3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3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3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3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3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3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3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3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3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3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3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3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3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3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3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3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3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3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3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3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3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3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3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3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3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3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3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3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3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3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3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3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3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3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3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3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3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3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3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3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3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3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3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3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3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3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3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3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3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3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3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3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3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3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3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3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3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3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3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3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3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3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3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3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3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3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3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3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3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3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3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3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3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3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3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3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3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3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3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3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3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3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3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3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3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3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3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3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3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3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3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3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3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3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3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3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3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3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3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3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3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3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3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3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3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3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3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3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3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3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3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3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3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3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3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3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3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3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3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3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3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3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3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3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3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3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3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3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3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3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3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3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3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3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3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3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3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3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3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3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3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3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3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3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3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3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3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3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3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3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3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3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3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3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3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3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3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3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3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3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3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3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3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3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3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3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3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3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3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3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3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3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3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3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3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3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3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3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3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3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3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3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3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3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3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3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3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3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3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3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3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3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3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3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3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3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3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3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3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3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3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3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3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3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3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3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3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3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3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3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3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3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3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3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3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3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3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3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3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3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3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3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3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3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3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3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3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3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3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3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3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3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3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3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3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3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3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3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3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3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3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3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3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3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3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3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3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3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3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3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3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3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3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3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3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3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3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3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3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3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3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3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3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3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3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3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3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3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3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3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3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3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3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3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3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3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3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3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3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3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3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3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3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3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3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3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3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3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3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3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3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3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3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3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3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3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3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3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3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3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3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3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3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3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3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3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3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3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3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3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3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3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3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3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3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3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3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3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3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3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3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3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3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3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3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3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3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3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3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3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3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3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3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3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3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3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3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3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3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3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3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3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3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3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3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3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3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3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3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3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3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3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3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3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3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3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3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3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3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3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3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3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3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3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3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3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3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3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3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3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3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3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3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3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3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3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3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3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3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3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3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3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3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3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3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3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3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3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3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3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3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3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3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3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3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3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3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3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3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3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3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3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3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3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3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3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3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3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3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3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3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3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3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3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3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3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3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3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3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3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3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3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3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3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3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3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3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3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3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3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3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3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3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3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3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3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3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3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3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3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3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3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3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3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3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3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3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3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3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3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3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3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3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3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3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3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3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3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3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3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3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3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3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3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3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3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3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3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3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3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3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3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3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3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3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3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3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3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3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3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3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3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3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3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3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3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3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3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3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3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3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3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3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3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3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3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3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3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3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3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3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3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3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3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3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3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3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3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3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3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3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3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3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3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3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3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3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3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3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3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3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3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3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3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3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3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3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3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3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3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3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3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3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3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3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3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3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3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3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3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3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3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3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3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3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3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3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3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3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3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3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3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3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3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3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3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3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3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3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3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3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3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3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3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3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3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3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3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3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3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3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3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3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3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3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3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3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3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3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3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3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3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3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3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3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3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3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3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3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3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3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3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3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3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3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3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3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3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3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3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3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3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3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3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3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3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3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3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3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3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3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3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3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3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3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3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3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3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3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3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3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3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3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3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3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3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3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3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3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3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3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3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3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3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3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3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3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3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3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3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3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3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3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3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3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3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3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3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3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3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3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3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3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3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3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3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3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3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3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3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3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3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3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3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3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3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3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3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3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3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3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3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3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3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3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3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3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3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3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3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3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3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3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3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3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3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3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3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3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3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3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3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3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3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3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3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3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3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3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3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3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3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3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3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3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3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3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3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3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3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3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3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3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3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3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3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3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3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3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3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3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3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3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3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3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3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3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3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3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3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3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3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3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3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3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3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3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3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3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3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3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3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3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3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3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3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3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3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3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3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3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3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3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3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3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3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3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3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3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3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3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3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3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3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3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3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3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3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3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3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3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3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3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3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3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3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3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3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3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3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3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3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3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3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3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3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3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3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3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3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3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3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3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3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3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3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3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3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3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S43" sqref="S43"/>
    </sheetView>
  </sheetViews>
  <sheetFormatPr defaultRowHeight="14.5" x14ac:dyDescent="0.35"/>
  <sheetData>
    <row r="1" spans="1:9" x14ac:dyDescent="0.35">
      <c r="A1" s="11" t="s">
        <v>2381</v>
      </c>
      <c r="B1" s="11" t="s">
        <v>12</v>
      </c>
      <c r="C1" s="11" t="s">
        <v>2382</v>
      </c>
      <c r="D1" s="11" t="s">
        <v>2383</v>
      </c>
      <c r="E1" s="11" t="s">
        <v>2385</v>
      </c>
      <c r="F1" s="11" t="s">
        <v>2384</v>
      </c>
      <c r="G1" s="11" t="s">
        <v>2386</v>
      </c>
      <c r="H1" s="11" t="s">
        <v>2489</v>
      </c>
      <c r="I1" s="11" t="s">
        <v>2387</v>
      </c>
    </row>
    <row r="2" spans="1:9" x14ac:dyDescent="0.3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2396</v>
      </c>
    </row>
    <row r="3" spans="1:9" x14ac:dyDescent="0.3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2396</v>
      </c>
    </row>
    <row r="4" spans="1:9" x14ac:dyDescent="0.3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2397</v>
      </c>
    </row>
    <row r="5" spans="1:9" x14ac:dyDescent="0.3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2397</v>
      </c>
    </row>
    <row r="6" spans="1:9" x14ac:dyDescent="0.3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2397</v>
      </c>
    </row>
    <row r="7" spans="1:9" x14ac:dyDescent="0.3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2398</v>
      </c>
    </row>
    <row r="8" spans="1:9" x14ac:dyDescent="0.3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2397</v>
      </c>
    </row>
    <row r="9" spans="1:9" x14ac:dyDescent="0.3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2397</v>
      </c>
    </row>
    <row r="10" spans="1:9" x14ac:dyDescent="0.3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2398</v>
      </c>
    </row>
    <row r="11" spans="1:9" x14ac:dyDescent="0.3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2397</v>
      </c>
    </row>
    <row r="12" spans="1:9" x14ac:dyDescent="0.3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2398</v>
      </c>
    </row>
    <row r="13" spans="1:9" x14ac:dyDescent="0.3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2398</v>
      </c>
    </row>
    <row r="14" spans="1:9" x14ac:dyDescent="0.3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2397</v>
      </c>
    </row>
    <row r="15" spans="1:9" x14ac:dyDescent="0.3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2398</v>
      </c>
    </row>
    <row r="16" spans="1:9" x14ac:dyDescent="0.3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2398</v>
      </c>
    </row>
    <row r="17" spans="1:9" x14ac:dyDescent="0.3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2397</v>
      </c>
    </row>
    <row r="18" spans="1:9" x14ac:dyDescent="0.3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2398</v>
      </c>
    </row>
    <row r="19" spans="1:9" x14ac:dyDescent="0.3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2398</v>
      </c>
    </row>
    <row r="20" spans="1:9" x14ac:dyDescent="0.3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2397</v>
      </c>
    </row>
    <row r="21" spans="1:9" x14ac:dyDescent="0.3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2398</v>
      </c>
    </row>
    <row r="22" spans="1:9" x14ac:dyDescent="0.3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2398</v>
      </c>
    </row>
    <row r="23" spans="1:9" x14ac:dyDescent="0.3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2397</v>
      </c>
    </row>
    <row r="24" spans="1:9" x14ac:dyDescent="0.3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2398</v>
      </c>
    </row>
    <row r="25" spans="1:9" x14ac:dyDescent="0.3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2398</v>
      </c>
    </row>
    <row r="26" spans="1:9" x14ac:dyDescent="0.3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2397</v>
      </c>
    </row>
    <row r="27" spans="1:9" x14ac:dyDescent="0.3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2398</v>
      </c>
    </row>
    <row r="28" spans="1:9" x14ac:dyDescent="0.3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2398</v>
      </c>
    </row>
    <row r="29" spans="1:9" x14ac:dyDescent="0.3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2397</v>
      </c>
    </row>
    <row r="30" spans="1:9" x14ac:dyDescent="0.3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2398</v>
      </c>
    </row>
    <row r="31" spans="1:9" x14ac:dyDescent="0.3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2398</v>
      </c>
    </row>
    <row r="32" spans="1:9" x14ac:dyDescent="0.35">
      <c r="A32">
        <v>40</v>
      </c>
      <c r="B32">
        <v>45</v>
      </c>
      <c r="C32" t="s">
        <v>2399</v>
      </c>
      <c r="D32">
        <v>45</v>
      </c>
      <c r="E32" t="s">
        <v>2399</v>
      </c>
      <c r="F32">
        <v>80</v>
      </c>
      <c r="G32">
        <v>17.5</v>
      </c>
      <c r="H32">
        <v>5</v>
      </c>
      <c r="I32" t="s">
        <v>2397</v>
      </c>
    </row>
    <row r="33" spans="1:9" x14ac:dyDescent="0.3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2398</v>
      </c>
    </row>
    <row r="34" spans="1:9" x14ac:dyDescent="0.3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2398</v>
      </c>
    </row>
    <row r="35" spans="1:9" x14ac:dyDescent="0.35">
      <c r="A35">
        <v>50</v>
      </c>
      <c r="B35">
        <v>57</v>
      </c>
      <c r="C35">
        <v>3</v>
      </c>
      <c r="D35">
        <v>45</v>
      </c>
      <c r="E35" t="s">
        <v>2399</v>
      </c>
      <c r="F35">
        <v>100</v>
      </c>
      <c r="G35">
        <v>16.5</v>
      </c>
      <c r="H35">
        <v>5</v>
      </c>
      <c r="I35" t="s">
        <v>2398</v>
      </c>
    </row>
    <row r="36" spans="1:9" x14ac:dyDescent="0.3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2400</v>
      </c>
    </row>
    <row r="37" spans="1:9" x14ac:dyDescent="0.3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2401</v>
      </c>
    </row>
    <row r="38" spans="1:9" x14ac:dyDescent="0.3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2398</v>
      </c>
    </row>
    <row r="39" spans="1:9" x14ac:dyDescent="0.3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2400</v>
      </c>
    </row>
    <row r="40" spans="1:9" x14ac:dyDescent="0.3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2401</v>
      </c>
    </row>
    <row r="41" spans="1:9" x14ac:dyDescent="0.35">
      <c r="A41">
        <v>65</v>
      </c>
      <c r="B41">
        <v>76</v>
      </c>
      <c r="C41" t="s">
        <v>2402</v>
      </c>
      <c r="D41">
        <v>45</v>
      </c>
      <c r="E41" t="s">
        <v>2399</v>
      </c>
      <c r="F41">
        <v>130</v>
      </c>
      <c r="G41">
        <v>22</v>
      </c>
      <c r="H41">
        <v>5</v>
      </c>
      <c r="I41" t="s">
        <v>2403</v>
      </c>
    </row>
    <row r="42" spans="1:9" x14ac:dyDescent="0.3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2404</v>
      </c>
    </row>
    <row r="43" spans="1:9" x14ac:dyDescent="0.3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2405</v>
      </c>
    </row>
    <row r="44" spans="1:9" x14ac:dyDescent="0.35">
      <c r="A44">
        <v>65</v>
      </c>
      <c r="B44">
        <v>76</v>
      </c>
      <c r="C44" t="s">
        <v>2402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2403</v>
      </c>
    </row>
    <row r="45" spans="1:9" x14ac:dyDescent="0.3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2404</v>
      </c>
    </row>
    <row r="46" spans="1:9" x14ac:dyDescent="0.35">
      <c r="A46">
        <v>65</v>
      </c>
      <c r="B46">
        <v>76</v>
      </c>
      <c r="C46">
        <v>7</v>
      </c>
      <c r="D46">
        <v>57</v>
      </c>
      <c r="E46" t="s">
        <v>2395</v>
      </c>
      <c r="F46">
        <v>130</v>
      </c>
      <c r="G46">
        <v>22</v>
      </c>
      <c r="H46">
        <v>5</v>
      </c>
      <c r="I46" t="s">
        <v>2405</v>
      </c>
    </row>
    <row r="47" spans="1:9" x14ac:dyDescent="0.35">
      <c r="A47">
        <v>65</v>
      </c>
      <c r="B47">
        <v>76</v>
      </c>
      <c r="C47" t="s">
        <v>2402</v>
      </c>
      <c r="D47">
        <v>76</v>
      </c>
      <c r="E47" t="s">
        <v>2402</v>
      </c>
      <c r="F47">
        <v>130</v>
      </c>
      <c r="G47">
        <v>22</v>
      </c>
      <c r="H47">
        <v>5</v>
      </c>
      <c r="I47" t="s">
        <v>2403</v>
      </c>
    </row>
    <row r="48" spans="1:9" x14ac:dyDescent="0.3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2404</v>
      </c>
    </row>
    <row r="49" spans="1:9" x14ac:dyDescent="0.3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2405</v>
      </c>
    </row>
    <row r="50" spans="1:9" x14ac:dyDescent="0.35">
      <c r="A50">
        <v>80</v>
      </c>
      <c r="B50">
        <v>89</v>
      </c>
      <c r="C50" t="s">
        <v>2402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2406</v>
      </c>
    </row>
    <row r="51" spans="1:9" x14ac:dyDescent="0.3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35">
      <c r="A52">
        <v>80</v>
      </c>
      <c r="B52">
        <v>89</v>
      </c>
      <c r="C52">
        <v>8</v>
      </c>
      <c r="D52">
        <v>57</v>
      </c>
      <c r="E52" t="s">
        <v>2395</v>
      </c>
      <c r="F52">
        <v>160</v>
      </c>
      <c r="G52">
        <v>25.5</v>
      </c>
      <c r="H52">
        <v>5</v>
      </c>
      <c r="I52" t="s">
        <v>2407</v>
      </c>
    </row>
    <row r="53" spans="1:9" x14ac:dyDescent="0.35">
      <c r="A53">
        <v>80</v>
      </c>
      <c r="B53">
        <v>89</v>
      </c>
      <c r="C53" t="s">
        <v>2402</v>
      </c>
      <c r="D53">
        <v>76</v>
      </c>
      <c r="E53" t="s">
        <v>2402</v>
      </c>
      <c r="F53">
        <v>160</v>
      </c>
      <c r="G53">
        <v>25.5</v>
      </c>
      <c r="H53">
        <v>5</v>
      </c>
      <c r="I53" t="s">
        <v>2406</v>
      </c>
    </row>
    <row r="54" spans="1:9" x14ac:dyDescent="0.3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3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2407</v>
      </c>
    </row>
    <row r="56" spans="1:9" x14ac:dyDescent="0.35">
      <c r="A56">
        <v>80</v>
      </c>
      <c r="B56">
        <v>89</v>
      </c>
      <c r="C56" t="s">
        <v>2402</v>
      </c>
      <c r="D56">
        <v>89</v>
      </c>
      <c r="E56" t="s">
        <v>2402</v>
      </c>
      <c r="F56">
        <v>160</v>
      </c>
      <c r="G56">
        <v>25.5</v>
      </c>
      <c r="H56">
        <v>5</v>
      </c>
      <c r="I56" t="s">
        <v>2406</v>
      </c>
    </row>
    <row r="57" spans="1:9" x14ac:dyDescent="0.3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3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2407</v>
      </c>
    </row>
    <row r="59" spans="1:9" x14ac:dyDescent="0.35">
      <c r="A59">
        <v>100</v>
      </c>
      <c r="B59">
        <v>108</v>
      </c>
      <c r="C59">
        <v>4</v>
      </c>
      <c r="D59">
        <v>76</v>
      </c>
      <c r="E59" t="s">
        <v>2402</v>
      </c>
      <c r="F59">
        <v>200</v>
      </c>
      <c r="G59">
        <v>26</v>
      </c>
      <c r="H59">
        <v>5</v>
      </c>
      <c r="I59" t="s">
        <v>2408</v>
      </c>
    </row>
    <row r="60" spans="1:9" x14ac:dyDescent="0.3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2409</v>
      </c>
    </row>
    <row r="61" spans="1:9" x14ac:dyDescent="0.3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2410</v>
      </c>
    </row>
    <row r="62" spans="1:9" x14ac:dyDescent="0.3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2411</v>
      </c>
    </row>
    <row r="63" spans="1:9" x14ac:dyDescent="0.3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2408</v>
      </c>
    </row>
    <row r="64" spans="1:9" x14ac:dyDescent="0.3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2409</v>
      </c>
    </row>
    <row r="65" spans="1:9" x14ac:dyDescent="0.3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2410</v>
      </c>
    </row>
    <row r="66" spans="1:9" x14ac:dyDescent="0.3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2411</v>
      </c>
    </row>
    <row r="67" spans="1:9" x14ac:dyDescent="0.3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2408</v>
      </c>
    </row>
    <row r="68" spans="1:9" x14ac:dyDescent="0.3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2409</v>
      </c>
    </row>
    <row r="69" spans="1:9" x14ac:dyDescent="0.3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2410</v>
      </c>
    </row>
    <row r="70" spans="1:9" x14ac:dyDescent="0.3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2411</v>
      </c>
    </row>
    <row r="71" spans="1:9" x14ac:dyDescent="0.35">
      <c r="A71">
        <v>100</v>
      </c>
      <c r="B71">
        <v>114</v>
      </c>
      <c r="C71">
        <v>4</v>
      </c>
      <c r="D71">
        <v>76</v>
      </c>
      <c r="E71" t="s">
        <v>2402</v>
      </c>
      <c r="F71">
        <v>200</v>
      </c>
      <c r="G71">
        <v>33</v>
      </c>
      <c r="H71">
        <v>5</v>
      </c>
      <c r="I71">
        <v>3</v>
      </c>
    </row>
    <row r="72" spans="1:9" x14ac:dyDescent="0.3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2412</v>
      </c>
    </row>
    <row r="73" spans="1:9" x14ac:dyDescent="0.3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2413</v>
      </c>
    </row>
    <row r="74" spans="1:9" x14ac:dyDescent="0.3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2414</v>
      </c>
    </row>
    <row r="75" spans="1:9" x14ac:dyDescent="0.3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3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2412</v>
      </c>
    </row>
    <row r="77" spans="1:9" x14ac:dyDescent="0.3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2413</v>
      </c>
    </row>
    <row r="78" spans="1:9" x14ac:dyDescent="0.3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2414</v>
      </c>
    </row>
    <row r="79" spans="1:9" x14ac:dyDescent="0.3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3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2412</v>
      </c>
    </row>
    <row r="81" spans="1:9" x14ac:dyDescent="0.3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2413</v>
      </c>
    </row>
    <row r="82" spans="1:9" x14ac:dyDescent="0.3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2414</v>
      </c>
    </row>
    <row r="83" spans="1:9" x14ac:dyDescent="0.35">
      <c r="A83">
        <v>125</v>
      </c>
      <c r="B83">
        <v>133</v>
      </c>
      <c r="C83">
        <v>4</v>
      </c>
      <c r="D83">
        <v>89</v>
      </c>
      <c r="E83" t="s">
        <v>2402</v>
      </c>
      <c r="F83">
        <v>220</v>
      </c>
      <c r="G83">
        <v>28.5</v>
      </c>
      <c r="H83">
        <v>6</v>
      </c>
      <c r="I83" t="s">
        <v>2415</v>
      </c>
    </row>
    <row r="84" spans="1:9" x14ac:dyDescent="0.3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2416</v>
      </c>
    </row>
    <row r="85" spans="1:9" x14ac:dyDescent="0.3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2417</v>
      </c>
    </row>
    <row r="86" spans="1:9" x14ac:dyDescent="0.3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2418</v>
      </c>
    </row>
    <row r="87" spans="1:9" x14ac:dyDescent="0.3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3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2415</v>
      </c>
    </row>
    <row r="89" spans="1:9" x14ac:dyDescent="0.3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2416</v>
      </c>
    </row>
    <row r="90" spans="1:9" x14ac:dyDescent="0.3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2417</v>
      </c>
    </row>
    <row r="91" spans="1:9" x14ac:dyDescent="0.3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2418</v>
      </c>
    </row>
    <row r="92" spans="1:9" x14ac:dyDescent="0.3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3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2415</v>
      </c>
    </row>
    <row r="94" spans="1:9" x14ac:dyDescent="0.3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2416</v>
      </c>
    </row>
    <row r="95" spans="1:9" x14ac:dyDescent="0.3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2417</v>
      </c>
    </row>
    <row r="96" spans="1:9" x14ac:dyDescent="0.3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2418</v>
      </c>
    </row>
    <row r="97" spans="1:9" x14ac:dyDescent="0.3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35">
      <c r="A98">
        <v>150</v>
      </c>
      <c r="B98">
        <v>159</v>
      </c>
      <c r="C98" t="s">
        <v>2410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2419</v>
      </c>
    </row>
    <row r="99" spans="1:9" x14ac:dyDescent="0.3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2420</v>
      </c>
    </row>
    <row r="100" spans="1:9" x14ac:dyDescent="0.3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3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2421</v>
      </c>
    </row>
    <row r="102" spans="1:9" x14ac:dyDescent="0.3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2422</v>
      </c>
    </row>
    <row r="103" spans="1:9" x14ac:dyDescent="0.35">
      <c r="A103">
        <v>150</v>
      </c>
      <c r="B103">
        <v>159</v>
      </c>
      <c r="C103" t="s">
        <v>2410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2419</v>
      </c>
    </row>
    <row r="104" spans="1:9" x14ac:dyDescent="0.3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2420</v>
      </c>
    </row>
    <row r="105" spans="1:9" x14ac:dyDescent="0.3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3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2421</v>
      </c>
    </row>
    <row r="107" spans="1:9" x14ac:dyDescent="0.3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2422</v>
      </c>
    </row>
    <row r="108" spans="1:9" x14ac:dyDescent="0.35">
      <c r="A108">
        <v>150</v>
      </c>
      <c r="B108">
        <v>159</v>
      </c>
      <c r="C108" t="s">
        <v>2410</v>
      </c>
      <c r="D108">
        <v>159</v>
      </c>
      <c r="E108" t="s">
        <v>2410</v>
      </c>
      <c r="F108">
        <v>260</v>
      </c>
      <c r="G108">
        <v>30.5</v>
      </c>
      <c r="H108">
        <v>8</v>
      </c>
      <c r="I108" t="s">
        <v>2419</v>
      </c>
    </row>
    <row r="109" spans="1:9" x14ac:dyDescent="0.3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2420</v>
      </c>
    </row>
    <row r="110" spans="1:9" x14ac:dyDescent="0.3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3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2421</v>
      </c>
    </row>
    <row r="112" spans="1:9" x14ac:dyDescent="0.3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2422</v>
      </c>
    </row>
    <row r="113" spans="1:9" x14ac:dyDescent="0.3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2423</v>
      </c>
    </row>
    <row r="114" spans="1:9" x14ac:dyDescent="0.3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2424</v>
      </c>
    </row>
    <row r="115" spans="1:9" x14ac:dyDescent="0.3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2425</v>
      </c>
    </row>
    <row r="116" spans="1:9" x14ac:dyDescent="0.3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2426</v>
      </c>
    </row>
    <row r="117" spans="1:9" x14ac:dyDescent="0.3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2427</v>
      </c>
    </row>
    <row r="118" spans="1:9" x14ac:dyDescent="0.3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2423</v>
      </c>
    </row>
    <row r="119" spans="1:9" x14ac:dyDescent="0.3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2424</v>
      </c>
    </row>
    <row r="120" spans="1:9" x14ac:dyDescent="0.3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2425</v>
      </c>
    </row>
    <row r="121" spans="1:9" x14ac:dyDescent="0.3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2426</v>
      </c>
    </row>
    <row r="122" spans="1:9" x14ac:dyDescent="0.3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2427</v>
      </c>
    </row>
    <row r="123" spans="1:9" x14ac:dyDescent="0.3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2423</v>
      </c>
    </row>
    <row r="124" spans="1:9" x14ac:dyDescent="0.3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2424</v>
      </c>
    </row>
    <row r="125" spans="1:9" x14ac:dyDescent="0.3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2425</v>
      </c>
    </row>
    <row r="126" spans="1:9" x14ac:dyDescent="0.3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2426</v>
      </c>
    </row>
    <row r="127" spans="1:9" x14ac:dyDescent="0.3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2427</v>
      </c>
    </row>
    <row r="128" spans="1:9" x14ac:dyDescent="0.35">
      <c r="A128">
        <v>250</v>
      </c>
      <c r="B128">
        <v>273</v>
      </c>
      <c r="C128">
        <v>7</v>
      </c>
      <c r="D128">
        <v>159</v>
      </c>
      <c r="E128" t="s">
        <v>2410</v>
      </c>
      <c r="F128">
        <v>380</v>
      </c>
      <c r="G128">
        <v>38.5</v>
      </c>
      <c r="H128">
        <v>12</v>
      </c>
      <c r="I128" t="s">
        <v>2428</v>
      </c>
    </row>
    <row r="129" spans="1:9" x14ac:dyDescent="0.3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3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2429</v>
      </c>
    </row>
    <row r="131" spans="1:9" x14ac:dyDescent="0.3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2430</v>
      </c>
    </row>
    <row r="132" spans="1:9" x14ac:dyDescent="0.3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2431</v>
      </c>
    </row>
    <row r="133" spans="1:9" x14ac:dyDescent="0.3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2428</v>
      </c>
    </row>
    <row r="134" spans="1:9" x14ac:dyDescent="0.3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3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2429</v>
      </c>
    </row>
    <row r="136" spans="1:9" x14ac:dyDescent="0.3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2430</v>
      </c>
    </row>
    <row r="137" spans="1:9" x14ac:dyDescent="0.3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2431</v>
      </c>
    </row>
    <row r="138" spans="1:9" x14ac:dyDescent="0.3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2428</v>
      </c>
    </row>
    <row r="139" spans="1:9" x14ac:dyDescent="0.3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3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2429</v>
      </c>
    </row>
    <row r="141" spans="1:9" x14ac:dyDescent="0.3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2430</v>
      </c>
    </row>
    <row r="142" spans="1:9" x14ac:dyDescent="0.3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2431</v>
      </c>
    </row>
    <row r="143" spans="1:9" x14ac:dyDescent="0.3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2432</v>
      </c>
    </row>
    <row r="144" spans="1:9" x14ac:dyDescent="0.3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2433</v>
      </c>
    </row>
    <row r="145" spans="1:9" x14ac:dyDescent="0.3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2434</v>
      </c>
    </row>
    <row r="146" spans="1:9" x14ac:dyDescent="0.3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2435</v>
      </c>
    </row>
    <row r="147" spans="1:9" x14ac:dyDescent="0.3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2436</v>
      </c>
    </row>
    <row r="148" spans="1:9" x14ac:dyDescent="0.3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2432</v>
      </c>
    </row>
    <row r="149" spans="1:9" x14ac:dyDescent="0.3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2433</v>
      </c>
    </row>
    <row r="150" spans="1:9" x14ac:dyDescent="0.3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2434</v>
      </c>
    </row>
    <row r="151" spans="1:9" x14ac:dyDescent="0.3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2435</v>
      </c>
    </row>
    <row r="152" spans="1:9" x14ac:dyDescent="0.3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2436</v>
      </c>
    </row>
    <row r="153" spans="1:9" x14ac:dyDescent="0.3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2432</v>
      </c>
    </row>
    <row r="154" spans="1:9" x14ac:dyDescent="0.3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2433</v>
      </c>
    </row>
    <row r="155" spans="1:9" x14ac:dyDescent="0.3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2434</v>
      </c>
    </row>
    <row r="156" spans="1:9" x14ac:dyDescent="0.3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2435</v>
      </c>
    </row>
    <row r="157" spans="1:9" x14ac:dyDescent="0.3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2436</v>
      </c>
    </row>
    <row r="158" spans="1:9" x14ac:dyDescent="0.3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3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2437</v>
      </c>
    </row>
    <row r="160" spans="1:9" x14ac:dyDescent="0.3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2438</v>
      </c>
    </row>
    <row r="161" spans="1:9" x14ac:dyDescent="0.3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3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3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2437</v>
      </c>
    </row>
    <row r="164" spans="1:9" x14ac:dyDescent="0.3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2438</v>
      </c>
    </row>
    <row r="165" spans="1:9" x14ac:dyDescent="0.3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3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3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2437</v>
      </c>
    </row>
    <row r="168" spans="1:9" x14ac:dyDescent="0.3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2438</v>
      </c>
    </row>
    <row r="169" spans="1:9" x14ac:dyDescent="0.3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3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2439</v>
      </c>
    </row>
    <row r="171" spans="1:9" x14ac:dyDescent="0.3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2440</v>
      </c>
    </row>
    <row r="172" spans="1:9" x14ac:dyDescent="0.3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2441</v>
      </c>
    </row>
    <row r="173" spans="1:9" x14ac:dyDescent="0.3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3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2439</v>
      </c>
    </row>
    <row r="175" spans="1:9" x14ac:dyDescent="0.3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2440</v>
      </c>
    </row>
    <row r="176" spans="1:9" x14ac:dyDescent="0.3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2441</v>
      </c>
    </row>
    <row r="177" spans="1:9" x14ac:dyDescent="0.3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3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2439</v>
      </c>
    </row>
    <row r="179" spans="1:9" x14ac:dyDescent="0.3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2440</v>
      </c>
    </row>
    <row r="180" spans="1:9" x14ac:dyDescent="0.3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2441</v>
      </c>
    </row>
    <row r="181" spans="1:9" x14ac:dyDescent="0.3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N15" sqref="N15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 s="15">
        <v>1</v>
      </c>
      <c r="B2">
        <v>89</v>
      </c>
      <c r="C2" t="s">
        <v>2402</v>
      </c>
      <c r="D2" t="s">
        <v>195</v>
      </c>
      <c r="E2" t="s">
        <v>22</v>
      </c>
      <c r="F2" s="16">
        <v>300</v>
      </c>
      <c r="G2" s="16">
        <v>100.5</v>
      </c>
      <c r="H2" s="16" t="s">
        <v>2983</v>
      </c>
      <c r="I2" s="15" t="s">
        <v>2481</v>
      </c>
    </row>
    <row r="3" spans="1:9" x14ac:dyDescent="0.35">
      <c r="A3" s="15">
        <v>2</v>
      </c>
      <c r="B3" t="s">
        <v>298</v>
      </c>
      <c r="C3" t="s">
        <v>2402</v>
      </c>
      <c r="D3" t="s">
        <v>258</v>
      </c>
      <c r="E3" t="s">
        <v>22</v>
      </c>
      <c r="F3" s="17">
        <v>300</v>
      </c>
      <c r="G3" s="18">
        <v>100.5</v>
      </c>
      <c r="H3" s="17" t="s">
        <v>2983</v>
      </c>
      <c r="I3" s="15" t="s">
        <v>2402</v>
      </c>
    </row>
    <row r="4" spans="1:9" x14ac:dyDescent="0.35">
      <c r="A4" s="15">
        <v>3</v>
      </c>
      <c r="B4" t="s">
        <v>358</v>
      </c>
      <c r="C4" t="s">
        <v>26</v>
      </c>
      <c r="D4" t="s">
        <v>258</v>
      </c>
      <c r="E4" t="s">
        <v>22</v>
      </c>
      <c r="F4" s="17">
        <v>300</v>
      </c>
      <c r="G4" s="16">
        <v>101</v>
      </c>
      <c r="H4" s="17" t="s">
        <v>2983</v>
      </c>
      <c r="I4" s="15">
        <v>5</v>
      </c>
    </row>
    <row r="5" spans="1:9" x14ac:dyDescent="0.35">
      <c r="A5" s="15">
        <v>4</v>
      </c>
      <c r="B5" t="s">
        <v>358</v>
      </c>
      <c r="C5" t="s">
        <v>26</v>
      </c>
      <c r="D5" t="s">
        <v>298</v>
      </c>
      <c r="E5" t="s">
        <v>2402</v>
      </c>
      <c r="F5" s="18">
        <v>300</v>
      </c>
      <c r="G5" s="18">
        <v>101</v>
      </c>
      <c r="H5" s="17" t="s">
        <v>2983</v>
      </c>
      <c r="I5" s="15" t="s">
        <v>2803</v>
      </c>
    </row>
    <row r="6" spans="1:9" ht="15" customHeight="1" x14ac:dyDescent="0.35">
      <c r="A6" s="15">
        <v>5</v>
      </c>
      <c r="B6" t="s">
        <v>428</v>
      </c>
      <c r="C6" t="s">
        <v>26</v>
      </c>
      <c r="D6" t="s">
        <v>131</v>
      </c>
      <c r="E6" t="s">
        <v>18</v>
      </c>
      <c r="F6" s="16">
        <v>250</v>
      </c>
      <c r="G6" s="16">
        <v>103.5</v>
      </c>
      <c r="H6" s="17" t="s">
        <v>2983</v>
      </c>
      <c r="I6" s="15" t="s">
        <v>2419</v>
      </c>
    </row>
    <row r="7" spans="1:9" x14ac:dyDescent="0.35">
      <c r="A7" s="15">
        <v>6</v>
      </c>
      <c r="B7" t="s">
        <v>428</v>
      </c>
      <c r="C7" t="s">
        <v>26</v>
      </c>
      <c r="D7" t="s">
        <v>152</v>
      </c>
      <c r="E7" t="s">
        <v>2399</v>
      </c>
      <c r="F7" s="18">
        <v>250</v>
      </c>
      <c r="G7" s="17">
        <v>103.5</v>
      </c>
      <c r="H7" s="17" t="s">
        <v>2983</v>
      </c>
      <c r="I7" s="15" t="s">
        <v>2411</v>
      </c>
    </row>
    <row r="8" spans="1:9" ht="15" customHeight="1" x14ac:dyDescent="0.35">
      <c r="A8" s="15">
        <v>7</v>
      </c>
      <c r="B8" t="s">
        <v>428</v>
      </c>
      <c r="C8" t="s">
        <v>26</v>
      </c>
      <c r="D8" t="s">
        <v>195</v>
      </c>
      <c r="E8" t="s">
        <v>22</v>
      </c>
      <c r="F8" s="16">
        <v>300</v>
      </c>
      <c r="G8" s="17">
        <v>103.5</v>
      </c>
      <c r="H8" s="17" t="s">
        <v>2983</v>
      </c>
      <c r="I8" s="15">
        <v>6</v>
      </c>
    </row>
    <row r="9" spans="1:9" x14ac:dyDescent="0.35">
      <c r="A9" s="15">
        <v>8</v>
      </c>
      <c r="B9" t="s">
        <v>428</v>
      </c>
      <c r="C9" t="s">
        <v>26</v>
      </c>
      <c r="D9" t="s">
        <v>258</v>
      </c>
      <c r="E9" t="s">
        <v>22</v>
      </c>
      <c r="F9" s="18">
        <v>300</v>
      </c>
      <c r="G9" s="18">
        <v>103.5</v>
      </c>
      <c r="H9" s="17" t="s">
        <v>2983</v>
      </c>
      <c r="I9" s="15" t="s">
        <v>2484</v>
      </c>
    </row>
    <row r="10" spans="1:9" ht="15" customHeight="1" x14ac:dyDescent="0.35">
      <c r="A10" s="15">
        <v>9</v>
      </c>
      <c r="B10" t="s">
        <v>428</v>
      </c>
      <c r="C10" t="s">
        <v>26</v>
      </c>
      <c r="D10" t="s">
        <v>298</v>
      </c>
      <c r="E10" t="s">
        <v>2402</v>
      </c>
      <c r="F10" s="16">
        <v>350</v>
      </c>
      <c r="G10" s="16">
        <v>123.5</v>
      </c>
      <c r="H10" s="18" t="s">
        <v>2983</v>
      </c>
      <c r="I10" s="15" t="s">
        <v>2466</v>
      </c>
    </row>
    <row r="11" spans="1:9" x14ac:dyDescent="0.35">
      <c r="A11" s="15">
        <v>10</v>
      </c>
      <c r="B11" t="s">
        <v>428</v>
      </c>
      <c r="C11" t="s">
        <v>26</v>
      </c>
      <c r="D11" t="s">
        <v>298</v>
      </c>
      <c r="E11" t="s">
        <v>2402</v>
      </c>
      <c r="F11" s="17">
        <v>350</v>
      </c>
      <c r="G11" s="17">
        <v>123.5</v>
      </c>
      <c r="H11" s="15" t="s">
        <v>2399</v>
      </c>
      <c r="I11" s="15" t="s">
        <v>2475</v>
      </c>
    </row>
    <row r="12" spans="1:9" x14ac:dyDescent="0.35">
      <c r="A12" s="15">
        <v>11</v>
      </c>
      <c r="B12" t="s">
        <v>428</v>
      </c>
      <c r="C12" t="s">
        <v>26</v>
      </c>
      <c r="D12" t="s">
        <v>358</v>
      </c>
      <c r="E12" t="s">
        <v>26</v>
      </c>
      <c r="F12" s="17">
        <v>350</v>
      </c>
      <c r="G12" s="17">
        <v>123.5</v>
      </c>
      <c r="H12" s="19" t="s">
        <v>2983</v>
      </c>
      <c r="I12" s="15" t="s">
        <v>2467</v>
      </c>
    </row>
    <row r="13" spans="1:9" x14ac:dyDescent="0.35">
      <c r="A13" s="15">
        <v>12</v>
      </c>
      <c r="B13" t="s">
        <v>428</v>
      </c>
      <c r="C13" t="s">
        <v>26</v>
      </c>
      <c r="D13" t="s">
        <v>358</v>
      </c>
      <c r="E13" t="s">
        <v>26</v>
      </c>
      <c r="F13" s="18">
        <v>350</v>
      </c>
      <c r="G13" s="18">
        <v>123.5</v>
      </c>
      <c r="H13" s="19" t="s">
        <v>2399</v>
      </c>
      <c r="I13" s="15" t="s">
        <v>2804</v>
      </c>
    </row>
    <row r="14" spans="1:9" ht="15" customHeight="1" x14ac:dyDescent="0.35">
      <c r="A14" s="15">
        <v>13</v>
      </c>
      <c r="B14" t="s">
        <v>498</v>
      </c>
      <c r="C14" t="s">
        <v>29</v>
      </c>
      <c r="D14" t="s">
        <v>195</v>
      </c>
      <c r="E14" t="s">
        <v>22</v>
      </c>
      <c r="F14" s="16">
        <v>300</v>
      </c>
      <c r="G14" s="16">
        <v>100.5</v>
      </c>
      <c r="H14" s="16" t="s">
        <v>2983</v>
      </c>
      <c r="I14" s="15" t="s">
        <v>2466</v>
      </c>
    </row>
    <row r="15" spans="1:9" x14ac:dyDescent="0.35">
      <c r="A15" s="15">
        <v>14</v>
      </c>
      <c r="B15" t="s">
        <v>498</v>
      </c>
      <c r="C15" t="s">
        <v>29</v>
      </c>
      <c r="D15" t="s">
        <v>258</v>
      </c>
      <c r="E15" t="s">
        <v>22</v>
      </c>
      <c r="F15" s="18">
        <v>300</v>
      </c>
      <c r="G15" s="18">
        <v>100.5</v>
      </c>
      <c r="H15" s="17" t="s">
        <v>2983</v>
      </c>
      <c r="I15" s="15" t="s">
        <v>2805</v>
      </c>
    </row>
    <row r="16" spans="1:9" ht="15" customHeight="1" x14ac:dyDescent="0.35">
      <c r="A16" s="15">
        <v>15</v>
      </c>
      <c r="B16" t="s">
        <v>498</v>
      </c>
      <c r="C16" t="s">
        <v>29</v>
      </c>
      <c r="D16" t="s">
        <v>298</v>
      </c>
      <c r="E16" t="s">
        <v>2402</v>
      </c>
      <c r="F16" s="16">
        <v>350</v>
      </c>
      <c r="G16" s="16">
        <v>120.5</v>
      </c>
      <c r="H16" s="17" t="s">
        <v>2983</v>
      </c>
      <c r="I16" s="15" t="s">
        <v>2806</v>
      </c>
    </row>
    <row r="17" spans="1:9" x14ac:dyDescent="0.35">
      <c r="A17" s="15">
        <v>16</v>
      </c>
      <c r="B17" t="s">
        <v>498</v>
      </c>
      <c r="C17" t="s">
        <v>29</v>
      </c>
      <c r="D17" t="s">
        <v>358</v>
      </c>
      <c r="E17" t="s">
        <v>26</v>
      </c>
      <c r="F17" s="18">
        <v>350</v>
      </c>
      <c r="G17" s="17">
        <v>120.5</v>
      </c>
      <c r="H17" s="17" t="s">
        <v>2983</v>
      </c>
      <c r="I17" s="15" t="s">
        <v>2807</v>
      </c>
    </row>
    <row r="18" spans="1:9" ht="15" customHeight="1" x14ac:dyDescent="0.35">
      <c r="A18" s="15">
        <v>17</v>
      </c>
      <c r="B18" t="s">
        <v>498</v>
      </c>
      <c r="C18" t="s">
        <v>29</v>
      </c>
      <c r="D18" t="s">
        <v>428</v>
      </c>
      <c r="E18" t="s">
        <v>26</v>
      </c>
      <c r="F18" s="16">
        <v>400</v>
      </c>
      <c r="G18" s="17">
        <v>120.5</v>
      </c>
      <c r="H18" s="18" t="s">
        <v>2983</v>
      </c>
      <c r="I18" s="15" t="s">
        <v>2808</v>
      </c>
    </row>
    <row r="19" spans="1:9" x14ac:dyDescent="0.35">
      <c r="A19" s="15">
        <v>18</v>
      </c>
      <c r="B19" t="s">
        <v>498</v>
      </c>
      <c r="C19" t="s">
        <v>29</v>
      </c>
      <c r="D19" t="s">
        <v>428</v>
      </c>
      <c r="E19" t="s">
        <v>26</v>
      </c>
      <c r="F19" s="18">
        <v>400</v>
      </c>
      <c r="G19" s="18">
        <v>120.5</v>
      </c>
      <c r="H19" s="19" t="s">
        <v>2399</v>
      </c>
      <c r="I19" s="15" t="s">
        <v>2809</v>
      </c>
    </row>
    <row r="20" spans="1:9" x14ac:dyDescent="0.35">
      <c r="A20" s="15">
        <v>19</v>
      </c>
      <c r="B20" t="s">
        <v>656</v>
      </c>
      <c r="C20" t="s">
        <v>37</v>
      </c>
      <c r="D20" t="s">
        <v>258</v>
      </c>
      <c r="E20" t="s">
        <v>22</v>
      </c>
      <c r="F20" s="15">
        <v>300</v>
      </c>
      <c r="G20" s="16">
        <v>100.5</v>
      </c>
      <c r="H20" s="16" t="s">
        <v>2983</v>
      </c>
      <c r="I20" s="15" t="s">
        <v>2810</v>
      </c>
    </row>
    <row r="21" spans="1:9" ht="15" customHeight="1" x14ac:dyDescent="0.35">
      <c r="A21" s="15">
        <v>20</v>
      </c>
      <c r="B21" t="s">
        <v>656</v>
      </c>
      <c r="C21" t="s">
        <v>37</v>
      </c>
      <c r="D21" t="s">
        <v>298</v>
      </c>
      <c r="E21" t="s">
        <v>2402</v>
      </c>
      <c r="F21" s="16">
        <v>350</v>
      </c>
      <c r="G21" s="18">
        <v>100.5</v>
      </c>
      <c r="H21" s="17" t="s">
        <v>2983</v>
      </c>
      <c r="I21" s="15" t="s">
        <v>2811</v>
      </c>
    </row>
    <row r="22" spans="1:9" x14ac:dyDescent="0.35">
      <c r="A22" s="15">
        <v>21</v>
      </c>
      <c r="B22" t="s">
        <v>656</v>
      </c>
      <c r="C22" t="s">
        <v>37</v>
      </c>
      <c r="D22" t="s">
        <v>358</v>
      </c>
      <c r="E22" t="s">
        <v>26</v>
      </c>
      <c r="F22" s="18">
        <v>350</v>
      </c>
      <c r="G22" s="16">
        <v>120.5</v>
      </c>
      <c r="H22" s="17" t="s">
        <v>2983</v>
      </c>
      <c r="I22" s="15" t="s">
        <v>2697</v>
      </c>
    </row>
    <row r="23" spans="1:9" ht="15" customHeight="1" x14ac:dyDescent="0.35">
      <c r="A23" s="15">
        <v>22</v>
      </c>
      <c r="B23" t="s">
        <v>656</v>
      </c>
      <c r="C23" t="s">
        <v>37</v>
      </c>
      <c r="D23" t="s">
        <v>428</v>
      </c>
      <c r="E23" t="s">
        <v>26</v>
      </c>
      <c r="F23" s="16">
        <v>400</v>
      </c>
      <c r="G23" s="17">
        <v>120.5</v>
      </c>
      <c r="H23" s="17" t="s">
        <v>2983</v>
      </c>
      <c r="I23" s="15" t="s">
        <v>2812</v>
      </c>
    </row>
    <row r="24" spans="1:9" x14ac:dyDescent="0.35">
      <c r="A24" s="15">
        <v>23</v>
      </c>
      <c r="B24" t="s">
        <v>656</v>
      </c>
      <c r="C24" t="s">
        <v>37</v>
      </c>
      <c r="D24" t="s">
        <v>498</v>
      </c>
      <c r="E24" t="s">
        <v>29</v>
      </c>
      <c r="F24" s="18">
        <v>400</v>
      </c>
      <c r="G24" s="18">
        <v>120.5</v>
      </c>
      <c r="H24" s="18" t="s">
        <v>2983</v>
      </c>
      <c r="I24" s="15">
        <v>21</v>
      </c>
    </row>
    <row r="25" spans="1:9" x14ac:dyDescent="0.35">
      <c r="A25" s="15">
        <v>24</v>
      </c>
      <c r="B25" t="s">
        <v>800</v>
      </c>
      <c r="C25" t="s">
        <v>41</v>
      </c>
      <c r="D25" t="s">
        <v>258</v>
      </c>
      <c r="E25" t="s">
        <v>22</v>
      </c>
      <c r="F25" s="15">
        <v>300</v>
      </c>
      <c r="G25" s="16">
        <v>103.5</v>
      </c>
      <c r="H25" s="16" t="s">
        <v>2983</v>
      </c>
      <c r="I25" s="15" t="s">
        <v>2813</v>
      </c>
    </row>
    <row r="26" spans="1:9" ht="15" customHeight="1" x14ac:dyDescent="0.35">
      <c r="A26" s="15">
        <v>25</v>
      </c>
      <c r="B26" t="s">
        <v>800</v>
      </c>
      <c r="C26" t="s">
        <v>41</v>
      </c>
      <c r="D26" t="s">
        <v>298</v>
      </c>
      <c r="E26" t="s">
        <v>2402</v>
      </c>
      <c r="F26" s="16">
        <v>350</v>
      </c>
      <c r="G26" s="18">
        <v>103.5</v>
      </c>
      <c r="H26" s="17" t="s">
        <v>2983</v>
      </c>
      <c r="I26" s="15" t="s">
        <v>2814</v>
      </c>
    </row>
    <row r="27" spans="1:9" x14ac:dyDescent="0.35">
      <c r="A27" s="15">
        <v>26</v>
      </c>
      <c r="B27" t="s">
        <v>800</v>
      </c>
      <c r="C27" t="s">
        <v>41</v>
      </c>
      <c r="D27" t="s">
        <v>358</v>
      </c>
      <c r="E27" t="s">
        <v>26</v>
      </c>
      <c r="F27" s="18">
        <v>350</v>
      </c>
      <c r="G27" s="16">
        <v>123.5</v>
      </c>
      <c r="H27" s="17" t="s">
        <v>2983</v>
      </c>
      <c r="I27" s="15" t="s">
        <v>2639</v>
      </c>
    </row>
    <row r="28" spans="1:9" ht="15" customHeight="1" x14ac:dyDescent="0.35">
      <c r="A28" s="15">
        <v>27</v>
      </c>
      <c r="B28" t="s">
        <v>800</v>
      </c>
      <c r="C28" t="s">
        <v>41</v>
      </c>
      <c r="D28" t="s">
        <v>428</v>
      </c>
      <c r="E28" t="s">
        <v>26</v>
      </c>
      <c r="F28" s="16">
        <v>400</v>
      </c>
      <c r="G28" s="17">
        <v>123.5</v>
      </c>
      <c r="H28" s="17" t="s">
        <v>2983</v>
      </c>
      <c r="I28" s="15" t="s">
        <v>2815</v>
      </c>
    </row>
    <row r="29" spans="1:9" x14ac:dyDescent="0.35">
      <c r="A29" s="15">
        <v>28</v>
      </c>
      <c r="B29" t="s">
        <v>800</v>
      </c>
      <c r="C29" t="s">
        <v>41</v>
      </c>
      <c r="D29" t="s">
        <v>498</v>
      </c>
      <c r="E29" t="s">
        <v>29</v>
      </c>
      <c r="F29" s="17">
        <v>400</v>
      </c>
      <c r="G29" s="18">
        <v>123.5</v>
      </c>
      <c r="H29" s="17" t="s">
        <v>2983</v>
      </c>
      <c r="I29" s="15" t="s">
        <v>2816</v>
      </c>
    </row>
    <row r="30" spans="1:9" x14ac:dyDescent="0.35">
      <c r="A30" s="15">
        <v>29</v>
      </c>
      <c r="B30" t="s">
        <v>800</v>
      </c>
      <c r="C30" t="s">
        <v>41</v>
      </c>
      <c r="D30" t="s">
        <v>656</v>
      </c>
      <c r="E30" t="s">
        <v>37</v>
      </c>
      <c r="F30" s="17">
        <v>400</v>
      </c>
      <c r="G30" s="15">
        <v>143.5</v>
      </c>
      <c r="H30" s="17" t="s">
        <v>2983</v>
      </c>
      <c r="I30" s="15" t="s">
        <v>2433</v>
      </c>
    </row>
    <row r="31" spans="1:9" x14ac:dyDescent="0.35">
      <c r="A31" s="15">
        <v>30</v>
      </c>
      <c r="B31" t="s">
        <v>931</v>
      </c>
      <c r="C31" t="s">
        <v>41</v>
      </c>
      <c r="D31" t="s">
        <v>195</v>
      </c>
      <c r="E31" t="s">
        <v>22</v>
      </c>
      <c r="F31" s="17">
        <v>400</v>
      </c>
      <c r="G31" s="16">
        <v>102.5</v>
      </c>
      <c r="H31" s="17" t="s">
        <v>2983</v>
      </c>
      <c r="I31" s="15" t="s">
        <v>2817</v>
      </c>
    </row>
    <row r="32" spans="1:9" x14ac:dyDescent="0.35">
      <c r="A32" s="15">
        <v>31</v>
      </c>
      <c r="B32" t="s">
        <v>931</v>
      </c>
      <c r="C32" t="s">
        <v>41</v>
      </c>
      <c r="D32" t="s">
        <v>258</v>
      </c>
      <c r="E32" t="s">
        <v>22</v>
      </c>
      <c r="F32" s="17">
        <v>400</v>
      </c>
      <c r="G32" s="17">
        <v>102.5</v>
      </c>
      <c r="H32" s="17" t="s">
        <v>2983</v>
      </c>
      <c r="I32" s="15" t="s">
        <v>2818</v>
      </c>
    </row>
    <row r="33" spans="1:9" x14ac:dyDescent="0.35">
      <c r="A33" s="15">
        <v>32</v>
      </c>
      <c r="B33" t="s">
        <v>931</v>
      </c>
      <c r="C33" t="s">
        <v>41</v>
      </c>
      <c r="D33" t="s">
        <v>298</v>
      </c>
      <c r="E33" t="s">
        <v>2402</v>
      </c>
      <c r="F33" s="17">
        <v>400</v>
      </c>
      <c r="G33" s="18">
        <v>102.5</v>
      </c>
      <c r="H33" s="17" t="s">
        <v>2983</v>
      </c>
      <c r="I33" s="15" t="s">
        <v>2819</v>
      </c>
    </row>
    <row r="34" spans="1:9" x14ac:dyDescent="0.35">
      <c r="A34" s="15">
        <v>33</v>
      </c>
      <c r="B34" t="s">
        <v>931</v>
      </c>
      <c r="C34" t="s">
        <v>41</v>
      </c>
      <c r="D34" t="s">
        <v>358</v>
      </c>
      <c r="E34" t="s">
        <v>26</v>
      </c>
      <c r="F34" s="17">
        <v>400</v>
      </c>
      <c r="G34" s="16">
        <v>122.5</v>
      </c>
      <c r="H34" s="17" t="s">
        <v>2983</v>
      </c>
      <c r="I34" s="15" t="s">
        <v>2820</v>
      </c>
    </row>
    <row r="35" spans="1:9" x14ac:dyDescent="0.35">
      <c r="A35" s="15">
        <v>34</v>
      </c>
      <c r="B35" t="s">
        <v>931</v>
      </c>
      <c r="C35" t="s">
        <v>41</v>
      </c>
      <c r="D35" t="s">
        <v>428</v>
      </c>
      <c r="E35" t="s">
        <v>26</v>
      </c>
      <c r="F35" s="17">
        <v>400</v>
      </c>
      <c r="G35" s="17">
        <v>122.5</v>
      </c>
      <c r="H35" s="17" t="s">
        <v>2983</v>
      </c>
      <c r="I35" s="15">
        <v>41</v>
      </c>
    </row>
    <row r="36" spans="1:9" x14ac:dyDescent="0.35">
      <c r="A36" s="15">
        <v>35</v>
      </c>
      <c r="B36" t="s">
        <v>931</v>
      </c>
      <c r="C36" t="s">
        <v>41</v>
      </c>
      <c r="D36" t="s">
        <v>498</v>
      </c>
      <c r="E36" t="s">
        <v>29</v>
      </c>
      <c r="F36" s="18">
        <v>400</v>
      </c>
      <c r="G36" s="18">
        <v>122.5</v>
      </c>
      <c r="H36" s="17" t="s">
        <v>2983</v>
      </c>
      <c r="I36" s="15" t="s">
        <v>2821</v>
      </c>
    </row>
    <row r="37" spans="1:9" ht="15" customHeight="1" x14ac:dyDescent="0.35">
      <c r="A37" s="15">
        <v>36</v>
      </c>
      <c r="B37" t="s">
        <v>931</v>
      </c>
      <c r="C37" t="s">
        <v>41</v>
      </c>
      <c r="D37" t="s">
        <v>656</v>
      </c>
      <c r="E37" t="s">
        <v>37</v>
      </c>
      <c r="F37" s="16">
        <v>500</v>
      </c>
      <c r="G37" s="16">
        <v>142.5</v>
      </c>
      <c r="H37" s="18" t="s">
        <v>2983</v>
      </c>
      <c r="I37" s="15" t="s">
        <v>2822</v>
      </c>
    </row>
    <row r="38" spans="1:9" x14ac:dyDescent="0.35">
      <c r="A38" s="15">
        <v>37</v>
      </c>
      <c r="B38" t="s">
        <v>931</v>
      </c>
      <c r="C38" t="s">
        <v>41</v>
      </c>
      <c r="D38" t="s">
        <v>656</v>
      </c>
      <c r="E38" t="s">
        <v>37</v>
      </c>
      <c r="F38" s="17">
        <v>500</v>
      </c>
      <c r="G38" s="17">
        <v>142.5</v>
      </c>
      <c r="H38" s="16" t="s">
        <v>2399</v>
      </c>
      <c r="I38" s="15" t="s">
        <v>2823</v>
      </c>
    </row>
    <row r="39" spans="1:9" x14ac:dyDescent="0.35">
      <c r="A39" s="15">
        <v>38</v>
      </c>
      <c r="B39" t="s">
        <v>931</v>
      </c>
      <c r="C39" t="s">
        <v>41</v>
      </c>
      <c r="D39" t="s">
        <v>800</v>
      </c>
      <c r="E39" t="s">
        <v>41</v>
      </c>
      <c r="F39" s="17">
        <v>500</v>
      </c>
      <c r="G39" s="17">
        <v>142.5</v>
      </c>
      <c r="H39" s="18" t="s">
        <v>2399</v>
      </c>
      <c r="I39" s="15" t="s">
        <v>2824</v>
      </c>
    </row>
    <row r="40" spans="1:9" x14ac:dyDescent="0.35">
      <c r="A40" s="15">
        <v>39</v>
      </c>
      <c r="B40" t="s">
        <v>931</v>
      </c>
      <c r="C40" t="s">
        <v>41</v>
      </c>
      <c r="D40" t="s">
        <v>800</v>
      </c>
      <c r="E40" t="s">
        <v>41</v>
      </c>
      <c r="F40" s="18">
        <v>500</v>
      </c>
      <c r="G40" s="18">
        <v>142.5</v>
      </c>
      <c r="H40" s="16" t="s">
        <v>2983</v>
      </c>
      <c r="I40" s="15" t="s">
        <v>2825</v>
      </c>
    </row>
    <row r="41" spans="1:9" ht="15" customHeight="1" x14ac:dyDescent="0.35">
      <c r="A41" s="15">
        <v>40</v>
      </c>
      <c r="B41" t="s">
        <v>1077</v>
      </c>
      <c r="C41" t="s">
        <v>45</v>
      </c>
      <c r="D41" t="s">
        <v>195</v>
      </c>
      <c r="E41" t="s">
        <v>22</v>
      </c>
      <c r="F41" s="16">
        <v>400</v>
      </c>
      <c r="G41" s="16">
        <v>101.5</v>
      </c>
      <c r="H41" s="17" t="s">
        <v>2983</v>
      </c>
      <c r="I41" s="15" t="s">
        <v>2826</v>
      </c>
    </row>
    <row r="42" spans="1:9" x14ac:dyDescent="0.35">
      <c r="A42" s="15">
        <v>41</v>
      </c>
      <c r="B42" t="s">
        <v>1077</v>
      </c>
      <c r="C42" t="s">
        <v>45</v>
      </c>
      <c r="D42" t="s">
        <v>258</v>
      </c>
      <c r="E42" t="s">
        <v>22</v>
      </c>
      <c r="F42" s="17">
        <v>400</v>
      </c>
      <c r="G42" s="17">
        <v>101.5</v>
      </c>
      <c r="H42" s="17" t="s">
        <v>2983</v>
      </c>
      <c r="I42" s="15" t="s">
        <v>2827</v>
      </c>
    </row>
    <row r="43" spans="1:9" x14ac:dyDescent="0.35">
      <c r="A43" s="15">
        <v>42</v>
      </c>
      <c r="B43" t="s">
        <v>1077</v>
      </c>
      <c r="C43" t="s">
        <v>45</v>
      </c>
      <c r="D43" t="s">
        <v>298</v>
      </c>
      <c r="E43" t="s">
        <v>2402</v>
      </c>
      <c r="F43" s="17">
        <v>400</v>
      </c>
      <c r="G43" s="18">
        <v>101.5</v>
      </c>
      <c r="H43" s="17" t="s">
        <v>2983</v>
      </c>
      <c r="I43" s="15">
        <v>54</v>
      </c>
    </row>
    <row r="44" spans="1:9" x14ac:dyDescent="0.35">
      <c r="A44" s="15">
        <v>43</v>
      </c>
      <c r="B44" t="s">
        <v>1077</v>
      </c>
      <c r="C44" t="s">
        <v>45</v>
      </c>
      <c r="D44" t="s">
        <v>358</v>
      </c>
      <c r="E44" t="s">
        <v>26</v>
      </c>
      <c r="F44" s="17">
        <v>400</v>
      </c>
      <c r="G44" s="16">
        <v>121.5</v>
      </c>
      <c r="H44" s="17" t="s">
        <v>2983</v>
      </c>
      <c r="I44" s="15" t="s">
        <v>2828</v>
      </c>
    </row>
    <row r="45" spans="1:9" x14ac:dyDescent="0.35">
      <c r="A45" s="15">
        <v>44</v>
      </c>
      <c r="B45" t="s">
        <v>1077</v>
      </c>
      <c r="C45" t="s">
        <v>45</v>
      </c>
      <c r="D45" t="s">
        <v>428</v>
      </c>
      <c r="E45" t="s">
        <v>26</v>
      </c>
      <c r="F45" s="17">
        <v>400</v>
      </c>
      <c r="G45" s="17">
        <v>121.5</v>
      </c>
      <c r="H45" s="17" t="s">
        <v>2983</v>
      </c>
      <c r="I45" s="15">
        <v>54</v>
      </c>
    </row>
    <row r="46" spans="1:9" x14ac:dyDescent="0.35">
      <c r="A46" s="15">
        <v>45</v>
      </c>
      <c r="B46" t="s">
        <v>1077</v>
      </c>
      <c r="C46" t="s">
        <v>45</v>
      </c>
      <c r="D46" t="s">
        <v>498</v>
      </c>
      <c r="E46" t="s">
        <v>29</v>
      </c>
      <c r="F46" s="18">
        <v>400</v>
      </c>
      <c r="G46" s="18">
        <v>121.5</v>
      </c>
      <c r="H46" s="17" t="s">
        <v>2983</v>
      </c>
      <c r="I46" s="15">
        <v>55</v>
      </c>
    </row>
    <row r="47" spans="1:9" ht="15" customHeight="1" x14ac:dyDescent="0.35">
      <c r="A47" s="15">
        <v>46</v>
      </c>
      <c r="B47" t="s">
        <v>1077</v>
      </c>
      <c r="C47" t="s">
        <v>45</v>
      </c>
      <c r="D47" t="s">
        <v>656</v>
      </c>
      <c r="E47" t="s">
        <v>37</v>
      </c>
      <c r="F47" s="16">
        <v>600</v>
      </c>
      <c r="G47" s="15">
        <v>141.5</v>
      </c>
      <c r="H47" s="17" t="s">
        <v>2983</v>
      </c>
      <c r="I47" s="15" t="s">
        <v>2829</v>
      </c>
    </row>
    <row r="48" spans="1:9" x14ac:dyDescent="0.35">
      <c r="A48" s="15">
        <v>47</v>
      </c>
      <c r="B48" t="s">
        <v>1077</v>
      </c>
      <c r="C48" t="s">
        <v>45</v>
      </c>
      <c r="D48" t="s">
        <v>800</v>
      </c>
      <c r="E48" t="s">
        <v>41</v>
      </c>
      <c r="F48" s="17">
        <v>600</v>
      </c>
      <c r="G48" s="16">
        <v>141.5</v>
      </c>
      <c r="H48" s="18" t="s">
        <v>2983</v>
      </c>
      <c r="I48" s="15" t="s">
        <v>2830</v>
      </c>
    </row>
    <row r="49" spans="1:9" x14ac:dyDescent="0.35">
      <c r="A49" s="15">
        <v>48</v>
      </c>
      <c r="B49" t="s">
        <v>1077</v>
      </c>
      <c r="C49" t="s">
        <v>45</v>
      </c>
      <c r="D49" t="s">
        <v>800</v>
      </c>
      <c r="E49" t="s">
        <v>41</v>
      </c>
      <c r="F49" s="17">
        <v>600</v>
      </c>
      <c r="G49" s="18">
        <v>141.5</v>
      </c>
      <c r="H49" s="15" t="s">
        <v>2399</v>
      </c>
      <c r="I49" s="15">
        <v>63</v>
      </c>
    </row>
    <row r="50" spans="1:9" x14ac:dyDescent="0.35">
      <c r="A50" s="15">
        <v>49</v>
      </c>
      <c r="B50" t="s">
        <v>1077</v>
      </c>
      <c r="C50" t="s">
        <v>45</v>
      </c>
      <c r="D50" t="s">
        <v>931</v>
      </c>
      <c r="E50" t="s">
        <v>41</v>
      </c>
      <c r="F50" s="17">
        <v>600</v>
      </c>
      <c r="G50" s="16">
        <v>161.5</v>
      </c>
      <c r="H50" s="19" t="s">
        <v>2983</v>
      </c>
      <c r="I50" s="15" t="s">
        <v>2831</v>
      </c>
    </row>
    <row r="51" spans="1:9" x14ac:dyDescent="0.35">
      <c r="A51" s="15">
        <v>50</v>
      </c>
      <c r="B51" t="s">
        <v>1077</v>
      </c>
      <c r="C51" t="s">
        <v>45</v>
      </c>
      <c r="D51" t="s">
        <v>931</v>
      </c>
      <c r="E51" t="s">
        <v>41</v>
      </c>
      <c r="F51" s="18">
        <v>600</v>
      </c>
      <c r="G51" s="18">
        <v>161.5</v>
      </c>
      <c r="H51" s="19" t="s">
        <v>2399</v>
      </c>
      <c r="I51" s="15" t="s">
        <v>2832</v>
      </c>
    </row>
    <row r="52" spans="1:9" ht="15" customHeight="1" x14ac:dyDescent="0.35">
      <c r="A52" s="15">
        <v>51</v>
      </c>
      <c r="B52" t="s">
        <v>1221</v>
      </c>
      <c r="C52" t="s">
        <v>17</v>
      </c>
      <c r="D52" t="s">
        <v>131</v>
      </c>
      <c r="E52" t="s">
        <v>18</v>
      </c>
      <c r="F52" s="16">
        <v>400</v>
      </c>
      <c r="G52" s="16">
        <v>102</v>
      </c>
      <c r="H52" s="16" t="s">
        <v>2983</v>
      </c>
      <c r="I52" s="16" t="s">
        <v>2833</v>
      </c>
    </row>
    <row r="53" spans="1:9" x14ac:dyDescent="0.35">
      <c r="A53" s="15">
        <v>52</v>
      </c>
      <c r="B53" t="s">
        <v>1221</v>
      </c>
      <c r="C53" t="s">
        <v>17</v>
      </c>
      <c r="D53" t="s">
        <v>152</v>
      </c>
      <c r="E53" t="s">
        <v>2399</v>
      </c>
      <c r="F53" s="17">
        <v>400</v>
      </c>
      <c r="G53" s="17">
        <v>102</v>
      </c>
      <c r="H53" s="17" t="s">
        <v>2983</v>
      </c>
      <c r="I53" s="18" t="s">
        <v>2833</v>
      </c>
    </row>
    <row r="54" spans="1:9" x14ac:dyDescent="0.35">
      <c r="A54" s="15">
        <v>53</v>
      </c>
      <c r="B54" t="s">
        <v>1221</v>
      </c>
      <c r="C54" t="s">
        <v>17</v>
      </c>
      <c r="D54" t="s">
        <v>195</v>
      </c>
      <c r="E54" t="s">
        <v>22</v>
      </c>
      <c r="F54" s="17">
        <v>400</v>
      </c>
      <c r="G54" s="17">
        <v>102</v>
      </c>
      <c r="H54" s="17" t="s">
        <v>2983</v>
      </c>
      <c r="I54" s="15">
        <v>49</v>
      </c>
    </row>
    <row r="55" spans="1:9" x14ac:dyDescent="0.35">
      <c r="A55" s="15">
        <v>54</v>
      </c>
      <c r="B55" t="s">
        <v>1221</v>
      </c>
      <c r="C55" t="s">
        <v>17</v>
      </c>
      <c r="D55" t="s">
        <v>258</v>
      </c>
      <c r="E55" t="s">
        <v>22</v>
      </c>
      <c r="F55" s="17">
        <v>400</v>
      </c>
      <c r="G55" s="17">
        <v>102</v>
      </c>
      <c r="H55" s="17" t="s">
        <v>2983</v>
      </c>
      <c r="I55" s="15" t="s">
        <v>2834</v>
      </c>
    </row>
    <row r="56" spans="1:9" x14ac:dyDescent="0.35">
      <c r="A56" s="15">
        <v>55</v>
      </c>
      <c r="B56" t="s">
        <v>1221</v>
      </c>
      <c r="C56" t="s">
        <v>17</v>
      </c>
      <c r="D56" t="s">
        <v>298</v>
      </c>
      <c r="E56" t="s">
        <v>2402</v>
      </c>
      <c r="F56" s="17">
        <v>400</v>
      </c>
      <c r="G56" s="18">
        <v>102</v>
      </c>
      <c r="H56" s="17" t="s">
        <v>2983</v>
      </c>
      <c r="I56" s="15">
        <v>64</v>
      </c>
    </row>
    <row r="57" spans="1:9" x14ac:dyDescent="0.35">
      <c r="A57" s="15">
        <v>56</v>
      </c>
      <c r="B57" t="s">
        <v>1221</v>
      </c>
      <c r="C57" t="s">
        <v>17</v>
      </c>
      <c r="D57" t="s">
        <v>358</v>
      </c>
      <c r="E57" t="s">
        <v>26</v>
      </c>
      <c r="F57" s="18">
        <v>400</v>
      </c>
      <c r="G57" s="16">
        <v>122</v>
      </c>
      <c r="H57" s="17" t="s">
        <v>2983</v>
      </c>
      <c r="I57" s="15" t="s">
        <v>2835</v>
      </c>
    </row>
    <row r="58" spans="1:9" ht="15" customHeight="1" x14ac:dyDescent="0.35">
      <c r="A58" s="15">
        <v>57</v>
      </c>
      <c r="B58" t="s">
        <v>1221</v>
      </c>
      <c r="C58" t="s">
        <v>17</v>
      </c>
      <c r="D58" t="s">
        <v>428</v>
      </c>
      <c r="E58" t="s">
        <v>26</v>
      </c>
      <c r="F58" s="16">
        <v>500</v>
      </c>
      <c r="G58" s="18">
        <v>122</v>
      </c>
      <c r="H58" s="17" t="s">
        <v>2983</v>
      </c>
      <c r="I58" s="15" t="s">
        <v>2836</v>
      </c>
    </row>
    <row r="59" spans="1:9" x14ac:dyDescent="0.35">
      <c r="A59" s="15">
        <v>58</v>
      </c>
      <c r="B59" t="s">
        <v>1221</v>
      </c>
      <c r="C59" t="s">
        <v>17</v>
      </c>
      <c r="D59" t="s">
        <v>498</v>
      </c>
      <c r="E59" t="s">
        <v>29</v>
      </c>
      <c r="F59" s="18">
        <v>500</v>
      </c>
      <c r="G59" s="15">
        <v>122</v>
      </c>
      <c r="H59" s="17" t="s">
        <v>2983</v>
      </c>
      <c r="I59" s="15" t="s">
        <v>2837</v>
      </c>
    </row>
    <row r="60" spans="1:9" ht="15" customHeight="1" x14ac:dyDescent="0.35">
      <c r="A60" s="15">
        <v>59</v>
      </c>
      <c r="B60" t="s">
        <v>1221</v>
      </c>
      <c r="C60" t="s">
        <v>17</v>
      </c>
      <c r="D60" t="s">
        <v>656</v>
      </c>
      <c r="E60" t="s">
        <v>37</v>
      </c>
      <c r="F60" s="16">
        <v>600</v>
      </c>
      <c r="G60" s="16">
        <v>142</v>
      </c>
      <c r="H60" s="17" t="s">
        <v>2983</v>
      </c>
      <c r="I60" s="15" t="s">
        <v>2838</v>
      </c>
    </row>
    <row r="61" spans="1:9" x14ac:dyDescent="0.35">
      <c r="A61" s="15">
        <v>60</v>
      </c>
      <c r="B61" t="s">
        <v>1221</v>
      </c>
      <c r="C61" t="s">
        <v>17</v>
      </c>
      <c r="D61" t="s">
        <v>800</v>
      </c>
      <c r="E61" t="s">
        <v>41</v>
      </c>
      <c r="F61" s="17">
        <v>600</v>
      </c>
      <c r="G61" s="17">
        <v>142</v>
      </c>
      <c r="H61" s="18" t="s">
        <v>2983</v>
      </c>
      <c r="I61" s="15" t="s">
        <v>2839</v>
      </c>
    </row>
    <row r="62" spans="1:9" x14ac:dyDescent="0.35">
      <c r="A62" s="15">
        <v>61</v>
      </c>
      <c r="B62" t="s">
        <v>1221</v>
      </c>
      <c r="C62" t="s">
        <v>17</v>
      </c>
      <c r="D62" t="s">
        <v>800</v>
      </c>
      <c r="E62" t="s">
        <v>41</v>
      </c>
      <c r="F62" s="17">
        <v>600</v>
      </c>
      <c r="G62" s="17">
        <v>142</v>
      </c>
      <c r="H62" s="15" t="s">
        <v>2399</v>
      </c>
      <c r="I62" s="15" t="s">
        <v>2840</v>
      </c>
    </row>
    <row r="63" spans="1:9" x14ac:dyDescent="0.35">
      <c r="A63" s="15">
        <v>62</v>
      </c>
      <c r="B63" t="s">
        <v>1221</v>
      </c>
      <c r="C63" t="s">
        <v>45</v>
      </c>
      <c r="D63" t="s">
        <v>800</v>
      </c>
      <c r="E63" t="s">
        <v>34</v>
      </c>
      <c r="F63" s="18">
        <v>600</v>
      </c>
      <c r="G63" s="18">
        <v>142</v>
      </c>
      <c r="H63" s="15" t="s">
        <v>2405</v>
      </c>
      <c r="I63" s="15" t="s">
        <v>2841</v>
      </c>
    </row>
    <row r="64" spans="1:9" ht="15" customHeight="1" x14ac:dyDescent="0.35">
      <c r="A64" s="15">
        <v>63</v>
      </c>
      <c r="B64" t="s">
        <v>1221</v>
      </c>
      <c r="C64" t="s">
        <v>17</v>
      </c>
      <c r="D64" t="s">
        <v>931</v>
      </c>
      <c r="E64" t="s">
        <v>41</v>
      </c>
      <c r="F64" s="16">
        <v>700</v>
      </c>
      <c r="G64" s="16">
        <v>162</v>
      </c>
      <c r="H64" s="15" t="s">
        <v>2983</v>
      </c>
      <c r="I64" s="15" t="s">
        <v>2842</v>
      </c>
    </row>
    <row r="65" spans="1:9" x14ac:dyDescent="0.35">
      <c r="A65" s="15">
        <v>64</v>
      </c>
      <c r="B65" t="s">
        <v>1221</v>
      </c>
      <c r="C65" t="s">
        <v>17</v>
      </c>
      <c r="D65" t="s">
        <v>931</v>
      </c>
      <c r="E65" t="s">
        <v>41</v>
      </c>
      <c r="F65" s="17">
        <v>700</v>
      </c>
      <c r="G65" s="17">
        <v>162</v>
      </c>
      <c r="H65" s="15" t="s">
        <v>2399</v>
      </c>
      <c r="I65" s="15" t="s">
        <v>2843</v>
      </c>
    </row>
    <row r="66" spans="1:9" x14ac:dyDescent="0.35">
      <c r="A66" s="15">
        <v>65</v>
      </c>
      <c r="B66" t="s">
        <v>1221</v>
      </c>
      <c r="C66" t="s">
        <v>45</v>
      </c>
      <c r="D66" t="s">
        <v>931</v>
      </c>
      <c r="E66" t="s">
        <v>34</v>
      </c>
      <c r="F66" s="17">
        <v>700</v>
      </c>
      <c r="G66" s="17">
        <v>162</v>
      </c>
      <c r="H66" s="15" t="s">
        <v>2405</v>
      </c>
      <c r="I66" s="15" t="s">
        <v>2844</v>
      </c>
    </row>
    <row r="67" spans="1:9" x14ac:dyDescent="0.35">
      <c r="A67" s="15">
        <v>66</v>
      </c>
      <c r="B67" t="s">
        <v>1221</v>
      </c>
      <c r="C67" t="s">
        <v>17</v>
      </c>
      <c r="D67" t="s">
        <v>1077</v>
      </c>
      <c r="E67" t="s">
        <v>45</v>
      </c>
      <c r="F67" s="17">
        <v>700</v>
      </c>
      <c r="G67" s="17">
        <v>162</v>
      </c>
      <c r="H67" s="15" t="s">
        <v>2983</v>
      </c>
      <c r="I67" s="15" t="s">
        <v>2845</v>
      </c>
    </row>
    <row r="68" spans="1:9" x14ac:dyDescent="0.35">
      <c r="A68" s="15">
        <v>67</v>
      </c>
      <c r="B68" t="s">
        <v>1221</v>
      </c>
      <c r="C68" t="s">
        <v>17</v>
      </c>
      <c r="D68" t="s">
        <v>1077</v>
      </c>
      <c r="E68" t="s">
        <v>45</v>
      </c>
      <c r="F68" s="17">
        <v>700</v>
      </c>
      <c r="G68" s="17">
        <v>162</v>
      </c>
      <c r="H68" s="19" t="s">
        <v>2399</v>
      </c>
      <c r="I68" s="15" t="s">
        <v>2846</v>
      </c>
    </row>
    <row r="69" spans="1:9" x14ac:dyDescent="0.35">
      <c r="A69" s="15">
        <v>68</v>
      </c>
      <c r="B69" t="s">
        <v>1221</v>
      </c>
      <c r="C69" t="s">
        <v>17</v>
      </c>
      <c r="D69" t="s">
        <v>1077</v>
      </c>
      <c r="E69" t="s">
        <v>45</v>
      </c>
      <c r="F69" s="18">
        <v>700</v>
      </c>
      <c r="G69" s="18">
        <v>162</v>
      </c>
      <c r="H69" s="19" t="s">
        <v>2405</v>
      </c>
      <c r="I69" s="15" t="s">
        <v>2742</v>
      </c>
    </row>
    <row r="70" spans="1:9" ht="15" customHeight="1" x14ac:dyDescent="0.35">
      <c r="A70" s="15">
        <v>69</v>
      </c>
      <c r="B70" t="s">
        <v>1512</v>
      </c>
      <c r="C70" t="s">
        <v>41</v>
      </c>
      <c r="D70" t="s">
        <v>428</v>
      </c>
      <c r="E70" t="s">
        <v>26</v>
      </c>
      <c r="F70" s="16">
        <v>500</v>
      </c>
      <c r="G70" s="16">
        <v>120</v>
      </c>
      <c r="H70" s="16" t="s">
        <v>2399</v>
      </c>
      <c r="I70" s="15" t="s">
        <v>2847</v>
      </c>
    </row>
    <row r="71" spans="1:9" x14ac:dyDescent="0.35">
      <c r="A71" s="15">
        <v>70</v>
      </c>
      <c r="B71" t="s">
        <v>1512</v>
      </c>
      <c r="C71" t="s">
        <v>41</v>
      </c>
      <c r="D71" t="s">
        <v>498</v>
      </c>
      <c r="E71" t="s">
        <v>29</v>
      </c>
      <c r="F71" s="18">
        <v>500</v>
      </c>
      <c r="G71" s="18">
        <v>120</v>
      </c>
      <c r="H71" s="17" t="s">
        <v>2399</v>
      </c>
      <c r="I71" s="15" t="s">
        <v>2848</v>
      </c>
    </row>
    <row r="72" spans="1:9" ht="15" customHeight="1" x14ac:dyDescent="0.35">
      <c r="A72" s="15">
        <v>71</v>
      </c>
      <c r="B72" t="s">
        <v>1512</v>
      </c>
      <c r="C72" t="s">
        <v>41</v>
      </c>
      <c r="D72" t="s">
        <v>656</v>
      </c>
      <c r="E72" t="s">
        <v>37</v>
      </c>
      <c r="F72" s="16">
        <v>600</v>
      </c>
      <c r="G72" s="16">
        <v>140</v>
      </c>
      <c r="H72" s="17" t="s">
        <v>2399</v>
      </c>
      <c r="I72" s="15" t="s">
        <v>2849</v>
      </c>
    </row>
    <row r="73" spans="1:9" x14ac:dyDescent="0.35">
      <c r="A73" s="15">
        <v>72</v>
      </c>
      <c r="B73" t="s">
        <v>1512</v>
      </c>
      <c r="C73" t="s">
        <v>41</v>
      </c>
      <c r="D73" t="s">
        <v>800</v>
      </c>
      <c r="E73" t="s">
        <v>41</v>
      </c>
      <c r="F73" s="18">
        <v>600</v>
      </c>
      <c r="G73" s="18">
        <v>140</v>
      </c>
      <c r="H73" s="17" t="s">
        <v>2399</v>
      </c>
      <c r="I73" s="15" t="s">
        <v>2850</v>
      </c>
    </row>
    <row r="74" spans="1:9" ht="15" customHeight="1" x14ac:dyDescent="0.35">
      <c r="A74" s="15">
        <v>73</v>
      </c>
      <c r="B74" t="s">
        <v>1512</v>
      </c>
      <c r="C74" t="s">
        <v>41</v>
      </c>
      <c r="D74" t="s">
        <v>931</v>
      </c>
      <c r="E74" t="s">
        <v>41</v>
      </c>
      <c r="F74" s="16">
        <v>700</v>
      </c>
      <c r="G74" s="16">
        <v>160</v>
      </c>
      <c r="H74" s="18" t="s">
        <v>2399</v>
      </c>
      <c r="I74" s="15" t="s">
        <v>2851</v>
      </c>
    </row>
    <row r="75" spans="1:9" x14ac:dyDescent="0.35">
      <c r="A75" s="15">
        <v>74</v>
      </c>
      <c r="B75" t="s">
        <v>1512</v>
      </c>
      <c r="C75" t="s">
        <v>41</v>
      </c>
      <c r="D75" t="s">
        <v>931</v>
      </c>
      <c r="E75" t="s">
        <v>34</v>
      </c>
      <c r="F75" s="17">
        <v>700</v>
      </c>
      <c r="G75" s="17">
        <v>160</v>
      </c>
      <c r="H75" s="15" t="s">
        <v>2405</v>
      </c>
      <c r="I75" s="15" t="s">
        <v>2852</v>
      </c>
    </row>
    <row r="76" spans="1:9" x14ac:dyDescent="0.35">
      <c r="A76" s="15">
        <v>75</v>
      </c>
      <c r="B76" t="s">
        <v>1512</v>
      </c>
      <c r="C76" t="s">
        <v>41</v>
      </c>
      <c r="D76" t="s">
        <v>1077</v>
      </c>
      <c r="E76" t="s">
        <v>45</v>
      </c>
      <c r="F76" s="17">
        <v>700</v>
      </c>
      <c r="G76" s="17">
        <v>160</v>
      </c>
      <c r="H76" s="15" t="s">
        <v>2399</v>
      </c>
      <c r="I76" s="16" t="s">
        <v>2853</v>
      </c>
    </row>
    <row r="77" spans="1:9" x14ac:dyDescent="0.35">
      <c r="A77" s="15">
        <v>76</v>
      </c>
      <c r="B77" t="s">
        <v>1512</v>
      </c>
      <c r="C77" t="s">
        <v>41</v>
      </c>
      <c r="D77" t="s">
        <v>1077</v>
      </c>
      <c r="E77" t="s">
        <v>45</v>
      </c>
      <c r="F77" s="17">
        <v>700</v>
      </c>
      <c r="G77" s="18">
        <v>160</v>
      </c>
      <c r="H77" s="19" t="s">
        <v>2405</v>
      </c>
      <c r="I77" s="15" t="s">
        <v>2854</v>
      </c>
    </row>
    <row r="78" spans="1:9" x14ac:dyDescent="0.35">
      <c r="A78" s="15">
        <v>77</v>
      </c>
      <c r="B78" t="s">
        <v>1512</v>
      </c>
      <c r="C78" t="s">
        <v>41</v>
      </c>
      <c r="D78" t="s">
        <v>1221</v>
      </c>
      <c r="E78" t="s">
        <v>17</v>
      </c>
      <c r="F78" s="17">
        <v>700</v>
      </c>
      <c r="G78" s="16">
        <v>180</v>
      </c>
      <c r="H78" s="19" t="s">
        <v>2399</v>
      </c>
      <c r="I78" s="16" t="s">
        <v>2712</v>
      </c>
    </row>
    <row r="79" spans="1:9" x14ac:dyDescent="0.35">
      <c r="A79" s="15">
        <v>78</v>
      </c>
      <c r="B79" t="s">
        <v>1512</v>
      </c>
      <c r="C79" t="s">
        <v>41</v>
      </c>
      <c r="D79" t="s">
        <v>1221</v>
      </c>
      <c r="E79" t="s">
        <v>45</v>
      </c>
      <c r="F79" s="18">
        <v>700</v>
      </c>
      <c r="G79" s="18">
        <v>180</v>
      </c>
      <c r="H79" s="16" t="s">
        <v>2405</v>
      </c>
      <c r="I79" s="15" t="s">
        <v>2855</v>
      </c>
    </row>
    <row r="80" spans="1:9" x14ac:dyDescent="0.35">
      <c r="A80" s="15">
        <v>79</v>
      </c>
      <c r="B80" t="s">
        <v>1809</v>
      </c>
      <c r="C80" t="s">
        <v>41</v>
      </c>
      <c r="D80" t="s">
        <v>656</v>
      </c>
      <c r="E80" t="s">
        <v>34</v>
      </c>
      <c r="F80" s="16">
        <v>600</v>
      </c>
      <c r="G80" s="16">
        <v>140</v>
      </c>
      <c r="H80" s="17" t="s">
        <v>2405</v>
      </c>
      <c r="I80" s="15" t="s">
        <v>2856</v>
      </c>
    </row>
    <row r="81" spans="1:9" x14ac:dyDescent="0.35">
      <c r="A81" s="15">
        <v>80</v>
      </c>
      <c r="B81" t="s">
        <v>1809</v>
      </c>
      <c r="C81" t="s">
        <v>41</v>
      </c>
      <c r="D81" t="s">
        <v>800</v>
      </c>
      <c r="E81" t="s">
        <v>34</v>
      </c>
      <c r="F81" s="18">
        <v>600</v>
      </c>
      <c r="G81" s="18">
        <v>140</v>
      </c>
      <c r="H81" s="18" t="s">
        <v>2405</v>
      </c>
      <c r="I81" s="15" t="s">
        <v>2857</v>
      </c>
    </row>
    <row r="82" spans="1:9" x14ac:dyDescent="0.35">
      <c r="A82" s="15">
        <v>81</v>
      </c>
      <c r="B82" t="s">
        <v>1809</v>
      </c>
      <c r="C82" t="s">
        <v>33</v>
      </c>
      <c r="D82" t="s">
        <v>931</v>
      </c>
      <c r="E82" t="s">
        <v>41</v>
      </c>
      <c r="F82" s="16">
        <v>700</v>
      </c>
      <c r="G82" s="16">
        <v>160</v>
      </c>
      <c r="H82" s="15" t="s">
        <v>2399</v>
      </c>
      <c r="I82" s="15" t="s">
        <v>2858</v>
      </c>
    </row>
    <row r="83" spans="1:9" x14ac:dyDescent="0.35">
      <c r="A83" s="15">
        <v>82</v>
      </c>
      <c r="B83" t="s">
        <v>1809</v>
      </c>
      <c r="C83" t="s">
        <v>41</v>
      </c>
      <c r="D83" t="s">
        <v>931</v>
      </c>
      <c r="E83" t="s">
        <v>34</v>
      </c>
      <c r="F83" s="17">
        <v>700</v>
      </c>
      <c r="G83" s="17">
        <v>160</v>
      </c>
      <c r="H83" s="15" t="s">
        <v>2405</v>
      </c>
      <c r="I83" s="15">
        <v>113</v>
      </c>
    </row>
    <row r="84" spans="1:9" ht="15" customHeight="1" x14ac:dyDescent="0.35">
      <c r="A84" s="15">
        <v>83</v>
      </c>
      <c r="B84" t="s">
        <v>1809</v>
      </c>
      <c r="C84" t="s">
        <v>33</v>
      </c>
      <c r="D84" t="s">
        <v>1077</v>
      </c>
      <c r="E84" t="s">
        <v>45</v>
      </c>
      <c r="F84" s="17">
        <v>700</v>
      </c>
      <c r="G84" s="17">
        <v>160</v>
      </c>
      <c r="H84" s="15" t="s">
        <v>2399</v>
      </c>
      <c r="I84" s="15" t="s">
        <v>2859</v>
      </c>
    </row>
    <row r="85" spans="1:9" x14ac:dyDescent="0.35">
      <c r="A85" s="15">
        <v>84</v>
      </c>
      <c r="B85" t="s">
        <v>1809</v>
      </c>
      <c r="C85" t="s">
        <v>41</v>
      </c>
      <c r="D85" t="s">
        <v>1077</v>
      </c>
      <c r="E85" t="s">
        <v>45</v>
      </c>
      <c r="F85" s="18">
        <v>700</v>
      </c>
      <c r="G85" s="18">
        <v>160</v>
      </c>
      <c r="H85" s="15" t="s">
        <v>2405</v>
      </c>
      <c r="I85" s="15" t="s">
        <v>2860</v>
      </c>
    </row>
    <row r="86" spans="1:9" ht="15" customHeight="1" x14ac:dyDescent="0.35">
      <c r="A86" s="15">
        <v>85</v>
      </c>
      <c r="B86" t="s">
        <v>1809</v>
      </c>
      <c r="C86" t="s">
        <v>33</v>
      </c>
      <c r="D86" t="s">
        <v>1221</v>
      </c>
      <c r="E86" t="s">
        <v>17</v>
      </c>
      <c r="F86" s="16">
        <v>800</v>
      </c>
      <c r="G86" s="16">
        <v>180</v>
      </c>
      <c r="H86" s="15" t="s">
        <v>2399</v>
      </c>
      <c r="I86" s="15" t="s">
        <v>2861</v>
      </c>
    </row>
    <row r="87" spans="1:9" x14ac:dyDescent="0.35">
      <c r="A87" s="15">
        <v>86</v>
      </c>
      <c r="B87" t="s">
        <v>1809</v>
      </c>
      <c r="C87" t="s">
        <v>41</v>
      </c>
      <c r="D87" t="s">
        <v>1221</v>
      </c>
      <c r="E87" t="s">
        <v>45</v>
      </c>
      <c r="F87" s="17">
        <v>800</v>
      </c>
      <c r="G87" s="17">
        <v>180</v>
      </c>
      <c r="H87" s="15" t="s">
        <v>2405</v>
      </c>
      <c r="I87" s="15" t="s">
        <v>2862</v>
      </c>
    </row>
    <row r="88" spans="1:9" x14ac:dyDescent="0.35">
      <c r="A88" s="15">
        <v>87</v>
      </c>
      <c r="B88" t="s">
        <v>1809</v>
      </c>
      <c r="C88" t="s">
        <v>33</v>
      </c>
      <c r="D88" t="s">
        <v>1512</v>
      </c>
      <c r="E88" t="s">
        <v>41</v>
      </c>
      <c r="F88" s="17">
        <v>800</v>
      </c>
      <c r="G88" s="17">
        <v>180</v>
      </c>
      <c r="H88" s="15" t="s">
        <v>2399</v>
      </c>
      <c r="I88" s="15" t="s">
        <v>2863</v>
      </c>
    </row>
    <row r="89" spans="1:9" x14ac:dyDescent="0.35">
      <c r="A89" s="15">
        <v>88</v>
      </c>
      <c r="B89" t="s">
        <v>1809</v>
      </c>
      <c r="C89" t="s">
        <v>41</v>
      </c>
      <c r="D89" t="s">
        <v>1512</v>
      </c>
      <c r="E89" t="s">
        <v>41</v>
      </c>
      <c r="F89" s="17">
        <v>800</v>
      </c>
      <c r="G89" s="17">
        <v>180</v>
      </c>
      <c r="H89" s="19" t="s">
        <v>2405</v>
      </c>
      <c r="I89" s="15" t="s">
        <v>2864</v>
      </c>
    </row>
    <row r="90" spans="1:9" ht="15" customHeight="1" x14ac:dyDescent="0.35">
      <c r="A90" s="15">
        <v>89</v>
      </c>
      <c r="B90" t="s">
        <v>1809</v>
      </c>
      <c r="C90" t="s">
        <v>41</v>
      </c>
      <c r="D90" t="s">
        <v>1512</v>
      </c>
      <c r="E90" t="s">
        <v>41</v>
      </c>
      <c r="F90" s="18">
        <v>800</v>
      </c>
      <c r="G90" s="18">
        <v>180</v>
      </c>
      <c r="H90" s="19" t="s">
        <v>2984</v>
      </c>
      <c r="I90" s="15" t="s">
        <v>2865</v>
      </c>
    </row>
    <row r="91" spans="1:9" x14ac:dyDescent="0.35">
      <c r="A91" s="15">
        <v>90</v>
      </c>
      <c r="B91" t="s">
        <v>1969</v>
      </c>
      <c r="C91" t="s">
        <v>45</v>
      </c>
      <c r="D91" t="s">
        <v>358</v>
      </c>
      <c r="E91" t="s">
        <v>26</v>
      </c>
      <c r="F91" s="16">
        <v>600</v>
      </c>
      <c r="G91" s="16">
        <v>120</v>
      </c>
      <c r="H91" s="16" t="s">
        <v>2399</v>
      </c>
      <c r="I91" s="15" t="s">
        <v>2866</v>
      </c>
    </row>
    <row r="92" spans="1:9" x14ac:dyDescent="0.35">
      <c r="A92" s="15">
        <v>91</v>
      </c>
      <c r="B92" t="s">
        <v>1969</v>
      </c>
      <c r="C92" t="s">
        <v>45</v>
      </c>
      <c r="D92" t="s">
        <v>428</v>
      </c>
      <c r="E92" t="s">
        <v>26</v>
      </c>
      <c r="F92" s="17">
        <v>600</v>
      </c>
      <c r="G92" s="17">
        <v>120</v>
      </c>
      <c r="H92" s="17" t="s">
        <v>2399</v>
      </c>
      <c r="I92" s="15" t="s">
        <v>2867</v>
      </c>
    </row>
    <row r="93" spans="1:9" x14ac:dyDescent="0.35">
      <c r="A93" s="15">
        <v>92</v>
      </c>
      <c r="B93" t="s">
        <v>1969</v>
      </c>
      <c r="C93" t="s">
        <v>45</v>
      </c>
      <c r="D93" t="s">
        <v>498</v>
      </c>
      <c r="E93" t="s">
        <v>29</v>
      </c>
      <c r="F93" s="17">
        <v>600</v>
      </c>
      <c r="G93" s="18">
        <v>120</v>
      </c>
      <c r="H93" s="17" t="s">
        <v>2399</v>
      </c>
      <c r="I93" s="15">
        <v>116</v>
      </c>
    </row>
    <row r="94" spans="1:9" x14ac:dyDescent="0.35">
      <c r="A94" s="15">
        <v>93</v>
      </c>
      <c r="B94" t="s">
        <v>1969</v>
      </c>
      <c r="C94" t="s">
        <v>45</v>
      </c>
      <c r="D94" t="s">
        <v>656</v>
      </c>
      <c r="E94" t="s">
        <v>37</v>
      </c>
      <c r="F94" s="18">
        <v>600</v>
      </c>
      <c r="G94" s="16">
        <v>140</v>
      </c>
      <c r="H94" s="17" t="s">
        <v>2399</v>
      </c>
      <c r="I94" s="15" t="s">
        <v>2868</v>
      </c>
    </row>
    <row r="95" spans="1:9" ht="15" customHeight="1" x14ac:dyDescent="0.35">
      <c r="A95" s="15">
        <v>94</v>
      </c>
      <c r="B95" t="s">
        <v>1969</v>
      </c>
      <c r="C95" t="s">
        <v>45</v>
      </c>
      <c r="D95" t="s">
        <v>800</v>
      </c>
      <c r="E95" t="s">
        <v>41</v>
      </c>
      <c r="F95" s="16">
        <v>750</v>
      </c>
      <c r="G95" s="17">
        <v>140</v>
      </c>
      <c r="H95" s="18" t="s">
        <v>2399</v>
      </c>
      <c r="I95" s="16" t="s">
        <v>2869</v>
      </c>
    </row>
    <row r="96" spans="1:9" x14ac:dyDescent="0.35">
      <c r="A96" s="15">
        <v>95</v>
      </c>
      <c r="B96" t="s">
        <v>1969</v>
      </c>
      <c r="C96" t="s">
        <v>45</v>
      </c>
      <c r="D96" t="s">
        <v>800</v>
      </c>
      <c r="E96" t="s">
        <v>34</v>
      </c>
      <c r="F96" s="17">
        <v>750</v>
      </c>
      <c r="G96" s="15">
        <v>160</v>
      </c>
      <c r="H96" s="16" t="s">
        <v>2405</v>
      </c>
      <c r="I96" s="15" t="s">
        <v>2870</v>
      </c>
    </row>
    <row r="97" spans="1:9" x14ac:dyDescent="0.35">
      <c r="A97" s="15">
        <v>96</v>
      </c>
      <c r="B97" t="s">
        <v>1969</v>
      </c>
      <c r="C97" t="s">
        <v>45</v>
      </c>
      <c r="D97" t="s">
        <v>931</v>
      </c>
      <c r="E97" t="s">
        <v>34</v>
      </c>
      <c r="F97" s="17">
        <v>750</v>
      </c>
      <c r="G97" s="15">
        <v>140</v>
      </c>
      <c r="H97" s="18" t="s">
        <v>2405</v>
      </c>
      <c r="I97" s="15" t="s">
        <v>2871</v>
      </c>
    </row>
    <row r="98" spans="1:9" x14ac:dyDescent="0.35">
      <c r="A98" s="15">
        <v>97</v>
      </c>
      <c r="B98" t="s">
        <v>1969</v>
      </c>
      <c r="C98" t="s">
        <v>45</v>
      </c>
      <c r="D98" t="s">
        <v>931</v>
      </c>
      <c r="E98" t="s">
        <v>41</v>
      </c>
      <c r="F98" s="17">
        <v>750</v>
      </c>
      <c r="G98" s="16">
        <v>160</v>
      </c>
      <c r="H98" s="16" t="s">
        <v>2399</v>
      </c>
      <c r="I98" s="16" t="s">
        <v>2872</v>
      </c>
    </row>
    <row r="99" spans="1:9" ht="15" customHeight="1" x14ac:dyDescent="0.35">
      <c r="A99" s="15">
        <v>98</v>
      </c>
      <c r="B99" t="s">
        <v>1969</v>
      </c>
      <c r="C99" t="s">
        <v>45</v>
      </c>
      <c r="D99" t="s">
        <v>1077</v>
      </c>
      <c r="E99" t="s">
        <v>45</v>
      </c>
      <c r="F99" s="17">
        <v>750</v>
      </c>
      <c r="G99" s="17">
        <v>160</v>
      </c>
      <c r="H99" s="18" t="s">
        <v>2399</v>
      </c>
      <c r="I99" s="15" t="s">
        <v>2873</v>
      </c>
    </row>
    <row r="100" spans="1:9" x14ac:dyDescent="0.35">
      <c r="A100" s="15">
        <v>99</v>
      </c>
      <c r="B100" t="s">
        <v>1969</v>
      </c>
      <c r="C100" t="s">
        <v>45</v>
      </c>
      <c r="D100" t="s">
        <v>1077</v>
      </c>
      <c r="E100" t="s">
        <v>45</v>
      </c>
      <c r="F100" s="18">
        <v>750</v>
      </c>
      <c r="G100" s="18">
        <v>160</v>
      </c>
      <c r="H100" s="15" t="s">
        <v>2405</v>
      </c>
      <c r="I100" s="15" t="s">
        <v>2874</v>
      </c>
    </row>
    <row r="101" spans="1:9" x14ac:dyDescent="0.35">
      <c r="A101" s="15">
        <v>100</v>
      </c>
      <c r="B101" t="s">
        <v>1969</v>
      </c>
      <c r="C101" t="s">
        <v>45</v>
      </c>
      <c r="D101" t="s">
        <v>1221</v>
      </c>
      <c r="E101" t="s">
        <v>17</v>
      </c>
      <c r="F101" s="16">
        <v>900</v>
      </c>
      <c r="G101" s="16">
        <v>180</v>
      </c>
      <c r="H101" s="15" t="s">
        <v>2399</v>
      </c>
      <c r="I101" s="16" t="s">
        <v>2875</v>
      </c>
    </row>
    <row r="102" spans="1:9" x14ac:dyDescent="0.35">
      <c r="A102" s="15">
        <v>101</v>
      </c>
      <c r="B102" t="s">
        <v>1969</v>
      </c>
      <c r="C102" t="s">
        <v>45</v>
      </c>
      <c r="D102" t="s">
        <v>1221</v>
      </c>
      <c r="E102" t="s">
        <v>45</v>
      </c>
      <c r="F102" s="17">
        <v>900</v>
      </c>
      <c r="G102" s="17">
        <v>180</v>
      </c>
      <c r="H102" s="15" t="s">
        <v>2405</v>
      </c>
      <c r="I102" s="15" t="s">
        <v>2876</v>
      </c>
    </row>
    <row r="103" spans="1:9" x14ac:dyDescent="0.35">
      <c r="A103" s="15">
        <v>102</v>
      </c>
      <c r="B103" t="s">
        <v>1969</v>
      </c>
      <c r="C103" t="s">
        <v>45</v>
      </c>
      <c r="D103" t="s">
        <v>1512</v>
      </c>
      <c r="E103" t="s">
        <v>41</v>
      </c>
      <c r="F103" s="17">
        <v>900</v>
      </c>
      <c r="G103" s="17">
        <v>180</v>
      </c>
      <c r="H103" s="15" t="s">
        <v>2399</v>
      </c>
      <c r="I103" s="15" t="s">
        <v>2877</v>
      </c>
    </row>
    <row r="104" spans="1:9" x14ac:dyDescent="0.35">
      <c r="A104" s="15">
        <v>103</v>
      </c>
      <c r="B104" t="s">
        <v>1969</v>
      </c>
      <c r="C104" t="s">
        <v>45</v>
      </c>
      <c r="D104" t="s">
        <v>1512</v>
      </c>
      <c r="E104" t="s">
        <v>41</v>
      </c>
      <c r="F104" s="17">
        <v>900</v>
      </c>
      <c r="G104" s="18">
        <v>180</v>
      </c>
      <c r="H104" s="15" t="s">
        <v>2405</v>
      </c>
      <c r="I104" s="15" t="s">
        <v>2878</v>
      </c>
    </row>
    <row r="105" spans="1:9" x14ac:dyDescent="0.35">
      <c r="A105" s="15">
        <v>104</v>
      </c>
      <c r="B105" t="s">
        <v>1969</v>
      </c>
      <c r="C105" t="s">
        <v>45</v>
      </c>
      <c r="D105" t="s">
        <v>1809</v>
      </c>
      <c r="E105" t="s">
        <v>33</v>
      </c>
      <c r="F105" s="17">
        <v>900</v>
      </c>
      <c r="G105" s="16">
        <v>220</v>
      </c>
      <c r="H105" s="15" t="s">
        <v>2399</v>
      </c>
      <c r="I105" s="15" t="s">
        <v>2879</v>
      </c>
    </row>
    <row r="106" spans="1:9" x14ac:dyDescent="0.35">
      <c r="A106" s="15">
        <v>105</v>
      </c>
      <c r="B106" t="s">
        <v>1969</v>
      </c>
      <c r="C106" t="s">
        <v>45</v>
      </c>
      <c r="D106" t="s">
        <v>1809</v>
      </c>
      <c r="E106" t="s">
        <v>41</v>
      </c>
      <c r="F106" s="17">
        <v>900</v>
      </c>
      <c r="G106" s="17">
        <v>220</v>
      </c>
      <c r="H106" s="19" t="s">
        <v>2405</v>
      </c>
      <c r="I106" s="15" t="s">
        <v>2880</v>
      </c>
    </row>
    <row r="107" spans="1:9" x14ac:dyDescent="0.35">
      <c r="A107" s="15">
        <v>106</v>
      </c>
      <c r="B107" t="s">
        <v>1969</v>
      </c>
      <c r="C107" t="s">
        <v>45</v>
      </c>
      <c r="D107" t="s">
        <v>1809</v>
      </c>
      <c r="E107" t="s">
        <v>41</v>
      </c>
      <c r="F107" s="18">
        <v>900</v>
      </c>
      <c r="G107" s="18">
        <v>220</v>
      </c>
      <c r="H107" s="19" t="s">
        <v>2984</v>
      </c>
      <c r="I107" s="15" t="s">
        <v>2881</v>
      </c>
    </row>
    <row r="108" spans="1:9" ht="15" customHeight="1" x14ac:dyDescent="0.35">
      <c r="A108" s="15">
        <v>107</v>
      </c>
      <c r="B108" t="s">
        <v>2042</v>
      </c>
      <c r="C108" t="s">
        <v>51</v>
      </c>
      <c r="D108" t="s">
        <v>656</v>
      </c>
      <c r="E108" t="s">
        <v>37</v>
      </c>
      <c r="F108" s="16">
        <v>600</v>
      </c>
      <c r="G108" s="16">
        <v>140</v>
      </c>
      <c r="H108" s="16" t="s">
        <v>2399</v>
      </c>
      <c r="I108" s="16">
        <v>168</v>
      </c>
    </row>
    <row r="109" spans="1:9" x14ac:dyDescent="0.35">
      <c r="A109" s="15">
        <v>108</v>
      </c>
      <c r="B109" t="s">
        <v>2042</v>
      </c>
      <c r="C109" t="s">
        <v>51</v>
      </c>
      <c r="D109" t="s">
        <v>800</v>
      </c>
      <c r="E109" t="s">
        <v>41</v>
      </c>
      <c r="F109" s="16">
        <v>750</v>
      </c>
      <c r="G109" s="17">
        <v>140</v>
      </c>
      <c r="H109" s="18" t="s">
        <v>2399</v>
      </c>
      <c r="I109" s="15" t="s">
        <v>2882</v>
      </c>
    </row>
    <row r="110" spans="1:9" x14ac:dyDescent="0.35">
      <c r="A110" s="15">
        <v>109</v>
      </c>
      <c r="B110" t="s">
        <v>2042</v>
      </c>
      <c r="C110" t="s">
        <v>45</v>
      </c>
      <c r="D110" t="s">
        <v>800</v>
      </c>
      <c r="E110" t="s">
        <v>34</v>
      </c>
      <c r="F110" s="17">
        <v>750</v>
      </c>
      <c r="G110" s="18">
        <v>140</v>
      </c>
      <c r="H110" s="15" t="s">
        <v>2405</v>
      </c>
      <c r="I110" s="15" t="s">
        <v>2883</v>
      </c>
    </row>
    <row r="111" spans="1:9" x14ac:dyDescent="0.35">
      <c r="A111" s="15">
        <v>110</v>
      </c>
      <c r="B111" t="s">
        <v>2042</v>
      </c>
      <c r="C111" t="s">
        <v>51</v>
      </c>
      <c r="D111" t="s">
        <v>931</v>
      </c>
      <c r="E111" t="s">
        <v>41</v>
      </c>
      <c r="F111" s="17">
        <v>750</v>
      </c>
      <c r="G111" s="16">
        <v>160</v>
      </c>
      <c r="H111" s="15" t="s">
        <v>2399</v>
      </c>
      <c r="I111" s="16" t="s">
        <v>2884</v>
      </c>
    </row>
    <row r="112" spans="1:9" x14ac:dyDescent="0.35">
      <c r="A112" s="15">
        <v>111</v>
      </c>
      <c r="B112" t="s">
        <v>2042</v>
      </c>
      <c r="C112" t="s">
        <v>29</v>
      </c>
      <c r="D112" t="s">
        <v>931</v>
      </c>
      <c r="E112" t="s">
        <v>34</v>
      </c>
      <c r="F112" s="17">
        <v>750</v>
      </c>
      <c r="G112" s="17">
        <v>160</v>
      </c>
      <c r="H112" s="15" t="s">
        <v>2405</v>
      </c>
      <c r="I112" s="15" t="s">
        <v>2885</v>
      </c>
    </row>
    <row r="113" spans="1:9" x14ac:dyDescent="0.35">
      <c r="A113" s="15">
        <v>112</v>
      </c>
      <c r="B113" t="s">
        <v>2042</v>
      </c>
      <c r="C113" t="s">
        <v>51</v>
      </c>
      <c r="D113" t="s">
        <v>1077</v>
      </c>
      <c r="E113" t="s">
        <v>45</v>
      </c>
      <c r="F113" s="17">
        <v>750</v>
      </c>
      <c r="G113" s="17">
        <v>160</v>
      </c>
      <c r="H113" s="15" t="s">
        <v>2399</v>
      </c>
      <c r="I113" s="16" t="s">
        <v>2886</v>
      </c>
    </row>
    <row r="114" spans="1:9" x14ac:dyDescent="0.35">
      <c r="A114" s="15">
        <v>113</v>
      </c>
      <c r="B114" t="s">
        <v>2042</v>
      </c>
      <c r="C114" t="s">
        <v>45</v>
      </c>
      <c r="D114" t="s">
        <v>1077</v>
      </c>
      <c r="E114" t="s">
        <v>45</v>
      </c>
      <c r="F114" s="18">
        <v>750</v>
      </c>
      <c r="G114" s="18">
        <v>160</v>
      </c>
      <c r="H114" s="15" t="s">
        <v>2405</v>
      </c>
      <c r="I114" s="15" t="s">
        <v>2887</v>
      </c>
    </row>
    <row r="115" spans="1:9" x14ac:dyDescent="0.35">
      <c r="A115" s="15">
        <v>114</v>
      </c>
      <c r="B115" t="s">
        <v>2042</v>
      </c>
      <c r="C115" t="s">
        <v>51</v>
      </c>
      <c r="D115" t="s">
        <v>1221</v>
      </c>
      <c r="E115" t="s">
        <v>17</v>
      </c>
      <c r="F115" s="16">
        <v>1000</v>
      </c>
      <c r="G115" s="16">
        <v>180</v>
      </c>
      <c r="H115" s="15" t="s">
        <v>2399</v>
      </c>
      <c r="I115" s="16" t="s">
        <v>2888</v>
      </c>
    </row>
    <row r="116" spans="1:9" x14ac:dyDescent="0.35">
      <c r="A116" s="15">
        <v>115</v>
      </c>
      <c r="B116" t="s">
        <v>2042</v>
      </c>
      <c r="C116" t="s">
        <v>45</v>
      </c>
      <c r="D116" t="s">
        <v>1221</v>
      </c>
      <c r="E116" t="s">
        <v>45</v>
      </c>
      <c r="F116" s="17">
        <v>1000</v>
      </c>
      <c r="G116" s="18">
        <v>180</v>
      </c>
      <c r="H116" s="15" t="s">
        <v>2405</v>
      </c>
      <c r="I116" s="15">
        <v>245</v>
      </c>
    </row>
    <row r="117" spans="1:9" ht="15" customHeight="1" x14ac:dyDescent="0.35">
      <c r="A117" s="15">
        <v>116</v>
      </c>
      <c r="B117" t="s">
        <v>2042</v>
      </c>
      <c r="C117" t="s">
        <v>51</v>
      </c>
      <c r="D117" t="s">
        <v>1512</v>
      </c>
      <c r="E117" t="s">
        <v>41</v>
      </c>
      <c r="F117" s="17">
        <v>1000</v>
      </c>
      <c r="G117" s="16">
        <v>180</v>
      </c>
      <c r="H117" s="15" t="s">
        <v>2399</v>
      </c>
      <c r="I117" s="16" t="s">
        <v>2889</v>
      </c>
    </row>
    <row r="118" spans="1:9" x14ac:dyDescent="0.35">
      <c r="A118" s="15">
        <v>117</v>
      </c>
      <c r="B118" t="s">
        <v>2042</v>
      </c>
      <c r="C118" t="s">
        <v>45</v>
      </c>
      <c r="D118" t="s">
        <v>1512</v>
      </c>
      <c r="E118" t="s">
        <v>41</v>
      </c>
      <c r="F118" s="17">
        <v>1000</v>
      </c>
      <c r="G118" s="16">
        <v>220</v>
      </c>
      <c r="H118" s="15" t="s">
        <v>2405</v>
      </c>
      <c r="I118" s="15" t="s">
        <v>2890</v>
      </c>
    </row>
    <row r="119" spans="1:9" ht="15" customHeight="1" x14ac:dyDescent="0.35">
      <c r="A119" s="15">
        <v>118</v>
      </c>
      <c r="B119" t="s">
        <v>2042</v>
      </c>
      <c r="C119" t="s">
        <v>51</v>
      </c>
      <c r="D119" t="s">
        <v>1809</v>
      </c>
      <c r="E119" t="s">
        <v>33</v>
      </c>
      <c r="F119" s="17">
        <v>1000</v>
      </c>
      <c r="G119" s="17">
        <v>220</v>
      </c>
      <c r="H119" s="15" t="s">
        <v>2399</v>
      </c>
      <c r="I119" s="16">
        <v>428</v>
      </c>
    </row>
    <row r="120" spans="1:9" x14ac:dyDescent="0.35">
      <c r="A120" s="15">
        <v>119</v>
      </c>
      <c r="B120" t="s">
        <v>2042</v>
      </c>
      <c r="C120" t="s">
        <v>45</v>
      </c>
      <c r="D120" t="s">
        <v>1809</v>
      </c>
      <c r="E120" t="s">
        <v>41</v>
      </c>
      <c r="F120" s="17">
        <v>1000</v>
      </c>
      <c r="G120" s="17">
        <v>220</v>
      </c>
      <c r="H120" s="15" t="s">
        <v>2405</v>
      </c>
      <c r="I120" s="16" t="s">
        <v>2891</v>
      </c>
    </row>
    <row r="121" spans="1:9" x14ac:dyDescent="0.35">
      <c r="A121" s="15">
        <v>120</v>
      </c>
      <c r="B121" t="s">
        <v>2042</v>
      </c>
      <c r="C121" t="s">
        <v>45</v>
      </c>
      <c r="D121" t="s">
        <v>1809</v>
      </c>
      <c r="E121" t="s">
        <v>41</v>
      </c>
      <c r="F121" s="18">
        <v>1000</v>
      </c>
      <c r="G121" s="17">
        <v>220</v>
      </c>
      <c r="H121" s="15" t="s">
        <v>2984</v>
      </c>
      <c r="I121" s="15" t="s">
        <v>2892</v>
      </c>
    </row>
    <row r="122" spans="1:9" x14ac:dyDescent="0.35">
      <c r="A122" s="15">
        <v>121</v>
      </c>
      <c r="B122" t="s">
        <v>2042</v>
      </c>
      <c r="C122" t="s">
        <v>51</v>
      </c>
      <c r="D122" t="s">
        <v>1969</v>
      </c>
      <c r="E122" t="s">
        <v>45</v>
      </c>
      <c r="F122" s="16">
        <v>1100</v>
      </c>
      <c r="G122" s="17">
        <v>220</v>
      </c>
      <c r="H122" s="15" t="s">
        <v>2399</v>
      </c>
      <c r="I122" s="16" t="s">
        <v>2893</v>
      </c>
    </row>
    <row r="123" spans="1:9" x14ac:dyDescent="0.35">
      <c r="A123" s="15">
        <v>122</v>
      </c>
      <c r="B123" t="s">
        <v>2042</v>
      </c>
      <c r="C123" t="s">
        <v>45</v>
      </c>
      <c r="D123" t="s">
        <v>1969</v>
      </c>
      <c r="E123" t="s">
        <v>45</v>
      </c>
      <c r="F123" s="17">
        <v>1100</v>
      </c>
      <c r="G123" s="17">
        <v>220</v>
      </c>
      <c r="H123" s="15" t="s">
        <v>2405</v>
      </c>
      <c r="I123" s="16" t="s">
        <v>2894</v>
      </c>
    </row>
    <row r="124" spans="1:9" x14ac:dyDescent="0.35">
      <c r="A124" s="15">
        <v>123</v>
      </c>
      <c r="B124" t="s">
        <v>2042</v>
      </c>
      <c r="C124" t="s">
        <v>45</v>
      </c>
      <c r="D124" t="s">
        <v>1969</v>
      </c>
      <c r="E124" t="s">
        <v>45</v>
      </c>
      <c r="F124" s="18">
        <v>1100</v>
      </c>
      <c r="G124" s="18">
        <v>220</v>
      </c>
      <c r="H124" s="15" t="s">
        <v>2984</v>
      </c>
      <c r="I124" s="15" t="s">
        <v>2895</v>
      </c>
    </row>
    <row r="125" spans="1:9" x14ac:dyDescent="0.35">
      <c r="A125" s="15">
        <v>124</v>
      </c>
      <c r="B125" t="s">
        <v>2155</v>
      </c>
      <c r="C125" t="s">
        <v>58</v>
      </c>
      <c r="D125" t="s">
        <v>656</v>
      </c>
      <c r="E125" t="s">
        <v>37</v>
      </c>
      <c r="F125" s="16">
        <v>750</v>
      </c>
      <c r="G125" s="16">
        <v>140</v>
      </c>
      <c r="H125" s="15" t="s">
        <v>2399</v>
      </c>
      <c r="I125" s="16" t="s">
        <v>2896</v>
      </c>
    </row>
    <row r="126" spans="1:9" x14ac:dyDescent="0.35">
      <c r="A126" s="15">
        <v>125</v>
      </c>
      <c r="B126" t="s">
        <v>2155</v>
      </c>
      <c r="C126" t="s">
        <v>17</v>
      </c>
      <c r="D126" t="s">
        <v>656</v>
      </c>
      <c r="E126" t="s">
        <v>34</v>
      </c>
      <c r="F126" s="17">
        <v>750</v>
      </c>
      <c r="G126" s="17">
        <v>140</v>
      </c>
      <c r="H126" s="15" t="s">
        <v>2405</v>
      </c>
      <c r="I126" s="15" t="s">
        <v>2897</v>
      </c>
    </row>
    <row r="127" spans="1:9" x14ac:dyDescent="0.35">
      <c r="A127" s="15">
        <v>126</v>
      </c>
      <c r="B127" t="s">
        <v>2155</v>
      </c>
      <c r="C127" t="s">
        <v>58</v>
      </c>
      <c r="D127" t="s">
        <v>800</v>
      </c>
      <c r="E127" t="s">
        <v>41</v>
      </c>
      <c r="F127" s="17">
        <v>750</v>
      </c>
      <c r="G127" s="17">
        <v>140</v>
      </c>
      <c r="H127" s="15" t="s">
        <v>2399</v>
      </c>
      <c r="I127" s="16" t="s">
        <v>2898</v>
      </c>
    </row>
    <row r="128" spans="1:9" x14ac:dyDescent="0.35">
      <c r="A128" s="15">
        <v>127</v>
      </c>
      <c r="B128" t="s">
        <v>2155</v>
      </c>
      <c r="C128" t="s">
        <v>17</v>
      </c>
      <c r="D128" t="s">
        <v>800</v>
      </c>
      <c r="E128" t="s">
        <v>34</v>
      </c>
      <c r="F128" s="17">
        <v>750</v>
      </c>
      <c r="G128" s="18">
        <v>140</v>
      </c>
      <c r="H128" s="15" t="s">
        <v>2405</v>
      </c>
      <c r="I128" s="15" t="s">
        <v>2899</v>
      </c>
    </row>
    <row r="129" spans="1:9" ht="15" customHeight="1" x14ac:dyDescent="0.35">
      <c r="A129" s="15">
        <v>128</v>
      </c>
      <c r="B129" t="s">
        <v>2155</v>
      </c>
      <c r="C129" t="s">
        <v>58</v>
      </c>
      <c r="D129" t="s">
        <v>931</v>
      </c>
      <c r="E129" t="s">
        <v>41</v>
      </c>
      <c r="F129" s="17">
        <v>750</v>
      </c>
      <c r="G129" s="16">
        <v>160</v>
      </c>
      <c r="H129" s="15" t="s">
        <v>2399</v>
      </c>
      <c r="I129" s="16" t="s">
        <v>2900</v>
      </c>
    </row>
    <row r="130" spans="1:9" x14ac:dyDescent="0.35">
      <c r="A130" s="15">
        <v>129</v>
      </c>
      <c r="B130" t="s">
        <v>2155</v>
      </c>
      <c r="C130" t="s">
        <v>17</v>
      </c>
      <c r="D130" t="s">
        <v>931</v>
      </c>
      <c r="E130" t="s">
        <v>34</v>
      </c>
      <c r="F130" s="17">
        <v>750</v>
      </c>
      <c r="G130" s="17">
        <v>160</v>
      </c>
      <c r="H130" s="15" t="s">
        <v>2405</v>
      </c>
      <c r="I130" s="15">
        <v>263</v>
      </c>
    </row>
    <row r="131" spans="1:9" x14ac:dyDescent="0.35">
      <c r="A131" s="15">
        <v>130</v>
      </c>
      <c r="B131" t="s">
        <v>2155</v>
      </c>
      <c r="C131" t="s">
        <v>58</v>
      </c>
      <c r="D131" t="s">
        <v>1077</v>
      </c>
      <c r="E131" t="s">
        <v>45</v>
      </c>
      <c r="F131" s="17">
        <v>750</v>
      </c>
      <c r="G131" s="17">
        <v>160</v>
      </c>
      <c r="H131" s="15" t="s">
        <v>2399</v>
      </c>
      <c r="I131" s="16" t="s">
        <v>2901</v>
      </c>
    </row>
    <row r="132" spans="1:9" x14ac:dyDescent="0.35">
      <c r="A132" s="15">
        <v>131</v>
      </c>
      <c r="B132" t="s">
        <v>2155</v>
      </c>
      <c r="C132" t="s">
        <v>17</v>
      </c>
      <c r="D132" t="s">
        <v>1077</v>
      </c>
      <c r="E132" t="s">
        <v>45</v>
      </c>
      <c r="F132" s="18">
        <v>750</v>
      </c>
      <c r="G132" s="18">
        <v>160</v>
      </c>
      <c r="H132" s="15" t="s">
        <v>2405</v>
      </c>
      <c r="I132" s="15" t="s">
        <v>2902</v>
      </c>
    </row>
    <row r="133" spans="1:9" x14ac:dyDescent="0.35">
      <c r="A133" s="15">
        <v>132</v>
      </c>
      <c r="B133" t="s">
        <v>2155</v>
      </c>
      <c r="C133" t="s">
        <v>58</v>
      </c>
      <c r="D133" t="s">
        <v>1221</v>
      </c>
      <c r="E133" t="s">
        <v>17</v>
      </c>
      <c r="F133" s="16">
        <v>1000</v>
      </c>
      <c r="G133" s="16">
        <v>180</v>
      </c>
      <c r="H133" s="15" t="s">
        <v>2399</v>
      </c>
      <c r="I133" s="16" t="s">
        <v>2903</v>
      </c>
    </row>
    <row r="134" spans="1:9" x14ac:dyDescent="0.35">
      <c r="A134" s="15">
        <v>133</v>
      </c>
      <c r="B134" t="s">
        <v>2155</v>
      </c>
      <c r="C134" t="s">
        <v>17</v>
      </c>
      <c r="D134" t="s">
        <v>1221</v>
      </c>
      <c r="E134" t="s">
        <v>45</v>
      </c>
      <c r="F134" s="17">
        <v>1000</v>
      </c>
      <c r="G134" s="17">
        <v>180</v>
      </c>
      <c r="H134" s="15" t="s">
        <v>2405</v>
      </c>
      <c r="I134" s="15" t="s">
        <v>2904</v>
      </c>
    </row>
    <row r="135" spans="1:9" x14ac:dyDescent="0.35">
      <c r="A135" s="15">
        <v>134</v>
      </c>
      <c r="B135" t="s">
        <v>2155</v>
      </c>
      <c r="C135" t="s">
        <v>58</v>
      </c>
      <c r="D135" t="s">
        <v>1512</v>
      </c>
      <c r="E135" t="s">
        <v>41</v>
      </c>
      <c r="F135" s="17">
        <v>1000</v>
      </c>
      <c r="G135" s="17">
        <v>180</v>
      </c>
      <c r="H135" s="15" t="s">
        <v>2399</v>
      </c>
      <c r="I135" s="16" t="s">
        <v>2905</v>
      </c>
    </row>
    <row r="136" spans="1:9" x14ac:dyDescent="0.35">
      <c r="A136" s="15">
        <v>135</v>
      </c>
      <c r="B136" t="s">
        <v>2155</v>
      </c>
      <c r="C136" t="s">
        <v>17</v>
      </c>
      <c r="D136" t="s">
        <v>1512</v>
      </c>
      <c r="E136" t="s">
        <v>41</v>
      </c>
      <c r="F136" s="17">
        <v>1000</v>
      </c>
      <c r="G136" s="17">
        <v>180</v>
      </c>
      <c r="H136" s="15" t="s">
        <v>2405</v>
      </c>
      <c r="I136" s="15" t="s">
        <v>2906</v>
      </c>
    </row>
    <row r="137" spans="1:9" x14ac:dyDescent="0.35">
      <c r="A137" s="15">
        <v>136</v>
      </c>
      <c r="B137" t="s">
        <v>2155</v>
      </c>
      <c r="C137" t="s">
        <v>17</v>
      </c>
      <c r="D137" t="s">
        <v>1512</v>
      </c>
      <c r="E137" t="s">
        <v>41</v>
      </c>
      <c r="F137" s="17">
        <v>1000</v>
      </c>
      <c r="G137" s="18">
        <v>180</v>
      </c>
      <c r="H137" s="15" t="s">
        <v>2984</v>
      </c>
      <c r="I137" s="15" t="s">
        <v>2907</v>
      </c>
    </row>
    <row r="138" spans="1:9" x14ac:dyDescent="0.35">
      <c r="A138" s="15">
        <v>137</v>
      </c>
      <c r="B138" t="s">
        <v>2155</v>
      </c>
      <c r="C138" t="s">
        <v>58</v>
      </c>
      <c r="D138" t="s">
        <v>1809</v>
      </c>
      <c r="E138" t="s">
        <v>33</v>
      </c>
      <c r="F138" s="17">
        <v>1000</v>
      </c>
      <c r="G138" s="16">
        <v>220</v>
      </c>
      <c r="H138" s="15" t="s">
        <v>2399</v>
      </c>
      <c r="I138" s="16" t="s">
        <v>2908</v>
      </c>
    </row>
    <row r="139" spans="1:9" x14ac:dyDescent="0.35">
      <c r="A139" s="15">
        <v>138</v>
      </c>
      <c r="B139" t="s">
        <v>2155</v>
      </c>
      <c r="C139" t="s">
        <v>58</v>
      </c>
      <c r="D139" t="s">
        <v>1809</v>
      </c>
      <c r="E139" t="s">
        <v>33</v>
      </c>
      <c r="F139" s="18">
        <v>1000</v>
      </c>
      <c r="G139" s="17">
        <v>220</v>
      </c>
      <c r="H139" s="15" t="s">
        <v>2405</v>
      </c>
      <c r="I139" s="15" t="s">
        <v>2909</v>
      </c>
    </row>
    <row r="140" spans="1:9" x14ac:dyDescent="0.35">
      <c r="A140" s="15">
        <v>139</v>
      </c>
      <c r="B140" t="s">
        <v>2155</v>
      </c>
      <c r="C140" t="s">
        <v>17</v>
      </c>
      <c r="D140" t="s">
        <v>1809</v>
      </c>
      <c r="E140" t="s">
        <v>41</v>
      </c>
      <c r="F140" s="15">
        <v>1000</v>
      </c>
      <c r="G140" s="17">
        <v>220</v>
      </c>
      <c r="H140" s="15" t="s">
        <v>2984</v>
      </c>
      <c r="I140" s="15">
        <v>353</v>
      </c>
    </row>
    <row r="141" spans="1:9" x14ac:dyDescent="0.35">
      <c r="A141" s="15">
        <v>140</v>
      </c>
      <c r="B141" t="s">
        <v>2155</v>
      </c>
      <c r="C141" t="s">
        <v>58</v>
      </c>
      <c r="D141" t="s">
        <v>1969</v>
      </c>
      <c r="E141" t="s">
        <v>45</v>
      </c>
      <c r="F141" s="16">
        <v>1200</v>
      </c>
      <c r="G141" s="17">
        <v>220</v>
      </c>
      <c r="H141" s="15" t="s">
        <v>2399</v>
      </c>
      <c r="I141" s="16" t="s">
        <v>2910</v>
      </c>
    </row>
    <row r="142" spans="1:9" x14ac:dyDescent="0.35">
      <c r="A142" s="15">
        <v>141</v>
      </c>
      <c r="B142" t="s">
        <v>2155</v>
      </c>
      <c r="C142" t="s">
        <v>17</v>
      </c>
      <c r="D142" t="s">
        <v>1969</v>
      </c>
      <c r="E142" t="s">
        <v>45</v>
      </c>
      <c r="F142" s="17">
        <v>1200</v>
      </c>
      <c r="G142" s="17">
        <v>220</v>
      </c>
      <c r="H142" s="15" t="s">
        <v>2405</v>
      </c>
      <c r="I142" s="16" t="s">
        <v>2911</v>
      </c>
    </row>
    <row r="143" spans="1:9" ht="15" customHeight="1" x14ac:dyDescent="0.35">
      <c r="A143" s="15">
        <v>142</v>
      </c>
      <c r="B143" t="s">
        <v>2155</v>
      </c>
      <c r="C143" t="s">
        <v>17</v>
      </c>
      <c r="D143" t="s">
        <v>1969</v>
      </c>
      <c r="E143" t="s">
        <v>45</v>
      </c>
      <c r="F143" s="17">
        <v>1200</v>
      </c>
      <c r="G143" s="17">
        <v>220</v>
      </c>
      <c r="H143" s="15" t="s">
        <v>2984</v>
      </c>
      <c r="I143" s="15" t="s">
        <v>2912</v>
      </c>
    </row>
    <row r="144" spans="1:9" x14ac:dyDescent="0.35">
      <c r="A144" s="15">
        <v>143</v>
      </c>
      <c r="B144" t="s">
        <v>2155</v>
      </c>
      <c r="C144" t="s">
        <v>58</v>
      </c>
      <c r="D144" t="s">
        <v>2042</v>
      </c>
      <c r="E144" t="s">
        <v>51</v>
      </c>
      <c r="F144" s="17">
        <v>1200</v>
      </c>
      <c r="G144" s="17">
        <v>220</v>
      </c>
      <c r="H144" s="15" t="s">
        <v>2399</v>
      </c>
      <c r="I144" s="16" t="s">
        <v>2913</v>
      </c>
    </row>
    <row r="145" spans="1:9" x14ac:dyDescent="0.35">
      <c r="A145" s="15">
        <v>144</v>
      </c>
      <c r="B145" t="s">
        <v>2155</v>
      </c>
      <c r="C145" t="s">
        <v>58</v>
      </c>
      <c r="D145" t="s">
        <v>2042</v>
      </c>
      <c r="E145" t="s">
        <v>45</v>
      </c>
      <c r="F145" s="17">
        <v>1200</v>
      </c>
      <c r="G145" s="17">
        <v>220</v>
      </c>
      <c r="H145" s="19" t="s">
        <v>2405</v>
      </c>
      <c r="I145" s="16" t="s">
        <v>2914</v>
      </c>
    </row>
    <row r="146" spans="1:9" x14ac:dyDescent="0.35">
      <c r="A146" s="15">
        <v>145</v>
      </c>
      <c r="B146" t="s">
        <v>2155</v>
      </c>
      <c r="C146" t="s">
        <v>58</v>
      </c>
      <c r="D146" t="s">
        <v>2042</v>
      </c>
      <c r="E146" t="s">
        <v>45</v>
      </c>
      <c r="F146" s="18">
        <v>1200</v>
      </c>
      <c r="G146" s="17">
        <v>220</v>
      </c>
      <c r="H146" s="19" t="s">
        <v>2984</v>
      </c>
      <c r="I146" s="15" t="s">
        <v>2915</v>
      </c>
    </row>
    <row r="147" spans="1:9" x14ac:dyDescent="0.35">
      <c r="A147" s="15">
        <v>146</v>
      </c>
      <c r="B147" t="s">
        <v>2269</v>
      </c>
      <c r="C147" t="s">
        <v>58</v>
      </c>
      <c r="D147" t="s">
        <v>498</v>
      </c>
      <c r="E147" t="s">
        <v>29</v>
      </c>
      <c r="F147" s="16">
        <v>850</v>
      </c>
      <c r="G147" s="17">
        <v>120</v>
      </c>
      <c r="H147" s="16" t="s">
        <v>2399</v>
      </c>
      <c r="I147" s="16" t="s">
        <v>2916</v>
      </c>
    </row>
    <row r="148" spans="1:9" x14ac:dyDescent="0.35">
      <c r="A148" s="15">
        <v>147</v>
      </c>
      <c r="B148" t="s">
        <v>2269</v>
      </c>
      <c r="C148" t="s">
        <v>58</v>
      </c>
      <c r="D148" t="s">
        <v>656</v>
      </c>
      <c r="E148" t="s">
        <v>37</v>
      </c>
      <c r="F148" s="17">
        <v>850</v>
      </c>
      <c r="G148" s="15">
        <v>140</v>
      </c>
      <c r="H148" s="18" t="s">
        <v>2399</v>
      </c>
      <c r="I148" s="15">
        <v>454</v>
      </c>
    </row>
    <row r="149" spans="1:9" x14ac:dyDescent="0.35">
      <c r="A149" s="15">
        <v>148</v>
      </c>
      <c r="B149" t="s">
        <v>2269</v>
      </c>
      <c r="C149" t="s">
        <v>51</v>
      </c>
      <c r="D149" t="s">
        <v>656</v>
      </c>
      <c r="E149" t="s">
        <v>34</v>
      </c>
      <c r="F149" s="17">
        <v>850</v>
      </c>
      <c r="G149" s="15">
        <v>160</v>
      </c>
      <c r="H149" s="15" t="s">
        <v>2405</v>
      </c>
      <c r="I149" s="15" t="s">
        <v>2917</v>
      </c>
    </row>
    <row r="150" spans="1:9" ht="15" customHeight="1" x14ac:dyDescent="0.35">
      <c r="A150" s="15">
        <v>149</v>
      </c>
      <c r="B150" t="s">
        <v>2269</v>
      </c>
      <c r="C150" t="s">
        <v>58</v>
      </c>
      <c r="D150" t="s">
        <v>800</v>
      </c>
      <c r="E150" t="s">
        <v>41</v>
      </c>
      <c r="F150" s="17">
        <v>850</v>
      </c>
      <c r="G150" s="16">
        <v>140</v>
      </c>
      <c r="H150" s="15" t="s">
        <v>2399</v>
      </c>
      <c r="I150" s="16" t="s">
        <v>2918</v>
      </c>
    </row>
    <row r="151" spans="1:9" x14ac:dyDescent="0.35">
      <c r="A151" s="15">
        <v>150</v>
      </c>
      <c r="B151" t="s">
        <v>2269</v>
      </c>
      <c r="C151" t="s">
        <v>51</v>
      </c>
      <c r="D151" t="s">
        <v>800</v>
      </c>
      <c r="E151" t="s">
        <v>34</v>
      </c>
      <c r="F151" s="17">
        <v>850</v>
      </c>
      <c r="G151" s="16">
        <v>160</v>
      </c>
      <c r="H151" s="15" t="s">
        <v>2405</v>
      </c>
      <c r="I151" s="15" t="s">
        <v>2919</v>
      </c>
    </row>
    <row r="152" spans="1:9" x14ac:dyDescent="0.35">
      <c r="A152" s="15">
        <v>151</v>
      </c>
      <c r="B152" t="s">
        <v>2269</v>
      </c>
      <c r="C152" t="s">
        <v>58</v>
      </c>
      <c r="D152" t="s">
        <v>931</v>
      </c>
      <c r="E152" t="s">
        <v>41</v>
      </c>
      <c r="F152" s="17">
        <v>850</v>
      </c>
      <c r="G152" s="17">
        <v>160</v>
      </c>
      <c r="H152" s="15" t="s">
        <v>2399</v>
      </c>
      <c r="I152" s="16" t="s">
        <v>2920</v>
      </c>
    </row>
    <row r="153" spans="1:9" x14ac:dyDescent="0.35">
      <c r="A153" s="15">
        <v>152</v>
      </c>
      <c r="B153" t="s">
        <v>2269</v>
      </c>
      <c r="C153" t="s">
        <v>51</v>
      </c>
      <c r="D153" t="s">
        <v>931</v>
      </c>
      <c r="E153" t="s">
        <v>34</v>
      </c>
      <c r="F153" s="17">
        <v>850</v>
      </c>
      <c r="G153" s="17">
        <v>160</v>
      </c>
      <c r="H153" s="15" t="s">
        <v>2405</v>
      </c>
      <c r="I153" s="15" t="s">
        <v>2921</v>
      </c>
    </row>
    <row r="154" spans="1:9" x14ac:dyDescent="0.35">
      <c r="A154" s="15">
        <v>153</v>
      </c>
      <c r="B154" t="s">
        <v>2269</v>
      </c>
      <c r="C154" t="s">
        <v>58</v>
      </c>
      <c r="D154" t="s">
        <v>1077</v>
      </c>
      <c r="E154" t="s">
        <v>45</v>
      </c>
      <c r="F154" s="17">
        <v>850</v>
      </c>
      <c r="G154" s="17">
        <v>160</v>
      </c>
      <c r="H154" s="15" t="s">
        <v>2399</v>
      </c>
      <c r="I154" s="16" t="s">
        <v>2922</v>
      </c>
    </row>
    <row r="155" spans="1:9" x14ac:dyDescent="0.35">
      <c r="A155" s="15">
        <v>154</v>
      </c>
      <c r="B155" t="s">
        <v>2269</v>
      </c>
      <c r="C155" t="s">
        <v>51</v>
      </c>
      <c r="D155" t="s">
        <v>1077</v>
      </c>
      <c r="E155" t="s">
        <v>45</v>
      </c>
      <c r="F155" s="18">
        <v>850</v>
      </c>
      <c r="G155" s="18">
        <v>160</v>
      </c>
      <c r="H155" s="15" t="s">
        <v>2405</v>
      </c>
      <c r="I155" s="15" t="s">
        <v>2923</v>
      </c>
    </row>
    <row r="156" spans="1:9" x14ac:dyDescent="0.35">
      <c r="A156" s="15">
        <v>155</v>
      </c>
      <c r="B156" t="s">
        <v>2269</v>
      </c>
      <c r="C156" t="s">
        <v>58</v>
      </c>
      <c r="D156" t="s">
        <v>1221</v>
      </c>
      <c r="E156" t="s">
        <v>17</v>
      </c>
      <c r="F156" s="16">
        <v>1000</v>
      </c>
      <c r="G156" s="16">
        <v>180</v>
      </c>
      <c r="H156" s="15" t="s">
        <v>2399</v>
      </c>
      <c r="I156" s="16" t="s">
        <v>2924</v>
      </c>
    </row>
    <row r="157" spans="1:9" x14ac:dyDescent="0.35">
      <c r="A157" s="15">
        <v>156</v>
      </c>
      <c r="B157" t="s">
        <v>2269</v>
      </c>
      <c r="C157" t="s">
        <v>51</v>
      </c>
      <c r="D157" t="s">
        <v>1221</v>
      </c>
      <c r="E157" t="s">
        <v>45</v>
      </c>
      <c r="F157" s="17">
        <v>1000</v>
      </c>
      <c r="G157" s="17">
        <v>180</v>
      </c>
      <c r="H157" s="15" t="s">
        <v>2405</v>
      </c>
      <c r="I157" s="15" t="s">
        <v>2925</v>
      </c>
    </row>
    <row r="158" spans="1:9" x14ac:dyDescent="0.35">
      <c r="A158" s="15">
        <v>157</v>
      </c>
      <c r="B158" t="s">
        <v>2269</v>
      </c>
      <c r="C158" t="s">
        <v>58</v>
      </c>
      <c r="D158" t="s">
        <v>1512</v>
      </c>
      <c r="E158" t="s">
        <v>41</v>
      </c>
      <c r="F158" s="17">
        <v>1000</v>
      </c>
      <c r="G158" s="17">
        <v>180</v>
      </c>
      <c r="H158" s="15" t="s">
        <v>2399</v>
      </c>
      <c r="I158" s="16" t="s">
        <v>2926</v>
      </c>
    </row>
    <row r="159" spans="1:9" x14ac:dyDescent="0.35">
      <c r="A159" s="15">
        <v>158</v>
      </c>
      <c r="B159" t="s">
        <v>2269</v>
      </c>
      <c r="C159" t="s">
        <v>51</v>
      </c>
      <c r="D159" t="s">
        <v>1512</v>
      </c>
      <c r="E159" t="s">
        <v>41</v>
      </c>
      <c r="F159" s="17">
        <v>1000</v>
      </c>
      <c r="G159" s="17">
        <v>180</v>
      </c>
      <c r="H159" s="15" t="s">
        <v>2405</v>
      </c>
      <c r="I159" s="16" t="s">
        <v>2927</v>
      </c>
    </row>
    <row r="160" spans="1:9" x14ac:dyDescent="0.35">
      <c r="A160" s="15">
        <v>159</v>
      </c>
      <c r="B160" t="s">
        <v>2269</v>
      </c>
      <c r="C160" t="s">
        <v>51</v>
      </c>
      <c r="D160" t="s">
        <v>1512</v>
      </c>
      <c r="E160" t="s">
        <v>41</v>
      </c>
      <c r="F160" s="17">
        <v>1000</v>
      </c>
      <c r="G160" s="18">
        <v>180</v>
      </c>
      <c r="H160" s="15" t="s">
        <v>2984</v>
      </c>
      <c r="I160" s="15" t="s">
        <v>2928</v>
      </c>
    </row>
    <row r="161" spans="1:9" x14ac:dyDescent="0.35">
      <c r="A161" s="15">
        <v>160</v>
      </c>
      <c r="B161" t="s">
        <v>2269</v>
      </c>
      <c r="C161" t="s">
        <v>58</v>
      </c>
      <c r="D161" t="s">
        <v>1809</v>
      </c>
      <c r="E161" t="s">
        <v>33</v>
      </c>
      <c r="F161" s="17">
        <v>1000</v>
      </c>
      <c r="G161" s="16">
        <v>220</v>
      </c>
      <c r="H161" s="15" t="s">
        <v>2399</v>
      </c>
      <c r="I161" s="16">
        <v>670</v>
      </c>
    </row>
    <row r="162" spans="1:9" x14ac:dyDescent="0.35">
      <c r="A162" s="15">
        <v>161</v>
      </c>
      <c r="B162" t="s">
        <v>2269</v>
      </c>
      <c r="C162" t="s">
        <v>51</v>
      </c>
      <c r="D162" t="s">
        <v>1809</v>
      </c>
      <c r="E162" t="s">
        <v>41</v>
      </c>
      <c r="F162" s="17">
        <v>1000</v>
      </c>
      <c r="G162" s="17">
        <v>220</v>
      </c>
      <c r="H162" s="15" t="s">
        <v>2405</v>
      </c>
      <c r="I162" s="16" t="s">
        <v>2929</v>
      </c>
    </row>
    <row r="163" spans="1:9" x14ac:dyDescent="0.35">
      <c r="A163" s="15">
        <v>162</v>
      </c>
      <c r="B163" t="s">
        <v>2269</v>
      </c>
      <c r="C163" t="s">
        <v>51</v>
      </c>
      <c r="D163" t="s">
        <v>1809</v>
      </c>
      <c r="E163" t="s">
        <v>41</v>
      </c>
      <c r="F163" s="18">
        <v>1000</v>
      </c>
      <c r="G163" s="17">
        <v>220</v>
      </c>
      <c r="H163" s="15" t="s">
        <v>2984</v>
      </c>
      <c r="I163" s="15" t="s">
        <v>2930</v>
      </c>
    </row>
    <row r="164" spans="1:9" x14ac:dyDescent="0.35">
      <c r="A164" s="15">
        <v>163</v>
      </c>
      <c r="B164" t="s">
        <v>2269</v>
      </c>
      <c r="C164" t="s">
        <v>58</v>
      </c>
      <c r="D164" t="s">
        <v>1969</v>
      </c>
      <c r="E164" t="s">
        <v>45</v>
      </c>
      <c r="F164" s="16">
        <v>1200</v>
      </c>
      <c r="G164" s="17">
        <v>220</v>
      </c>
      <c r="H164" s="15" t="s">
        <v>2399</v>
      </c>
      <c r="I164" s="16" t="s">
        <v>2931</v>
      </c>
    </row>
    <row r="165" spans="1:9" x14ac:dyDescent="0.35">
      <c r="A165" s="15">
        <v>164</v>
      </c>
      <c r="B165" t="s">
        <v>2269</v>
      </c>
      <c r="C165" t="s">
        <v>51</v>
      </c>
      <c r="D165" t="s">
        <v>1969</v>
      </c>
      <c r="E165" t="s">
        <v>45</v>
      </c>
      <c r="F165" s="17">
        <v>1200</v>
      </c>
      <c r="G165" s="17">
        <v>220</v>
      </c>
      <c r="H165" s="15" t="s">
        <v>2405</v>
      </c>
      <c r="I165" s="16" t="s">
        <v>2932</v>
      </c>
    </row>
    <row r="166" spans="1:9" ht="15" customHeight="1" x14ac:dyDescent="0.35">
      <c r="A166" s="15">
        <v>165</v>
      </c>
      <c r="B166" t="s">
        <v>2269</v>
      </c>
      <c r="C166" t="s">
        <v>51</v>
      </c>
      <c r="D166" t="s">
        <v>1969</v>
      </c>
      <c r="E166" t="s">
        <v>45</v>
      </c>
      <c r="F166" s="17">
        <v>1200</v>
      </c>
      <c r="G166" s="17">
        <v>220</v>
      </c>
      <c r="H166" s="15" t="s">
        <v>2984</v>
      </c>
      <c r="I166" s="15">
        <v>510</v>
      </c>
    </row>
    <row r="167" spans="1:9" x14ac:dyDescent="0.35">
      <c r="A167" s="15">
        <v>166</v>
      </c>
      <c r="B167" t="s">
        <v>2269</v>
      </c>
      <c r="C167" t="s">
        <v>58</v>
      </c>
      <c r="D167" t="s">
        <v>2042</v>
      </c>
      <c r="E167" t="s">
        <v>51</v>
      </c>
      <c r="F167" s="17">
        <v>1200</v>
      </c>
      <c r="G167" s="17">
        <v>220</v>
      </c>
      <c r="H167" s="15" t="s">
        <v>2399</v>
      </c>
      <c r="I167" s="16" t="s">
        <v>2933</v>
      </c>
    </row>
    <row r="168" spans="1:9" x14ac:dyDescent="0.35">
      <c r="A168" s="15">
        <v>167</v>
      </c>
      <c r="B168" t="s">
        <v>2269</v>
      </c>
      <c r="C168" t="s">
        <v>51</v>
      </c>
      <c r="D168" t="s">
        <v>2042</v>
      </c>
      <c r="E168" t="s">
        <v>45</v>
      </c>
      <c r="F168" s="17">
        <v>1200</v>
      </c>
      <c r="G168" s="17">
        <v>220</v>
      </c>
      <c r="H168" s="15" t="s">
        <v>2405</v>
      </c>
      <c r="I168" s="15" t="s">
        <v>2934</v>
      </c>
    </row>
    <row r="169" spans="1:9" x14ac:dyDescent="0.35">
      <c r="A169" s="15">
        <v>168</v>
      </c>
      <c r="B169" t="s">
        <v>2269</v>
      </c>
      <c r="C169" t="s">
        <v>51</v>
      </c>
      <c r="D169" t="s">
        <v>2042</v>
      </c>
      <c r="E169" t="s">
        <v>45</v>
      </c>
      <c r="F169" s="18">
        <v>1200</v>
      </c>
      <c r="G169" s="18">
        <v>220</v>
      </c>
      <c r="H169" s="15" t="s">
        <v>2984</v>
      </c>
      <c r="I169" s="15" t="s">
        <v>2935</v>
      </c>
    </row>
    <row r="170" spans="1:9" ht="15" customHeight="1" x14ac:dyDescent="0.35">
      <c r="A170" s="15">
        <v>169</v>
      </c>
      <c r="B170" t="s">
        <v>2269</v>
      </c>
      <c r="C170" t="s">
        <v>51</v>
      </c>
      <c r="D170" t="s">
        <v>2155</v>
      </c>
      <c r="E170" t="s">
        <v>17</v>
      </c>
      <c r="F170" s="16">
        <v>1400</v>
      </c>
      <c r="G170" s="16">
        <v>280</v>
      </c>
      <c r="H170" s="19" t="s">
        <v>2405</v>
      </c>
      <c r="I170" s="16" t="s">
        <v>2936</v>
      </c>
    </row>
    <row r="171" spans="1:9" x14ac:dyDescent="0.35">
      <c r="A171" s="15">
        <v>170</v>
      </c>
      <c r="B171" t="s">
        <v>2269</v>
      </c>
      <c r="C171" t="s">
        <v>51</v>
      </c>
      <c r="D171" t="s">
        <v>2155</v>
      </c>
      <c r="E171" t="s">
        <v>17</v>
      </c>
      <c r="F171" s="17">
        <v>1400</v>
      </c>
      <c r="G171" s="17">
        <v>280</v>
      </c>
      <c r="H171" s="19" t="s">
        <v>2984</v>
      </c>
      <c r="I171" s="16" t="s">
        <v>2937</v>
      </c>
    </row>
    <row r="172" spans="1:9" x14ac:dyDescent="0.35">
      <c r="A172" s="15">
        <v>171</v>
      </c>
      <c r="B172" t="s">
        <v>2306</v>
      </c>
      <c r="C172" t="s">
        <v>58</v>
      </c>
      <c r="D172" t="s">
        <v>656</v>
      </c>
      <c r="E172" t="s">
        <v>34</v>
      </c>
      <c r="F172" s="16">
        <v>850</v>
      </c>
      <c r="G172" s="16">
        <v>140</v>
      </c>
      <c r="H172" s="16" t="s">
        <v>2405</v>
      </c>
      <c r="I172" s="15" t="s">
        <v>2938</v>
      </c>
    </row>
    <row r="173" spans="1:9" x14ac:dyDescent="0.35">
      <c r="A173" s="15">
        <v>172</v>
      </c>
      <c r="B173" t="s">
        <v>2306</v>
      </c>
      <c r="C173" t="s">
        <v>58</v>
      </c>
      <c r="D173" t="s">
        <v>800</v>
      </c>
      <c r="E173" t="s">
        <v>34</v>
      </c>
      <c r="F173" s="17">
        <v>850</v>
      </c>
      <c r="G173" s="18">
        <v>140</v>
      </c>
      <c r="H173" s="17" t="s">
        <v>2405</v>
      </c>
      <c r="I173" s="15">
        <v>417</v>
      </c>
    </row>
    <row r="174" spans="1:9" x14ac:dyDescent="0.35">
      <c r="A174" s="15">
        <v>173</v>
      </c>
      <c r="B174" t="s">
        <v>2306</v>
      </c>
      <c r="C174" t="s">
        <v>58</v>
      </c>
      <c r="D174" t="s">
        <v>931</v>
      </c>
      <c r="E174" t="s">
        <v>34</v>
      </c>
      <c r="F174" s="17">
        <v>850</v>
      </c>
      <c r="G174" s="16">
        <v>160</v>
      </c>
      <c r="H174" s="18" t="s">
        <v>2405</v>
      </c>
      <c r="I174" s="15" t="s">
        <v>2939</v>
      </c>
    </row>
    <row r="175" spans="1:9" x14ac:dyDescent="0.35">
      <c r="A175" s="15">
        <v>174</v>
      </c>
      <c r="B175" t="s">
        <v>2306</v>
      </c>
      <c r="C175" t="s">
        <v>58</v>
      </c>
      <c r="D175" t="s">
        <v>931</v>
      </c>
      <c r="E175" t="s">
        <v>34</v>
      </c>
      <c r="F175" s="17">
        <v>850</v>
      </c>
      <c r="G175" s="17">
        <v>160</v>
      </c>
      <c r="H175" s="15" t="s">
        <v>2984</v>
      </c>
      <c r="I175" s="15">
        <v>414</v>
      </c>
    </row>
    <row r="176" spans="1:9" x14ac:dyDescent="0.35">
      <c r="A176" s="15">
        <v>175</v>
      </c>
      <c r="B176" t="s">
        <v>2306</v>
      </c>
      <c r="C176" t="s">
        <v>58</v>
      </c>
      <c r="D176" t="s">
        <v>1077</v>
      </c>
      <c r="E176" t="s">
        <v>45</v>
      </c>
      <c r="F176" s="17">
        <v>850</v>
      </c>
      <c r="G176" s="17">
        <v>160</v>
      </c>
      <c r="H176" s="15" t="s">
        <v>2405</v>
      </c>
      <c r="I176" s="15" t="s">
        <v>2940</v>
      </c>
    </row>
    <row r="177" spans="1:9" x14ac:dyDescent="0.35">
      <c r="A177" s="15">
        <v>176</v>
      </c>
      <c r="B177" t="s">
        <v>2306</v>
      </c>
      <c r="C177" t="s">
        <v>58</v>
      </c>
      <c r="D177" t="s">
        <v>1077</v>
      </c>
      <c r="E177" t="s">
        <v>45</v>
      </c>
      <c r="F177" s="18">
        <v>850</v>
      </c>
      <c r="G177" s="18">
        <v>160</v>
      </c>
      <c r="H177" s="15" t="s">
        <v>2984</v>
      </c>
      <c r="I177" s="15" t="s">
        <v>2941</v>
      </c>
    </row>
    <row r="178" spans="1:9" x14ac:dyDescent="0.35">
      <c r="A178" s="15">
        <v>177</v>
      </c>
      <c r="B178" t="s">
        <v>2306</v>
      </c>
      <c r="C178" t="s">
        <v>58</v>
      </c>
      <c r="D178" t="s">
        <v>1221</v>
      </c>
      <c r="E178" t="s">
        <v>45</v>
      </c>
      <c r="F178" s="16">
        <v>1000</v>
      </c>
      <c r="G178" s="16">
        <v>180</v>
      </c>
      <c r="H178" s="15" t="s">
        <v>2405</v>
      </c>
      <c r="I178" s="15" t="s">
        <v>2942</v>
      </c>
    </row>
    <row r="179" spans="1:9" x14ac:dyDescent="0.35">
      <c r="A179" s="15">
        <v>178</v>
      </c>
      <c r="B179" t="s">
        <v>2306</v>
      </c>
      <c r="C179" t="s">
        <v>58</v>
      </c>
      <c r="D179" t="s">
        <v>1221</v>
      </c>
      <c r="E179" t="s">
        <v>45</v>
      </c>
      <c r="F179" s="17">
        <v>1000</v>
      </c>
      <c r="G179" s="17">
        <v>180</v>
      </c>
      <c r="H179" s="15" t="s">
        <v>2984</v>
      </c>
      <c r="I179" s="15" t="s">
        <v>2943</v>
      </c>
    </row>
    <row r="180" spans="1:9" ht="15" customHeight="1" x14ac:dyDescent="0.35">
      <c r="A180" s="15">
        <v>179</v>
      </c>
      <c r="B180" t="s">
        <v>2306</v>
      </c>
      <c r="C180" t="s">
        <v>58</v>
      </c>
      <c r="D180" t="s">
        <v>1512</v>
      </c>
      <c r="E180" t="s">
        <v>41</v>
      </c>
      <c r="F180" s="17">
        <v>1000</v>
      </c>
      <c r="G180" s="17">
        <v>180</v>
      </c>
      <c r="H180" s="15" t="s">
        <v>2405</v>
      </c>
      <c r="I180" s="15" t="s">
        <v>2944</v>
      </c>
    </row>
    <row r="181" spans="1:9" x14ac:dyDescent="0.35">
      <c r="A181" s="15">
        <v>180</v>
      </c>
      <c r="B181" t="s">
        <v>2306</v>
      </c>
      <c r="C181" t="s">
        <v>58</v>
      </c>
      <c r="D181" t="s">
        <v>1512</v>
      </c>
      <c r="E181" t="s">
        <v>41</v>
      </c>
      <c r="F181" s="17">
        <v>1000</v>
      </c>
      <c r="G181" s="18">
        <v>180</v>
      </c>
      <c r="H181" s="15" t="s">
        <v>2984</v>
      </c>
      <c r="I181" s="15" t="s">
        <v>2945</v>
      </c>
    </row>
    <row r="182" spans="1:9" x14ac:dyDescent="0.35">
      <c r="A182" s="15">
        <v>181</v>
      </c>
      <c r="B182" t="s">
        <v>2306</v>
      </c>
      <c r="C182" t="s">
        <v>58</v>
      </c>
      <c r="D182" t="s">
        <v>1809</v>
      </c>
      <c r="E182" t="s">
        <v>41</v>
      </c>
      <c r="F182" s="17">
        <v>1000</v>
      </c>
      <c r="G182" s="16">
        <v>220</v>
      </c>
      <c r="H182" s="15" t="s">
        <v>2405</v>
      </c>
      <c r="I182" s="15" t="s">
        <v>2946</v>
      </c>
    </row>
    <row r="183" spans="1:9" x14ac:dyDescent="0.35">
      <c r="A183" s="15">
        <v>182</v>
      </c>
      <c r="B183" t="s">
        <v>2306</v>
      </c>
      <c r="C183" t="s">
        <v>58</v>
      </c>
      <c r="D183" t="s">
        <v>1809</v>
      </c>
      <c r="E183" t="s">
        <v>41</v>
      </c>
      <c r="F183" s="17">
        <v>1000</v>
      </c>
      <c r="G183" s="17">
        <v>220</v>
      </c>
      <c r="H183" s="15" t="s">
        <v>2984</v>
      </c>
      <c r="I183" s="15" t="s">
        <v>2947</v>
      </c>
    </row>
    <row r="184" spans="1:9" x14ac:dyDescent="0.35">
      <c r="A184" s="15">
        <v>183</v>
      </c>
      <c r="B184" t="s">
        <v>2306</v>
      </c>
      <c r="C184" t="s">
        <v>58</v>
      </c>
      <c r="D184" t="s">
        <v>1809</v>
      </c>
      <c r="E184" t="s">
        <v>41</v>
      </c>
      <c r="F184" s="18">
        <v>1000</v>
      </c>
      <c r="G184" s="17">
        <v>220</v>
      </c>
      <c r="H184" s="15" t="s">
        <v>2400</v>
      </c>
      <c r="I184" s="15" t="s">
        <v>2948</v>
      </c>
    </row>
    <row r="185" spans="1:9" x14ac:dyDescent="0.35">
      <c r="A185" s="15">
        <v>184</v>
      </c>
      <c r="B185" t="s">
        <v>2306</v>
      </c>
      <c r="C185" t="s">
        <v>58</v>
      </c>
      <c r="D185" t="s">
        <v>1969</v>
      </c>
      <c r="E185" t="s">
        <v>45</v>
      </c>
      <c r="F185" s="16">
        <v>1200</v>
      </c>
      <c r="G185" s="17">
        <v>220</v>
      </c>
      <c r="H185" s="15" t="s">
        <v>2405</v>
      </c>
      <c r="I185" s="16">
        <v>880</v>
      </c>
    </row>
    <row r="186" spans="1:9" x14ac:dyDescent="0.35">
      <c r="A186" s="15">
        <v>185</v>
      </c>
      <c r="B186" t="s">
        <v>2306</v>
      </c>
      <c r="C186" t="s">
        <v>58</v>
      </c>
      <c r="D186" t="s">
        <v>1969</v>
      </c>
      <c r="E186" t="s">
        <v>45</v>
      </c>
      <c r="F186" s="17">
        <v>1200</v>
      </c>
      <c r="G186" s="17">
        <v>220</v>
      </c>
      <c r="H186" s="15" t="s">
        <v>2984</v>
      </c>
      <c r="I186" s="16" t="s">
        <v>2949</v>
      </c>
    </row>
    <row r="187" spans="1:9" x14ac:dyDescent="0.35">
      <c r="A187" s="15">
        <v>186</v>
      </c>
      <c r="B187" t="s">
        <v>2306</v>
      </c>
      <c r="C187" t="s">
        <v>58</v>
      </c>
      <c r="D187" t="s">
        <v>1969</v>
      </c>
      <c r="E187" t="s">
        <v>45</v>
      </c>
      <c r="F187" s="17">
        <v>1200</v>
      </c>
      <c r="G187" s="17">
        <v>220</v>
      </c>
      <c r="H187" s="15" t="s">
        <v>2400</v>
      </c>
      <c r="I187" s="15" t="s">
        <v>2950</v>
      </c>
    </row>
    <row r="188" spans="1:9" x14ac:dyDescent="0.35">
      <c r="A188" s="15">
        <v>187</v>
      </c>
      <c r="B188" t="s">
        <v>2306</v>
      </c>
      <c r="C188" t="s">
        <v>58</v>
      </c>
      <c r="D188" t="s">
        <v>2042</v>
      </c>
      <c r="E188" t="s">
        <v>45</v>
      </c>
      <c r="F188" s="17">
        <v>1200</v>
      </c>
      <c r="G188" s="17">
        <v>220</v>
      </c>
      <c r="H188" s="15" t="s">
        <v>2405</v>
      </c>
      <c r="I188" s="16" t="s">
        <v>2951</v>
      </c>
    </row>
    <row r="189" spans="1:9" x14ac:dyDescent="0.35">
      <c r="A189" s="15">
        <v>188</v>
      </c>
      <c r="B189" t="s">
        <v>2306</v>
      </c>
      <c r="C189" t="s">
        <v>58</v>
      </c>
      <c r="D189" t="s">
        <v>2042</v>
      </c>
      <c r="E189" t="s">
        <v>45</v>
      </c>
      <c r="F189" s="17">
        <v>1200</v>
      </c>
      <c r="G189" s="17">
        <v>220</v>
      </c>
      <c r="H189" s="15" t="s">
        <v>2984</v>
      </c>
      <c r="I189" s="16">
        <v>758</v>
      </c>
    </row>
    <row r="190" spans="1:9" x14ac:dyDescent="0.35">
      <c r="A190" s="15">
        <v>189</v>
      </c>
      <c r="B190" t="s">
        <v>2306</v>
      </c>
      <c r="C190" t="s">
        <v>58</v>
      </c>
      <c r="D190" t="s">
        <v>2042</v>
      </c>
      <c r="E190" t="s">
        <v>45</v>
      </c>
      <c r="F190" s="18">
        <v>1200</v>
      </c>
      <c r="G190" s="18">
        <v>220</v>
      </c>
      <c r="H190" s="15" t="s">
        <v>2400</v>
      </c>
      <c r="I190" s="15" t="s">
        <v>2952</v>
      </c>
    </row>
    <row r="191" spans="1:9" ht="15" customHeight="1" x14ac:dyDescent="0.35">
      <c r="A191" s="15">
        <v>190</v>
      </c>
      <c r="B191" t="s">
        <v>2306</v>
      </c>
      <c r="C191" t="s">
        <v>58</v>
      </c>
      <c r="D191" t="s">
        <v>2155</v>
      </c>
      <c r="E191" t="s">
        <v>17</v>
      </c>
      <c r="F191" s="16">
        <v>1500</v>
      </c>
      <c r="G191" s="16">
        <v>280</v>
      </c>
      <c r="H191" s="15" t="s">
        <v>2405</v>
      </c>
      <c r="I191" s="16" t="s">
        <v>2953</v>
      </c>
    </row>
    <row r="192" spans="1:9" x14ac:dyDescent="0.35">
      <c r="A192" s="15">
        <v>191</v>
      </c>
      <c r="B192" t="s">
        <v>2306</v>
      </c>
      <c r="C192" t="s">
        <v>58</v>
      </c>
      <c r="D192" t="s">
        <v>2155</v>
      </c>
      <c r="E192" t="s">
        <v>17</v>
      </c>
      <c r="F192" s="17">
        <v>1500</v>
      </c>
      <c r="G192" s="17">
        <v>280</v>
      </c>
      <c r="H192" s="15" t="s">
        <v>2984</v>
      </c>
      <c r="I192" s="16" t="s">
        <v>2954</v>
      </c>
    </row>
    <row r="193" spans="1:9" x14ac:dyDescent="0.35">
      <c r="A193" s="15">
        <v>192</v>
      </c>
      <c r="B193" t="s">
        <v>2306</v>
      </c>
      <c r="C193" t="s">
        <v>58</v>
      </c>
      <c r="D193" t="s">
        <v>2155</v>
      </c>
      <c r="E193" t="s">
        <v>17</v>
      </c>
      <c r="F193" s="18">
        <v>1500</v>
      </c>
      <c r="G193" s="17">
        <v>280</v>
      </c>
      <c r="H193" s="15" t="s">
        <v>2400</v>
      </c>
      <c r="I193" s="15" t="s">
        <v>2955</v>
      </c>
    </row>
    <row r="194" spans="1:9" ht="15" customHeight="1" x14ac:dyDescent="0.35">
      <c r="A194" s="15">
        <v>193</v>
      </c>
      <c r="B194" t="s">
        <v>2306</v>
      </c>
      <c r="C194" t="s">
        <v>58</v>
      </c>
      <c r="D194" t="s">
        <v>2269</v>
      </c>
      <c r="E194" t="s">
        <v>51</v>
      </c>
      <c r="F194" s="16">
        <v>1800</v>
      </c>
      <c r="G194" s="17">
        <v>280</v>
      </c>
      <c r="H194" s="15" t="s">
        <v>2405</v>
      </c>
      <c r="I194" s="16" t="s">
        <v>2956</v>
      </c>
    </row>
    <row r="195" spans="1:9" x14ac:dyDescent="0.35">
      <c r="A195" s="15">
        <v>194</v>
      </c>
      <c r="B195" t="s">
        <v>2306</v>
      </c>
      <c r="C195" t="s">
        <v>58</v>
      </c>
      <c r="D195" t="s">
        <v>2269</v>
      </c>
      <c r="E195" t="s">
        <v>51</v>
      </c>
      <c r="F195" s="17">
        <v>1800</v>
      </c>
      <c r="G195" s="17">
        <v>280</v>
      </c>
      <c r="H195" s="19" t="s">
        <v>2984</v>
      </c>
      <c r="I195" s="15" t="s">
        <v>2957</v>
      </c>
    </row>
    <row r="196" spans="1:9" x14ac:dyDescent="0.35">
      <c r="A196" s="15">
        <v>195</v>
      </c>
      <c r="B196" t="s">
        <v>2306</v>
      </c>
      <c r="C196" t="s">
        <v>58</v>
      </c>
      <c r="D196" t="s">
        <v>2269</v>
      </c>
      <c r="E196" t="s">
        <v>51</v>
      </c>
      <c r="F196" s="18">
        <v>1800</v>
      </c>
      <c r="G196" s="17">
        <v>280</v>
      </c>
      <c r="H196" s="19" t="s">
        <v>2400</v>
      </c>
      <c r="I196" s="15" t="s">
        <v>2958</v>
      </c>
    </row>
    <row r="197" spans="1:9" x14ac:dyDescent="0.35">
      <c r="A197" s="15">
        <v>196</v>
      </c>
      <c r="B197" t="s">
        <v>2985</v>
      </c>
      <c r="C197" t="s">
        <v>58</v>
      </c>
      <c r="D197" t="s">
        <v>656</v>
      </c>
      <c r="E197" t="s">
        <v>34</v>
      </c>
      <c r="F197" s="15">
        <v>700</v>
      </c>
      <c r="G197" s="17">
        <v>180</v>
      </c>
      <c r="H197" s="16" t="s">
        <v>2405</v>
      </c>
      <c r="I197" s="15" t="s">
        <v>2959</v>
      </c>
    </row>
    <row r="198" spans="1:9" x14ac:dyDescent="0.35">
      <c r="A198" s="15">
        <v>197</v>
      </c>
      <c r="B198" t="s">
        <v>2985</v>
      </c>
      <c r="C198" t="s">
        <v>58</v>
      </c>
      <c r="D198" t="s">
        <v>800</v>
      </c>
      <c r="E198" t="s">
        <v>34</v>
      </c>
      <c r="F198" s="16">
        <v>800</v>
      </c>
      <c r="G198" s="18">
        <v>180</v>
      </c>
      <c r="H198" s="18" t="s">
        <v>2405</v>
      </c>
      <c r="I198" s="15" t="s">
        <v>2960</v>
      </c>
    </row>
    <row r="199" spans="1:9" x14ac:dyDescent="0.35">
      <c r="A199" s="15">
        <v>198</v>
      </c>
      <c r="B199" t="s">
        <v>2985</v>
      </c>
      <c r="C199" t="s">
        <v>58</v>
      </c>
      <c r="D199" t="s">
        <v>931</v>
      </c>
      <c r="E199" t="s">
        <v>34</v>
      </c>
      <c r="F199" s="18">
        <v>800</v>
      </c>
      <c r="G199" s="16">
        <v>160</v>
      </c>
      <c r="H199" s="16" t="s">
        <v>2405</v>
      </c>
      <c r="I199" s="15" t="s">
        <v>2961</v>
      </c>
    </row>
    <row r="200" spans="1:9" x14ac:dyDescent="0.35">
      <c r="A200" s="15">
        <v>199</v>
      </c>
      <c r="B200" t="s">
        <v>2985</v>
      </c>
      <c r="C200" t="s">
        <v>58</v>
      </c>
      <c r="D200" t="s">
        <v>1077</v>
      </c>
      <c r="E200" t="s">
        <v>45</v>
      </c>
      <c r="F200" s="16">
        <v>900</v>
      </c>
      <c r="G200" s="17">
        <v>160</v>
      </c>
      <c r="H200" s="18" t="s">
        <v>2405</v>
      </c>
      <c r="I200" s="15" t="s">
        <v>2962</v>
      </c>
    </row>
    <row r="201" spans="1:9" x14ac:dyDescent="0.35">
      <c r="A201" s="15">
        <v>200</v>
      </c>
      <c r="B201" t="s">
        <v>2985</v>
      </c>
      <c r="C201" t="s">
        <v>58</v>
      </c>
      <c r="D201" t="s">
        <v>1077</v>
      </c>
      <c r="E201" t="s">
        <v>45</v>
      </c>
      <c r="F201" s="17">
        <v>900</v>
      </c>
      <c r="G201" s="18">
        <v>160</v>
      </c>
      <c r="H201" s="15" t="s">
        <v>2984</v>
      </c>
      <c r="I201" s="15" t="s">
        <v>2963</v>
      </c>
    </row>
    <row r="202" spans="1:9" x14ac:dyDescent="0.35">
      <c r="A202" s="15">
        <v>201</v>
      </c>
      <c r="B202" t="s">
        <v>2985</v>
      </c>
      <c r="C202" t="s">
        <v>58</v>
      </c>
      <c r="D202" t="s">
        <v>1221</v>
      </c>
      <c r="E202" t="s">
        <v>45</v>
      </c>
      <c r="F202" s="17">
        <v>900</v>
      </c>
      <c r="G202" s="16">
        <v>180</v>
      </c>
      <c r="H202" s="15" t="s">
        <v>2405</v>
      </c>
      <c r="I202" s="15" t="s">
        <v>2964</v>
      </c>
    </row>
    <row r="203" spans="1:9" x14ac:dyDescent="0.35">
      <c r="A203" s="15">
        <v>202</v>
      </c>
      <c r="B203" t="s">
        <v>2985</v>
      </c>
      <c r="C203" t="s">
        <v>58</v>
      </c>
      <c r="D203" t="s">
        <v>1221</v>
      </c>
      <c r="E203" t="s">
        <v>45</v>
      </c>
      <c r="F203" s="18">
        <v>900</v>
      </c>
      <c r="G203" s="17">
        <v>180</v>
      </c>
      <c r="H203" s="15" t="s">
        <v>2984</v>
      </c>
      <c r="I203" s="15" t="s">
        <v>2965</v>
      </c>
    </row>
    <row r="204" spans="1:9" x14ac:dyDescent="0.35">
      <c r="A204" s="15">
        <v>203</v>
      </c>
      <c r="B204" t="s">
        <v>2985</v>
      </c>
      <c r="C204" t="s">
        <v>58</v>
      </c>
      <c r="D204" t="s">
        <v>1512</v>
      </c>
      <c r="E204" t="s">
        <v>41</v>
      </c>
      <c r="F204" s="16">
        <v>1000</v>
      </c>
      <c r="G204" s="17">
        <v>180</v>
      </c>
      <c r="H204" s="15" t="s">
        <v>2405</v>
      </c>
      <c r="I204" s="15" t="s">
        <v>2966</v>
      </c>
    </row>
    <row r="205" spans="1:9" x14ac:dyDescent="0.35">
      <c r="A205" s="15">
        <v>204</v>
      </c>
      <c r="B205" t="s">
        <v>2985</v>
      </c>
      <c r="C205" t="s">
        <v>58</v>
      </c>
      <c r="D205" t="s">
        <v>1512</v>
      </c>
      <c r="E205" t="s">
        <v>41</v>
      </c>
      <c r="F205" s="17">
        <v>1000</v>
      </c>
      <c r="G205" s="17">
        <v>180</v>
      </c>
      <c r="H205" s="15" t="s">
        <v>2984</v>
      </c>
      <c r="I205" s="15" t="s">
        <v>2967</v>
      </c>
    </row>
    <row r="206" spans="1:9" x14ac:dyDescent="0.35">
      <c r="A206" s="15">
        <v>205</v>
      </c>
      <c r="B206" t="s">
        <v>2985</v>
      </c>
      <c r="C206" t="s">
        <v>58</v>
      </c>
      <c r="D206" t="s">
        <v>1512</v>
      </c>
      <c r="E206" t="s">
        <v>41</v>
      </c>
      <c r="F206" s="17">
        <v>1000</v>
      </c>
      <c r="G206" s="18">
        <v>180</v>
      </c>
      <c r="H206" s="15" t="s">
        <v>2400</v>
      </c>
      <c r="I206" s="15" t="s">
        <v>2968</v>
      </c>
    </row>
    <row r="207" spans="1:9" x14ac:dyDescent="0.35">
      <c r="A207" s="15">
        <v>206</v>
      </c>
      <c r="B207" t="s">
        <v>2985</v>
      </c>
      <c r="C207" t="s">
        <v>58</v>
      </c>
      <c r="D207" t="s">
        <v>1809</v>
      </c>
      <c r="E207" t="s">
        <v>41</v>
      </c>
      <c r="F207" s="17">
        <v>1000</v>
      </c>
      <c r="G207" s="16">
        <v>220</v>
      </c>
      <c r="H207" s="15" t="s">
        <v>2405</v>
      </c>
      <c r="I207" s="16">
        <v>847</v>
      </c>
    </row>
    <row r="208" spans="1:9" x14ac:dyDescent="0.35">
      <c r="A208" s="15">
        <v>207</v>
      </c>
      <c r="B208" t="s">
        <v>2985</v>
      </c>
      <c r="C208" t="s">
        <v>58</v>
      </c>
      <c r="D208" t="s">
        <v>1809</v>
      </c>
      <c r="E208" t="s">
        <v>41</v>
      </c>
      <c r="F208" s="17">
        <v>1000</v>
      </c>
      <c r="G208" s="17">
        <v>220</v>
      </c>
      <c r="H208" s="15" t="s">
        <v>2984</v>
      </c>
      <c r="I208" s="16">
        <v>558</v>
      </c>
    </row>
    <row r="209" spans="1:9" x14ac:dyDescent="0.35">
      <c r="A209" s="15">
        <v>208</v>
      </c>
      <c r="B209" t="s">
        <v>2985</v>
      </c>
      <c r="C209" t="s">
        <v>58</v>
      </c>
      <c r="D209" t="s">
        <v>1809</v>
      </c>
      <c r="E209" t="s">
        <v>41</v>
      </c>
      <c r="F209" s="16">
        <v>1000</v>
      </c>
      <c r="G209" s="17">
        <v>220</v>
      </c>
      <c r="H209" s="15" t="s">
        <v>2400</v>
      </c>
      <c r="I209" s="16" t="s">
        <v>2969</v>
      </c>
    </row>
    <row r="210" spans="1:9" ht="15" customHeight="1" x14ac:dyDescent="0.35">
      <c r="A210" s="15">
        <v>209</v>
      </c>
      <c r="B210" t="s">
        <v>2985</v>
      </c>
      <c r="C210" t="s">
        <v>58</v>
      </c>
      <c r="D210" t="s">
        <v>1969</v>
      </c>
      <c r="E210" t="s">
        <v>45</v>
      </c>
      <c r="F210" s="16">
        <v>1200</v>
      </c>
      <c r="G210" s="17">
        <v>220</v>
      </c>
      <c r="H210" s="15" t="s">
        <v>2405</v>
      </c>
      <c r="I210" s="16">
        <v>1027</v>
      </c>
    </row>
    <row r="211" spans="1:9" x14ac:dyDescent="0.35">
      <c r="A211" s="15">
        <v>210</v>
      </c>
      <c r="B211" t="s">
        <v>2985</v>
      </c>
      <c r="C211" t="s">
        <v>58</v>
      </c>
      <c r="D211" t="s">
        <v>1969</v>
      </c>
      <c r="E211" t="s">
        <v>45</v>
      </c>
      <c r="F211" s="17">
        <v>1200</v>
      </c>
      <c r="G211" s="17">
        <v>220</v>
      </c>
      <c r="H211" s="15" t="s">
        <v>2984</v>
      </c>
      <c r="I211" s="16" t="s">
        <v>2970</v>
      </c>
    </row>
    <row r="212" spans="1:9" x14ac:dyDescent="0.35">
      <c r="A212" s="15">
        <v>211</v>
      </c>
      <c r="B212" t="s">
        <v>2985</v>
      </c>
      <c r="C212" t="s">
        <v>58</v>
      </c>
      <c r="D212" t="s">
        <v>1969</v>
      </c>
      <c r="E212" t="s">
        <v>45</v>
      </c>
      <c r="F212" s="17">
        <v>1200</v>
      </c>
      <c r="G212" s="17">
        <v>220</v>
      </c>
      <c r="H212" s="15" t="s">
        <v>2400</v>
      </c>
      <c r="I212" s="15">
        <v>657</v>
      </c>
    </row>
    <row r="213" spans="1:9" x14ac:dyDescent="0.35">
      <c r="A213" s="15">
        <v>212</v>
      </c>
      <c r="B213" t="s">
        <v>2985</v>
      </c>
      <c r="C213" t="s">
        <v>58</v>
      </c>
      <c r="D213" t="s">
        <v>2042</v>
      </c>
      <c r="E213" t="s">
        <v>45</v>
      </c>
      <c r="F213" s="17">
        <v>1200</v>
      </c>
      <c r="G213" s="17">
        <v>220</v>
      </c>
      <c r="H213" s="15" t="s">
        <v>2405</v>
      </c>
      <c r="I213" s="16" t="s">
        <v>2971</v>
      </c>
    </row>
    <row r="214" spans="1:9" x14ac:dyDescent="0.35">
      <c r="A214" s="15">
        <v>213</v>
      </c>
      <c r="B214" t="s">
        <v>2985</v>
      </c>
      <c r="C214" t="s">
        <v>58</v>
      </c>
      <c r="D214" t="s">
        <v>2042</v>
      </c>
      <c r="E214" t="s">
        <v>45</v>
      </c>
      <c r="F214" s="17">
        <v>1200</v>
      </c>
      <c r="G214" s="17">
        <v>220</v>
      </c>
      <c r="H214" s="15" t="s">
        <v>2984</v>
      </c>
      <c r="I214" s="16" t="s">
        <v>2972</v>
      </c>
    </row>
    <row r="215" spans="1:9" x14ac:dyDescent="0.35">
      <c r="A215" s="15">
        <v>214</v>
      </c>
      <c r="B215" t="s">
        <v>2985</v>
      </c>
      <c r="C215" t="s">
        <v>58</v>
      </c>
      <c r="D215" t="s">
        <v>2042</v>
      </c>
      <c r="E215" t="s">
        <v>45</v>
      </c>
      <c r="F215" s="18">
        <v>1200</v>
      </c>
      <c r="G215" s="18">
        <v>220</v>
      </c>
      <c r="H215" s="15" t="s">
        <v>2400</v>
      </c>
      <c r="I215" s="15" t="s">
        <v>2973</v>
      </c>
    </row>
    <row r="216" spans="1:9" ht="15" customHeight="1" x14ac:dyDescent="0.35">
      <c r="A216" s="15">
        <v>215</v>
      </c>
      <c r="B216" t="s">
        <v>2985</v>
      </c>
      <c r="C216" t="s">
        <v>58</v>
      </c>
      <c r="D216" t="s">
        <v>2155</v>
      </c>
      <c r="E216" t="s">
        <v>17</v>
      </c>
      <c r="F216" s="16">
        <v>1500</v>
      </c>
      <c r="G216" s="16">
        <v>280</v>
      </c>
      <c r="H216" s="15" t="s">
        <v>2405</v>
      </c>
      <c r="I216" s="16">
        <v>1479</v>
      </c>
    </row>
    <row r="217" spans="1:9" x14ac:dyDescent="0.35">
      <c r="A217" s="15">
        <v>216</v>
      </c>
      <c r="B217" t="s">
        <v>2985</v>
      </c>
      <c r="C217" t="s">
        <v>58</v>
      </c>
      <c r="D217" t="s">
        <v>2155</v>
      </c>
      <c r="E217" t="s">
        <v>17</v>
      </c>
      <c r="F217" s="17">
        <v>1500</v>
      </c>
      <c r="G217" s="17">
        <v>280</v>
      </c>
      <c r="H217" s="15" t="s">
        <v>2984</v>
      </c>
      <c r="I217" s="16" t="s">
        <v>2974</v>
      </c>
    </row>
    <row r="218" spans="1:9" x14ac:dyDescent="0.35">
      <c r="A218" s="15">
        <v>217</v>
      </c>
      <c r="B218" t="s">
        <v>2985</v>
      </c>
      <c r="C218" t="s">
        <v>58</v>
      </c>
      <c r="D218" t="s">
        <v>2155</v>
      </c>
      <c r="E218" t="s">
        <v>17</v>
      </c>
      <c r="F218" s="18">
        <v>1500</v>
      </c>
      <c r="G218" s="17">
        <v>280</v>
      </c>
      <c r="H218" s="15" t="s">
        <v>2400</v>
      </c>
      <c r="I218" s="15" t="s">
        <v>2975</v>
      </c>
    </row>
    <row r="219" spans="1:9" ht="15" customHeight="1" x14ac:dyDescent="0.35">
      <c r="A219" s="15">
        <v>218</v>
      </c>
      <c r="B219" t="s">
        <v>2985</v>
      </c>
      <c r="C219" t="s">
        <v>58</v>
      </c>
      <c r="D219" t="s">
        <v>2269</v>
      </c>
      <c r="E219" t="s">
        <v>51</v>
      </c>
      <c r="F219" s="16">
        <v>1800</v>
      </c>
      <c r="G219" s="17">
        <v>280</v>
      </c>
      <c r="H219" s="15" t="s">
        <v>2405</v>
      </c>
      <c r="I219" s="16" t="s">
        <v>2976</v>
      </c>
    </row>
    <row r="220" spans="1:9" x14ac:dyDescent="0.35">
      <c r="A220" s="15">
        <v>219</v>
      </c>
      <c r="B220" t="s">
        <v>2985</v>
      </c>
      <c r="C220" t="s">
        <v>58</v>
      </c>
      <c r="D220" t="s">
        <v>2269</v>
      </c>
      <c r="E220" t="s">
        <v>51</v>
      </c>
      <c r="F220" s="17">
        <v>1800</v>
      </c>
      <c r="G220" s="17">
        <v>280</v>
      </c>
      <c r="H220" s="15" t="s">
        <v>2984</v>
      </c>
      <c r="I220" s="15" t="s">
        <v>2977</v>
      </c>
    </row>
    <row r="221" spans="1:9" x14ac:dyDescent="0.35">
      <c r="A221" s="15">
        <v>220</v>
      </c>
      <c r="B221" t="s">
        <v>2985</v>
      </c>
      <c r="C221" t="s">
        <v>58</v>
      </c>
      <c r="D221" t="s">
        <v>2269</v>
      </c>
      <c r="E221" t="s">
        <v>51</v>
      </c>
      <c r="F221" s="17">
        <v>1800</v>
      </c>
      <c r="G221" s="17">
        <v>280</v>
      </c>
      <c r="H221" s="15" t="s">
        <v>2400</v>
      </c>
      <c r="I221" s="16" t="s">
        <v>2978</v>
      </c>
    </row>
    <row r="222" spans="1:9" ht="15" customHeight="1" x14ac:dyDescent="0.35">
      <c r="A222" s="15">
        <v>221</v>
      </c>
      <c r="B222" t="s">
        <v>2985</v>
      </c>
      <c r="C222" t="s">
        <v>58</v>
      </c>
      <c r="D222" t="s">
        <v>2306</v>
      </c>
      <c r="E222" t="s">
        <v>58</v>
      </c>
      <c r="F222" s="16">
        <v>2100</v>
      </c>
      <c r="G222" s="16">
        <v>320</v>
      </c>
      <c r="H222" s="15" t="s">
        <v>2405</v>
      </c>
      <c r="I222" s="16" t="s">
        <v>2979</v>
      </c>
    </row>
    <row r="223" spans="1:9" x14ac:dyDescent="0.35">
      <c r="A223" s="15">
        <v>222</v>
      </c>
      <c r="B223" t="s">
        <v>2985</v>
      </c>
      <c r="C223" t="s">
        <v>58</v>
      </c>
      <c r="D223" t="s">
        <v>2306</v>
      </c>
      <c r="E223" t="s">
        <v>58</v>
      </c>
      <c r="F223" s="17">
        <v>2100</v>
      </c>
      <c r="G223" s="17">
        <v>320</v>
      </c>
      <c r="H223" s="15" t="s">
        <v>2984</v>
      </c>
      <c r="I223" s="15" t="s">
        <v>2980</v>
      </c>
    </row>
    <row r="224" spans="1:9" x14ac:dyDescent="0.35">
      <c r="A224" s="15">
        <v>223</v>
      </c>
      <c r="B224" t="s">
        <v>2985</v>
      </c>
      <c r="C224" t="s">
        <v>58</v>
      </c>
      <c r="D224" t="s">
        <v>2306</v>
      </c>
      <c r="E224" t="s">
        <v>58</v>
      </c>
      <c r="F224" s="17">
        <v>2100</v>
      </c>
      <c r="G224" s="17">
        <v>320</v>
      </c>
      <c r="H224" s="15" t="s">
        <v>2400</v>
      </c>
      <c r="I224" s="16" t="s">
        <v>2981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L50" sqref="L50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>
        <v>1</v>
      </c>
      <c r="B2" t="s">
        <v>258</v>
      </c>
      <c r="C2" t="s">
        <v>3139</v>
      </c>
      <c r="D2" t="s">
        <v>258</v>
      </c>
      <c r="E2" t="s">
        <v>3139</v>
      </c>
      <c r="F2">
        <v>350</v>
      </c>
      <c r="G2">
        <v>102</v>
      </c>
      <c r="H2" t="s">
        <v>2983</v>
      </c>
      <c r="I2">
        <v>3</v>
      </c>
    </row>
    <row r="3" spans="1:9" x14ac:dyDescent="0.35">
      <c r="A3">
        <v>2</v>
      </c>
      <c r="B3" t="s">
        <v>298</v>
      </c>
      <c r="C3" t="s">
        <v>2402</v>
      </c>
      <c r="D3" t="s">
        <v>298</v>
      </c>
      <c r="E3" t="s">
        <v>2402</v>
      </c>
      <c r="F3">
        <v>300</v>
      </c>
      <c r="G3">
        <v>100.5</v>
      </c>
      <c r="H3" t="s">
        <v>2983</v>
      </c>
      <c r="I3">
        <v>4</v>
      </c>
    </row>
    <row r="4" spans="1:9" x14ac:dyDescent="0.35">
      <c r="A4">
        <v>3</v>
      </c>
      <c r="B4" t="s">
        <v>298</v>
      </c>
      <c r="C4" t="s">
        <v>2402</v>
      </c>
      <c r="D4" t="s">
        <v>298</v>
      </c>
      <c r="E4" t="s">
        <v>2402</v>
      </c>
      <c r="F4">
        <v>300</v>
      </c>
      <c r="G4">
        <v>100.5</v>
      </c>
      <c r="H4" t="s">
        <v>2399</v>
      </c>
      <c r="I4" t="s">
        <v>2462</v>
      </c>
    </row>
    <row r="5" spans="1:9" x14ac:dyDescent="0.3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2399</v>
      </c>
      <c r="I5" t="s">
        <v>2417</v>
      </c>
    </row>
    <row r="6" spans="1:9" ht="15" customHeight="1" x14ac:dyDescent="0.3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2983</v>
      </c>
      <c r="I6" t="s">
        <v>2414</v>
      </c>
    </row>
    <row r="7" spans="1:9" x14ac:dyDescent="0.3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2983</v>
      </c>
      <c r="I7" t="s">
        <v>2477</v>
      </c>
    </row>
    <row r="8" spans="1:9" ht="15" customHeight="1" x14ac:dyDescent="0.3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2399</v>
      </c>
      <c r="I8" t="s">
        <v>2653</v>
      </c>
    </row>
    <row r="9" spans="1:9" x14ac:dyDescent="0.3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2399</v>
      </c>
      <c r="I9" t="s">
        <v>2422</v>
      </c>
    </row>
    <row r="10" spans="1:9" ht="15" customHeight="1" x14ac:dyDescent="0.3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2983</v>
      </c>
      <c r="I10" t="s">
        <v>3107</v>
      </c>
    </row>
    <row r="11" spans="1:9" x14ac:dyDescent="0.3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2983</v>
      </c>
      <c r="I11" t="s">
        <v>3108</v>
      </c>
    </row>
    <row r="12" spans="1:9" x14ac:dyDescent="0.3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2399</v>
      </c>
      <c r="I12" t="s">
        <v>3109</v>
      </c>
    </row>
    <row r="13" spans="1:9" x14ac:dyDescent="0.3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2399</v>
      </c>
      <c r="I13" t="s">
        <v>2826</v>
      </c>
    </row>
    <row r="14" spans="1:9" ht="15" customHeight="1" x14ac:dyDescent="0.3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2983</v>
      </c>
      <c r="I14" t="s">
        <v>3029</v>
      </c>
    </row>
    <row r="15" spans="1:9" x14ac:dyDescent="0.3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2405</v>
      </c>
      <c r="I15" t="s">
        <v>3110</v>
      </c>
    </row>
    <row r="16" spans="1:9" ht="15" customHeight="1" x14ac:dyDescent="0.3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2405</v>
      </c>
      <c r="I16" t="s">
        <v>2823</v>
      </c>
    </row>
    <row r="17" spans="1:9" x14ac:dyDescent="0.3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2399</v>
      </c>
      <c r="I17" t="s">
        <v>3111</v>
      </c>
    </row>
    <row r="18" spans="1:9" ht="15" customHeight="1" x14ac:dyDescent="0.3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2983</v>
      </c>
      <c r="I18" t="s">
        <v>3112</v>
      </c>
    </row>
    <row r="19" spans="1:9" x14ac:dyDescent="0.3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2399</v>
      </c>
      <c r="I19" t="s">
        <v>3113</v>
      </c>
    </row>
    <row r="20" spans="1:9" x14ac:dyDescent="0.3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2983</v>
      </c>
      <c r="I20" t="s">
        <v>3057</v>
      </c>
    </row>
    <row r="21" spans="1:9" ht="15" customHeight="1" x14ac:dyDescent="0.3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2983</v>
      </c>
      <c r="I21" t="s">
        <v>3114</v>
      </c>
    </row>
    <row r="22" spans="1:9" x14ac:dyDescent="0.3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2399</v>
      </c>
      <c r="I22" t="s">
        <v>3115</v>
      </c>
    </row>
    <row r="23" spans="1:9" ht="15" customHeight="1" x14ac:dyDescent="0.3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2405</v>
      </c>
      <c r="I23">
        <v>83</v>
      </c>
    </row>
    <row r="24" spans="1:9" x14ac:dyDescent="0.3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2405</v>
      </c>
      <c r="I24" t="s">
        <v>3116</v>
      </c>
    </row>
    <row r="25" spans="1:9" x14ac:dyDescent="0.3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2405</v>
      </c>
      <c r="I25" t="s">
        <v>3117</v>
      </c>
    </row>
    <row r="26" spans="1:9" ht="15" customHeight="1" x14ac:dyDescent="0.3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2399</v>
      </c>
      <c r="I26" t="s">
        <v>3118</v>
      </c>
    </row>
    <row r="27" spans="1:9" x14ac:dyDescent="0.3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2405</v>
      </c>
      <c r="I27" t="s">
        <v>3119</v>
      </c>
    </row>
    <row r="28" spans="1:9" ht="15" customHeight="1" x14ac:dyDescent="0.3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2984</v>
      </c>
      <c r="I28" t="s">
        <v>3120</v>
      </c>
    </row>
    <row r="29" spans="1:9" x14ac:dyDescent="0.3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2984</v>
      </c>
      <c r="I29" t="s">
        <v>3121</v>
      </c>
    </row>
    <row r="30" spans="1:9" x14ac:dyDescent="0.3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2405</v>
      </c>
      <c r="I30" t="s">
        <v>3122</v>
      </c>
    </row>
    <row r="31" spans="1:9" x14ac:dyDescent="0.3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2399</v>
      </c>
      <c r="I31" t="s">
        <v>3123</v>
      </c>
    </row>
    <row r="32" spans="1:9" x14ac:dyDescent="0.3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2399</v>
      </c>
      <c r="I32" t="s">
        <v>3124</v>
      </c>
    </row>
    <row r="33" spans="1:9" x14ac:dyDescent="0.3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2405</v>
      </c>
      <c r="I33" t="s">
        <v>3125</v>
      </c>
    </row>
    <row r="34" spans="1:9" x14ac:dyDescent="0.3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2984</v>
      </c>
      <c r="I34" t="s">
        <v>3126</v>
      </c>
    </row>
    <row r="35" spans="1:9" x14ac:dyDescent="0.3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2405</v>
      </c>
      <c r="I35" t="s">
        <v>3127</v>
      </c>
    </row>
    <row r="36" spans="1:9" x14ac:dyDescent="0.3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2984</v>
      </c>
      <c r="I36" t="s">
        <v>3128</v>
      </c>
    </row>
    <row r="37" spans="1:9" ht="15" customHeight="1" x14ac:dyDescent="0.3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2400</v>
      </c>
      <c r="I37" t="s">
        <v>3129</v>
      </c>
    </row>
    <row r="38" spans="1:9" x14ac:dyDescent="0.3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2400</v>
      </c>
      <c r="I38" t="s">
        <v>3130</v>
      </c>
    </row>
    <row r="39" spans="1:9" x14ac:dyDescent="0.3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2984</v>
      </c>
      <c r="I39" t="s">
        <v>3131</v>
      </c>
    </row>
    <row r="40" spans="1:9" x14ac:dyDescent="0.3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2405</v>
      </c>
      <c r="I40" t="s">
        <v>3132</v>
      </c>
    </row>
    <row r="41" spans="1:9" ht="15" customHeight="1" x14ac:dyDescent="0.3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2405</v>
      </c>
      <c r="I41" t="s">
        <v>3133</v>
      </c>
    </row>
    <row r="42" spans="1:9" x14ac:dyDescent="0.3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2984</v>
      </c>
      <c r="I42" t="s">
        <v>3134</v>
      </c>
    </row>
    <row r="43" spans="1:9" x14ac:dyDescent="0.3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2400</v>
      </c>
      <c r="I43" t="s">
        <v>3135</v>
      </c>
    </row>
    <row r="44" spans="1:9" x14ac:dyDescent="0.3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2398</v>
      </c>
      <c r="I44" t="s">
        <v>3136</v>
      </c>
    </row>
    <row r="45" spans="1:9" x14ac:dyDescent="0.35">
      <c r="A45">
        <v>44</v>
      </c>
      <c r="B45" t="s">
        <v>2985</v>
      </c>
      <c r="C45" t="s">
        <v>58</v>
      </c>
      <c r="D45" t="s">
        <v>2985</v>
      </c>
      <c r="E45" t="s">
        <v>58</v>
      </c>
      <c r="F45">
        <v>2200</v>
      </c>
      <c r="G45">
        <v>320</v>
      </c>
      <c r="H45" t="s">
        <v>2398</v>
      </c>
      <c r="I45">
        <v>1334</v>
      </c>
    </row>
    <row r="46" spans="1:9" x14ac:dyDescent="0.35">
      <c r="A46">
        <v>45</v>
      </c>
      <c r="B46" t="s">
        <v>2985</v>
      </c>
      <c r="C46" t="s">
        <v>58</v>
      </c>
      <c r="D46" t="s">
        <v>2985</v>
      </c>
      <c r="E46" t="s">
        <v>58</v>
      </c>
      <c r="F46">
        <v>2200</v>
      </c>
      <c r="G46">
        <v>320</v>
      </c>
      <c r="H46" t="s">
        <v>2400</v>
      </c>
      <c r="I46" t="s">
        <v>3137</v>
      </c>
    </row>
    <row r="47" spans="1:9" ht="15" customHeight="1" x14ac:dyDescent="0.35">
      <c r="A47">
        <v>46</v>
      </c>
      <c r="B47" t="s">
        <v>2985</v>
      </c>
      <c r="C47" t="s">
        <v>58</v>
      </c>
      <c r="D47" t="s">
        <v>2985</v>
      </c>
      <c r="E47" t="s">
        <v>58</v>
      </c>
      <c r="F47">
        <v>2200</v>
      </c>
      <c r="G47">
        <v>320</v>
      </c>
      <c r="H47" t="s">
        <v>2984</v>
      </c>
      <c r="I47" t="s">
        <v>3138</v>
      </c>
    </row>
    <row r="48" spans="1:9" x14ac:dyDescent="0.35">
      <c r="A48" s="15">
        <v>47</v>
      </c>
      <c r="B48">
        <v>377</v>
      </c>
      <c r="C48">
        <v>9</v>
      </c>
      <c r="D48">
        <v>273</v>
      </c>
      <c r="E48">
        <v>8</v>
      </c>
      <c r="F48" s="17">
        <v>600</v>
      </c>
      <c r="G48" s="16">
        <v>-47</v>
      </c>
      <c r="H48" s="18" t="s">
        <v>2983</v>
      </c>
      <c r="I48" s="15" t="s">
        <v>2830</v>
      </c>
    </row>
    <row r="49" spans="1:9" x14ac:dyDescent="0.35">
      <c r="A49" s="15">
        <v>48</v>
      </c>
      <c r="B49">
        <v>377</v>
      </c>
      <c r="C49">
        <v>9</v>
      </c>
      <c r="D49">
        <v>273</v>
      </c>
      <c r="E49">
        <v>8</v>
      </c>
      <c r="F49" s="17">
        <v>600</v>
      </c>
      <c r="G49" s="18">
        <v>-47</v>
      </c>
      <c r="H49" s="15" t="s">
        <v>2399</v>
      </c>
      <c r="I49" s="15">
        <v>63</v>
      </c>
    </row>
    <row r="50" spans="1:9" x14ac:dyDescent="0.35">
      <c r="A50" s="15"/>
      <c r="F50" s="17"/>
      <c r="G50" s="16"/>
      <c r="H50" s="19"/>
      <c r="I50" s="15"/>
    </row>
    <row r="51" spans="1:9" x14ac:dyDescent="0.35">
      <c r="A51" s="15"/>
      <c r="F51" s="18"/>
      <c r="G51" s="18"/>
      <c r="H51" s="19"/>
      <c r="I51" s="15"/>
    </row>
    <row r="52" spans="1:9" ht="15" customHeight="1" x14ac:dyDescent="0.35">
      <c r="A52" s="15"/>
      <c r="F52" s="16"/>
      <c r="G52" s="16"/>
      <c r="H52" s="16"/>
      <c r="I52" s="16"/>
    </row>
    <row r="53" spans="1:9" x14ac:dyDescent="0.35">
      <c r="A53" s="15"/>
      <c r="F53" s="17"/>
      <c r="G53" s="17"/>
      <c r="H53" s="17"/>
      <c r="I53" s="18"/>
    </row>
    <row r="54" spans="1:9" x14ac:dyDescent="0.35">
      <c r="A54" s="15"/>
      <c r="F54" s="17"/>
      <c r="G54" s="17"/>
      <c r="H54" s="17"/>
      <c r="I54" s="15"/>
    </row>
    <row r="55" spans="1:9" x14ac:dyDescent="0.35">
      <c r="A55" s="15"/>
      <c r="F55" s="17"/>
      <c r="G55" s="17"/>
      <c r="H55" s="17"/>
      <c r="I55" s="15"/>
    </row>
    <row r="56" spans="1:9" x14ac:dyDescent="0.35">
      <c r="A56" s="15"/>
      <c r="F56" s="17"/>
      <c r="G56" s="18"/>
      <c r="H56" s="17"/>
      <c r="I56" s="15"/>
    </row>
    <row r="57" spans="1:9" x14ac:dyDescent="0.35">
      <c r="A57" s="15"/>
      <c r="F57" s="18"/>
      <c r="G57" s="16"/>
      <c r="H57" s="17"/>
      <c r="I57" s="15"/>
    </row>
    <row r="58" spans="1:9" ht="15" customHeight="1" x14ac:dyDescent="0.35">
      <c r="A58" s="15"/>
      <c r="F58" s="16"/>
      <c r="G58" s="18"/>
      <c r="H58" s="17"/>
      <c r="I58" s="15"/>
    </row>
    <row r="59" spans="1:9" x14ac:dyDescent="0.35">
      <c r="A59" s="15"/>
      <c r="F59" s="18"/>
      <c r="G59" s="15"/>
      <c r="H59" s="17"/>
      <c r="I59" s="15"/>
    </row>
    <row r="60" spans="1:9" ht="15" customHeight="1" x14ac:dyDescent="0.35">
      <c r="A60" s="15"/>
      <c r="F60" s="16"/>
      <c r="G60" s="16"/>
      <c r="H60" s="17"/>
      <c r="I60" s="15"/>
    </row>
    <row r="61" spans="1:9" x14ac:dyDescent="0.35">
      <c r="A61" s="15"/>
      <c r="F61" s="17"/>
      <c r="G61" s="17"/>
      <c r="H61" s="18"/>
      <c r="I61" s="15"/>
    </row>
    <row r="62" spans="1:9" x14ac:dyDescent="0.35">
      <c r="A62" s="15"/>
      <c r="F62" s="17"/>
      <c r="G62" s="17"/>
      <c r="H62" s="15"/>
      <c r="I62" s="15"/>
    </row>
    <row r="63" spans="1:9" x14ac:dyDescent="0.35">
      <c r="A63" s="15"/>
      <c r="F63" s="18"/>
      <c r="G63" s="18"/>
      <c r="H63" s="15"/>
      <c r="I63" s="15"/>
    </row>
    <row r="64" spans="1:9" ht="15" customHeight="1" x14ac:dyDescent="0.35">
      <c r="A64" s="15"/>
      <c r="F64" s="16"/>
      <c r="G64" s="16"/>
      <c r="H64" s="15"/>
      <c r="I64" s="15"/>
    </row>
    <row r="65" spans="1:9" x14ac:dyDescent="0.35">
      <c r="A65" s="15"/>
      <c r="F65" s="17"/>
      <c r="G65" s="17"/>
      <c r="H65" s="15"/>
      <c r="I65" s="15"/>
    </row>
    <row r="66" spans="1:9" x14ac:dyDescent="0.35">
      <c r="A66" s="15"/>
      <c r="F66" s="17"/>
      <c r="G66" s="17"/>
      <c r="H66" s="15"/>
      <c r="I66" s="15"/>
    </row>
    <row r="67" spans="1:9" x14ac:dyDescent="0.35">
      <c r="A67" s="15"/>
      <c r="F67" s="17"/>
      <c r="G67" s="17"/>
      <c r="H67" s="15"/>
      <c r="I67" s="15"/>
    </row>
    <row r="68" spans="1:9" x14ac:dyDescent="0.35">
      <c r="A68" s="15"/>
      <c r="F68" s="17"/>
      <c r="G68" s="17"/>
      <c r="H68" s="19"/>
      <c r="I68" s="15"/>
    </row>
    <row r="69" spans="1:9" x14ac:dyDescent="0.35">
      <c r="A69" s="15"/>
      <c r="F69" s="18"/>
      <c r="G69" s="18"/>
      <c r="H69" s="19"/>
      <c r="I69" s="15"/>
    </row>
    <row r="70" spans="1:9" ht="15" customHeight="1" x14ac:dyDescent="0.35">
      <c r="A70" s="15"/>
      <c r="F70" s="16"/>
      <c r="G70" s="16"/>
      <c r="H70" s="16"/>
      <c r="I70" s="15"/>
    </row>
    <row r="71" spans="1:9" x14ac:dyDescent="0.35">
      <c r="A71" s="15"/>
      <c r="F71" s="18"/>
      <c r="G71" s="18"/>
      <c r="H71" s="17"/>
      <c r="I71" s="15"/>
    </row>
    <row r="72" spans="1:9" ht="15" customHeight="1" x14ac:dyDescent="0.35">
      <c r="A72" s="15"/>
      <c r="F72" s="16"/>
      <c r="G72" s="16"/>
      <c r="H72" s="17"/>
      <c r="I72" s="15"/>
    </row>
    <row r="73" spans="1:9" x14ac:dyDescent="0.35">
      <c r="A73" s="15"/>
      <c r="F73" s="18"/>
      <c r="G73" s="18"/>
      <c r="H73" s="17"/>
      <c r="I73" s="15"/>
    </row>
    <row r="74" spans="1:9" ht="15" customHeight="1" x14ac:dyDescent="0.35">
      <c r="A74" s="15"/>
      <c r="F74" s="16"/>
      <c r="G74" s="16"/>
      <c r="H74" s="18"/>
      <c r="I74" s="15"/>
    </row>
    <row r="75" spans="1:9" x14ac:dyDescent="0.35">
      <c r="A75" s="15"/>
      <c r="F75" s="17"/>
      <c r="G75" s="17"/>
      <c r="H75" s="15"/>
      <c r="I75" s="15"/>
    </row>
    <row r="76" spans="1:9" x14ac:dyDescent="0.35">
      <c r="A76" s="15"/>
      <c r="F76" s="17"/>
      <c r="G76" s="17"/>
      <c r="H76" s="15"/>
      <c r="I76" s="16"/>
    </row>
    <row r="77" spans="1:9" x14ac:dyDescent="0.35">
      <c r="A77" s="15"/>
      <c r="F77" s="17"/>
      <c r="G77" s="18"/>
      <c r="H77" s="19"/>
      <c r="I77" s="15"/>
    </row>
    <row r="78" spans="1:9" x14ac:dyDescent="0.35">
      <c r="A78" s="15"/>
      <c r="F78" s="17"/>
      <c r="G78" s="16"/>
      <c r="H78" s="19"/>
      <c r="I78" s="16"/>
    </row>
    <row r="79" spans="1:9" x14ac:dyDescent="0.35">
      <c r="A79" s="15"/>
      <c r="F79" s="18"/>
      <c r="G79" s="18"/>
      <c r="H79" s="16"/>
      <c r="I79" s="15"/>
    </row>
    <row r="80" spans="1:9" x14ac:dyDescent="0.35">
      <c r="A80" s="15"/>
      <c r="F80" s="16"/>
      <c r="G80" s="16"/>
      <c r="H80" s="17"/>
      <c r="I80" s="15"/>
    </row>
    <row r="81" spans="1:9" x14ac:dyDescent="0.35">
      <c r="A81" s="15"/>
      <c r="F81" s="18"/>
      <c r="G81" s="18"/>
      <c r="H81" s="18"/>
      <c r="I81" s="15"/>
    </row>
    <row r="82" spans="1:9" x14ac:dyDescent="0.35">
      <c r="A82" s="15"/>
      <c r="F82" s="16"/>
      <c r="G82" s="16"/>
      <c r="H82" s="15"/>
      <c r="I82" s="15"/>
    </row>
    <row r="83" spans="1:9" x14ac:dyDescent="0.35">
      <c r="A83" s="15"/>
      <c r="F83" s="17"/>
      <c r="G83" s="17"/>
      <c r="H83" s="15"/>
      <c r="I83" s="15"/>
    </row>
    <row r="84" spans="1:9" ht="15" customHeight="1" x14ac:dyDescent="0.35">
      <c r="A84" s="15"/>
      <c r="F84" s="17"/>
      <c r="G84" s="17"/>
      <c r="H84" s="15"/>
      <c r="I84" s="15"/>
    </row>
    <row r="85" spans="1:9" x14ac:dyDescent="0.35">
      <c r="A85" s="15"/>
      <c r="F85" s="18"/>
      <c r="G85" s="18"/>
      <c r="H85" s="15"/>
      <c r="I85" s="15"/>
    </row>
    <row r="86" spans="1:9" ht="15" customHeight="1" x14ac:dyDescent="0.35">
      <c r="A86" s="15"/>
      <c r="F86" s="16"/>
      <c r="G86" s="16"/>
      <c r="H86" s="15"/>
      <c r="I86" s="15"/>
    </row>
    <row r="87" spans="1:9" x14ac:dyDescent="0.35">
      <c r="A87" s="15"/>
      <c r="F87" s="17"/>
      <c r="G87" s="17"/>
      <c r="H87" s="15"/>
      <c r="I87" s="15"/>
    </row>
    <row r="88" spans="1:9" x14ac:dyDescent="0.35">
      <c r="A88" s="15"/>
      <c r="F88" s="17"/>
      <c r="G88" s="17"/>
      <c r="H88" s="15"/>
      <c r="I88" s="15"/>
    </row>
    <row r="89" spans="1:9" x14ac:dyDescent="0.35">
      <c r="A89" s="15"/>
      <c r="F89" s="17"/>
      <c r="G89" s="17"/>
      <c r="H89" s="19"/>
      <c r="I89" s="15"/>
    </row>
    <row r="90" spans="1:9" ht="15" customHeight="1" x14ac:dyDescent="0.35">
      <c r="A90" s="15"/>
      <c r="F90" s="18"/>
      <c r="G90" s="18"/>
      <c r="H90" s="19"/>
      <c r="I90" s="15"/>
    </row>
    <row r="91" spans="1:9" x14ac:dyDescent="0.35">
      <c r="A91" s="15"/>
      <c r="F91" s="16"/>
      <c r="G91" s="16"/>
      <c r="H91" s="16"/>
      <c r="I91" s="15"/>
    </row>
    <row r="92" spans="1:9" x14ac:dyDescent="0.35">
      <c r="A92" s="15"/>
      <c r="F92" s="17"/>
      <c r="G92" s="17"/>
      <c r="H92" s="17"/>
      <c r="I92" s="15"/>
    </row>
    <row r="93" spans="1:9" x14ac:dyDescent="0.35">
      <c r="A93" s="15"/>
      <c r="F93" s="17"/>
      <c r="G93" s="18"/>
      <c r="H93" s="17"/>
      <c r="I93" s="15"/>
    </row>
    <row r="94" spans="1:9" x14ac:dyDescent="0.35">
      <c r="A94" s="15"/>
      <c r="F94" s="18"/>
      <c r="G94" s="16"/>
      <c r="H94" s="17"/>
      <c r="I94" s="15"/>
    </row>
    <row r="95" spans="1:9" ht="15" customHeight="1" x14ac:dyDescent="0.35">
      <c r="A95" s="15"/>
      <c r="F95" s="16"/>
      <c r="G95" s="17"/>
      <c r="H95" s="18"/>
      <c r="I95" s="16"/>
    </row>
    <row r="96" spans="1:9" x14ac:dyDescent="0.35">
      <c r="A96" s="15"/>
      <c r="F96" s="17"/>
      <c r="G96" s="15"/>
      <c r="H96" s="16"/>
      <c r="I96" s="15"/>
    </row>
    <row r="97" spans="1:9" x14ac:dyDescent="0.35">
      <c r="A97" s="15"/>
      <c r="F97" s="17"/>
      <c r="G97" s="15"/>
      <c r="H97" s="18"/>
      <c r="I97" s="15"/>
    </row>
    <row r="98" spans="1:9" x14ac:dyDescent="0.35">
      <c r="A98" s="15"/>
      <c r="F98" s="17"/>
      <c r="G98" s="16"/>
      <c r="H98" s="16"/>
      <c r="I98" s="16"/>
    </row>
    <row r="99" spans="1:9" ht="15" customHeight="1" x14ac:dyDescent="0.35">
      <c r="A99" s="15"/>
      <c r="F99" s="17"/>
      <c r="G99" s="17"/>
      <c r="H99" s="18"/>
      <c r="I99" s="15"/>
    </row>
    <row r="100" spans="1:9" x14ac:dyDescent="0.35">
      <c r="A100" s="15"/>
      <c r="F100" s="18"/>
      <c r="G100" s="18"/>
      <c r="H100" s="15"/>
      <c r="I100" s="15"/>
    </row>
    <row r="101" spans="1:9" x14ac:dyDescent="0.35">
      <c r="A101" s="15"/>
      <c r="F101" s="16"/>
      <c r="G101" s="16"/>
      <c r="H101" s="15"/>
      <c r="I101" s="16"/>
    </row>
    <row r="102" spans="1:9" x14ac:dyDescent="0.35">
      <c r="A102" s="15"/>
      <c r="F102" s="17"/>
      <c r="G102" s="17"/>
      <c r="H102" s="15"/>
      <c r="I102" s="15"/>
    </row>
    <row r="103" spans="1:9" x14ac:dyDescent="0.35">
      <c r="A103" s="15"/>
      <c r="F103" s="17"/>
      <c r="G103" s="17"/>
      <c r="H103" s="15"/>
      <c r="I103" s="15"/>
    </row>
    <row r="104" spans="1:9" x14ac:dyDescent="0.35">
      <c r="A104" s="15"/>
      <c r="F104" s="17"/>
      <c r="G104" s="18"/>
      <c r="H104" s="15"/>
      <c r="I104" s="15"/>
    </row>
    <row r="105" spans="1:9" x14ac:dyDescent="0.35">
      <c r="A105" s="15"/>
      <c r="F105" s="17"/>
      <c r="G105" s="16"/>
      <c r="H105" s="15"/>
      <c r="I105" s="15"/>
    </row>
    <row r="106" spans="1:9" x14ac:dyDescent="0.35">
      <c r="A106" s="15"/>
      <c r="F106" s="17"/>
      <c r="G106" s="17"/>
      <c r="H106" s="19"/>
      <c r="I106" s="15"/>
    </row>
    <row r="107" spans="1:9" x14ac:dyDescent="0.35">
      <c r="A107" s="15"/>
      <c r="F107" s="18"/>
      <c r="G107" s="18"/>
      <c r="H107" s="19"/>
      <c r="I107" s="15"/>
    </row>
    <row r="108" spans="1:9" ht="15" customHeight="1" x14ac:dyDescent="0.35">
      <c r="A108" s="15"/>
      <c r="F108" s="16"/>
      <c r="G108" s="16"/>
      <c r="H108" s="16"/>
      <c r="I108" s="16"/>
    </row>
    <row r="109" spans="1:9" x14ac:dyDescent="0.35">
      <c r="A109" s="15"/>
      <c r="F109" s="16"/>
      <c r="G109" s="17"/>
      <c r="H109" s="18"/>
      <c r="I109" s="15"/>
    </row>
    <row r="110" spans="1:9" x14ac:dyDescent="0.35">
      <c r="A110" s="15"/>
      <c r="F110" s="17"/>
      <c r="G110" s="18"/>
      <c r="H110" s="15"/>
      <c r="I110" s="15"/>
    </row>
    <row r="111" spans="1:9" x14ac:dyDescent="0.35">
      <c r="A111" s="15"/>
      <c r="F111" s="17"/>
      <c r="G111" s="16"/>
      <c r="H111" s="15"/>
      <c r="I111" s="16"/>
    </row>
    <row r="112" spans="1:9" x14ac:dyDescent="0.35">
      <c r="A112" s="15"/>
      <c r="F112" s="17"/>
      <c r="G112" s="17"/>
      <c r="H112" s="15"/>
      <c r="I112" s="15"/>
    </row>
    <row r="113" spans="1:9" x14ac:dyDescent="0.35">
      <c r="A113" s="15"/>
      <c r="F113" s="17"/>
      <c r="G113" s="17"/>
      <c r="H113" s="15"/>
      <c r="I113" s="16"/>
    </row>
    <row r="114" spans="1:9" x14ac:dyDescent="0.35">
      <c r="A114" s="15"/>
      <c r="F114" s="18"/>
      <c r="G114" s="18"/>
      <c r="H114" s="15"/>
      <c r="I114" s="15"/>
    </row>
    <row r="115" spans="1:9" x14ac:dyDescent="0.35">
      <c r="A115" s="15"/>
      <c r="F115" s="16"/>
      <c r="G115" s="16"/>
      <c r="H115" s="15"/>
      <c r="I115" s="16"/>
    </row>
    <row r="116" spans="1:9" x14ac:dyDescent="0.35">
      <c r="A116" s="15"/>
      <c r="F116" s="17"/>
      <c r="G116" s="18"/>
      <c r="H116" s="15"/>
      <c r="I116" s="15"/>
    </row>
    <row r="117" spans="1:9" ht="15" customHeight="1" x14ac:dyDescent="0.35">
      <c r="A117" s="15"/>
      <c r="F117" s="17"/>
      <c r="G117" s="16"/>
      <c r="H117" s="15"/>
      <c r="I117" s="16"/>
    </row>
    <row r="118" spans="1:9" x14ac:dyDescent="0.35">
      <c r="A118" s="15"/>
      <c r="F118" s="17"/>
      <c r="G118" s="16"/>
      <c r="H118" s="15"/>
      <c r="I118" s="15"/>
    </row>
    <row r="119" spans="1:9" ht="15" customHeight="1" x14ac:dyDescent="0.35">
      <c r="A119" s="15"/>
      <c r="F119" s="17"/>
      <c r="G119" s="17"/>
      <c r="H119" s="15"/>
      <c r="I119" s="16"/>
    </row>
    <row r="120" spans="1:9" x14ac:dyDescent="0.35">
      <c r="A120" s="15"/>
      <c r="F120" s="17"/>
      <c r="G120" s="17"/>
      <c r="H120" s="15"/>
      <c r="I120" s="16"/>
    </row>
    <row r="121" spans="1:9" x14ac:dyDescent="0.35">
      <c r="A121" s="15"/>
      <c r="F121" s="18"/>
      <c r="G121" s="17"/>
      <c r="H121" s="15"/>
      <c r="I121" s="15"/>
    </row>
    <row r="122" spans="1:9" x14ac:dyDescent="0.35">
      <c r="A122" s="15"/>
      <c r="F122" s="16"/>
      <c r="G122" s="17"/>
      <c r="H122" s="15"/>
      <c r="I122" s="16"/>
    </row>
    <row r="123" spans="1:9" x14ac:dyDescent="0.35">
      <c r="A123" s="15"/>
      <c r="F123" s="17"/>
      <c r="G123" s="17"/>
      <c r="H123" s="15"/>
      <c r="I123" s="16"/>
    </row>
    <row r="124" spans="1:9" x14ac:dyDescent="0.35">
      <c r="A124" s="15"/>
      <c r="F124" s="18"/>
      <c r="G124" s="18"/>
      <c r="H124" s="15"/>
      <c r="I124" s="15"/>
    </row>
    <row r="125" spans="1:9" x14ac:dyDescent="0.35">
      <c r="A125" s="15"/>
      <c r="F125" s="16"/>
      <c r="G125" s="16"/>
      <c r="H125" s="15"/>
      <c r="I125" s="16"/>
    </row>
    <row r="126" spans="1:9" x14ac:dyDescent="0.35">
      <c r="A126" s="15"/>
      <c r="F126" s="17"/>
      <c r="G126" s="17"/>
      <c r="H126" s="15"/>
      <c r="I126" s="15"/>
    </row>
    <row r="127" spans="1:9" x14ac:dyDescent="0.35">
      <c r="A127" s="15"/>
      <c r="F127" s="17"/>
      <c r="G127" s="17"/>
      <c r="H127" s="15"/>
      <c r="I127" s="16"/>
    </row>
    <row r="128" spans="1:9" x14ac:dyDescent="0.35">
      <c r="A128" s="15"/>
      <c r="F128" s="17"/>
      <c r="G128" s="18"/>
      <c r="H128" s="15"/>
      <c r="I128" s="15"/>
    </row>
    <row r="129" spans="1:9" ht="15" customHeight="1" x14ac:dyDescent="0.35">
      <c r="A129" s="15"/>
      <c r="F129" s="17"/>
      <c r="G129" s="16"/>
      <c r="H129" s="15"/>
      <c r="I129" s="16"/>
    </row>
    <row r="130" spans="1:9" x14ac:dyDescent="0.35">
      <c r="A130" s="15"/>
      <c r="F130" s="17"/>
      <c r="G130" s="17"/>
      <c r="H130" s="15"/>
      <c r="I130" s="15"/>
    </row>
    <row r="131" spans="1:9" x14ac:dyDescent="0.35">
      <c r="A131" s="15"/>
      <c r="F131" s="17"/>
      <c r="G131" s="17"/>
      <c r="H131" s="15"/>
      <c r="I131" s="16"/>
    </row>
    <row r="132" spans="1:9" x14ac:dyDescent="0.35">
      <c r="A132" s="15"/>
      <c r="F132" s="18"/>
      <c r="G132" s="18"/>
      <c r="H132" s="15"/>
      <c r="I132" s="15"/>
    </row>
    <row r="133" spans="1:9" x14ac:dyDescent="0.35">
      <c r="A133" s="15"/>
      <c r="F133" s="16"/>
      <c r="G133" s="16"/>
      <c r="H133" s="15"/>
      <c r="I133" s="16"/>
    </row>
    <row r="134" spans="1:9" x14ac:dyDescent="0.35">
      <c r="A134" s="15"/>
      <c r="F134" s="17"/>
      <c r="G134" s="17"/>
      <c r="H134" s="15"/>
      <c r="I134" s="15"/>
    </row>
    <row r="135" spans="1:9" x14ac:dyDescent="0.35">
      <c r="A135" s="15"/>
      <c r="F135" s="17"/>
      <c r="G135" s="17"/>
      <c r="H135" s="15"/>
      <c r="I135" s="16"/>
    </row>
    <row r="136" spans="1:9" x14ac:dyDescent="0.35">
      <c r="A136" s="15"/>
      <c r="F136" s="17"/>
      <c r="G136" s="17"/>
      <c r="H136" s="15"/>
      <c r="I136" s="15"/>
    </row>
    <row r="137" spans="1:9" x14ac:dyDescent="0.35">
      <c r="A137" s="15"/>
      <c r="F137" s="17"/>
      <c r="G137" s="18"/>
      <c r="H137" s="15"/>
      <c r="I137" s="15"/>
    </row>
    <row r="138" spans="1:9" x14ac:dyDescent="0.35">
      <c r="A138" s="15"/>
      <c r="F138" s="17"/>
      <c r="G138" s="16"/>
      <c r="H138" s="15"/>
      <c r="I138" s="16"/>
    </row>
    <row r="139" spans="1:9" x14ac:dyDescent="0.35">
      <c r="A139" s="15"/>
      <c r="F139" s="18"/>
      <c r="G139" s="17"/>
      <c r="H139" s="15"/>
      <c r="I139" s="15"/>
    </row>
    <row r="140" spans="1:9" x14ac:dyDescent="0.35">
      <c r="A140" s="15"/>
      <c r="F140" s="15"/>
      <c r="G140" s="17"/>
      <c r="H140" s="15"/>
      <c r="I140" s="15"/>
    </row>
    <row r="141" spans="1:9" x14ac:dyDescent="0.35">
      <c r="A141" s="15"/>
      <c r="F141" s="16"/>
      <c r="G141" s="17"/>
      <c r="H141" s="15"/>
      <c r="I141" s="16"/>
    </row>
    <row r="142" spans="1:9" x14ac:dyDescent="0.35">
      <c r="A142" s="15"/>
      <c r="F142" s="17"/>
      <c r="G142" s="17"/>
      <c r="H142" s="15"/>
      <c r="I142" s="16"/>
    </row>
    <row r="143" spans="1:9" ht="15" customHeight="1" x14ac:dyDescent="0.35">
      <c r="A143" s="15"/>
      <c r="F143" s="17"/>
      <c r="G143" s="17"/>
      <c r="H143" s="15"/>
      <c r="I143" s="15"/>
    </row>
    <row r="144" spans="1:9" x14ac:dyDescent="0.35">
      <c r="A144" s="15"/>
      <c r="F144" s="17"/>
      <c r="G144" s="17"/>
      <c r="H144" s="15"/>
      <c r="I144" s="16"/>
    </row>
    <row r="145" spans="1:9" x14ac:dyDescent="0.35">
      <c r="A145" s="15"/>
      <c r="F145" s="17"/>
      <c r="G145" s="17"/>
      <c r="H145" s="19"/>
      <c r="I145" s="16"/>
    </row>
    <row r="146" spans="1:9" x14ac:dyDescent="0.35">
      <c r="A146" s="15"/>
      <c r="F146" s="18"/>
      <c r="G146" s="17"/>
      <c r="H146" s="19"/>
      <c r="I146" s="15"/>
    </row>
    <row r="147" spans="1:9" x14ac:dyDescent="0.35">
      <c r="A147" s="15"/>
      <c r="F147" s="16"/>
      <c r="G147" s="17"/>
      <c r="H147" s="16"/>
      <c r="I147" s="16"/>
    </row>
    <row r="148" spans="1:9" x14ac:dyDescent="0.35">
      <c r="A148" s="15"/>
      <c r="F148" s="17"/>
      <c r="G148" s="15"/>
      <c r="H148" s="18"/>
      <c r="I148" s="15"/>
    </row>
    <row r="149" spans="1:9" x14ac:dyDescent="0.35">
      <c r="A149" s="15"/>
      <c r="F149" s="17"/>
      <c r="G149" s="15"/>
      <c r="H149" s="15"/>
      <c r="I149" s="15"/>
    </row>
    <row r="150" spans="1:9" ht="15" customHeight="1" x14ac:dyDescent="0.35">
      <c r="A150" s="15"/>
      <c r="F150" s="17"/>
      <c r="G150" s="16"/>
      <c r="H150" s="15"/>
      <c r="I150" s="16"/>
    </row>
    <row r="151" spans="1:9" x14ac:dyDescent="0.35">
      <c r="A151" s="15"/>
      <c r="F151" s="17"/>
      <c r="G151" s="16"/>
      <c r="H151" s="15"/>
      <c r="I151" s="15"/>
    </row>
    <row r="152" spans="1:9" x14ac:dyDescent="0.35">
      <c r="A152" s="15"/>
      <c r="F152" s="17"/>
      <c r="G152" s="17"/>
      <c r="H152" s="15"/>
      <c r="I152" s="16"/>
    </row>
    <row r="153" spans="1:9" x14ac:dyDescent="0.35">
      <c r="A153" s="15"/>
      <c r="F153" s="17"/>
      <c r="G153" s="17"/>
      <c r="H153" s="15"/>
      <c r="I153" s="15"/>
    </row>
    <row r="154" spans="1:9" x14ac:dyDescent="0.35">
      <c r="A154" s="15"/>
      <c r="F154" s="17"/>
      <c r="G154" s="17"/>
      <c r="H154" s="15"/>
      <c r="I154" s="16"/>
    </row>
    <row r="155" spans="1:9" x14ac:dyDescent="0.35">
      <c r="A155" s="15"/>
      <c r="F155" s="18"/>
      <c r="G155" s="18"/>
      <c r="H155" s="15"/>
      <c r="I155" s="15"/>
    </row>
    <row r="156" spans="1:9" x14ac:dyDescent="0.35">
      <c r="A156" s="15"/>
      <c r="F156" s="16"/>
      <c r="G156" s="16"/>
      <c r="H156" s="15"/>
      <c r="I156" s="16"/>
    </row>
    <row r="157" spans="1:9" x14ac:dyDescent="0.35">
      <c r="A157" s="15"/>
      <c r="F157" s="17"/>
      <c r="G157" s="17"/>
      <c r="H157" s="15"/>
      <c r="I157" s="15"/>
    </row>
    <row r="158" spans="1:9" x14ac:dyDescent="0.35">
      <c r="A158" s="15"/>
      <c r="F158" s="17"/>
      <c r="G158" s="17"/>
      <c r="H158" s="15"/>
      <c r="I158" s="16"/>
    </row>
    <row r="159" spans="1:9" x14ac:dyDescent="0.35">
      <c r="A159" s="15"/>
      <c r="F159" s="17"/>
      <c r="G159" s="17"/>
      <c r="H159" s="15"/>
      <c r="I159" s="16"/>
    </row>
    <row r="160" spans="1:9" x14ac:dyDescent="0.35">
      <c r="A160" s="15"/>
      <c r="F160" s="17"/>
      <c r="G160" s="18"/>
      <c r="H160" s="15"/>
      <c r="I160" s="15"/>
    </row>
    <row r="161" spans="1:9" x14ac:dyDescent="0.35">
      <c r="A161" s="15"/>
      <c r="F161" s="17"/>
      <c r="G161" s="16"/>
      <c r="H161" s="15"/>
      <c r="I161" s="16"/>
    </row>
    <row r="162" spans="1:9" x14ac:dyDescent="0.35">
      <c r="A162" s="15"/>
      <c r="F162" s="17"/>
      <c r="G162" s="17"/>
      <c r="H162" s="15"/>
      <c r="I162" s="16"/>
    </row>
    <row r="163" spans="1:9" x14ac:dyDescent="0.35">
      <c r="A163" s="15"/>
      <c r="F163" s="18"/>
      <c r="G163" s="17"/>
      <c r="H163" s="15"/>
      <c r="I163" s="15"/>
    </row>
    <row r="164" spans="1:9" x14ac:dyDescent="0.35">
      <c r="A164" s="15"/>
      <c r="F164" s="16"/>
      <c r="G164" s="17"/>
      <c r="H164" s="15"/>
      <c r="I164" s="16"/>
    </row>
    <row r="165" spans="1:9" x14ac:dyDescent="0.35">
      <c r="A165" s="15"/>
      <c r="F165" s="17"/>
      <c r="G165" s="17"/>
      <c r="H165" s="15"/>
      <c r="I165" s="16"/>
    </row>
    <row r="166" spans="1:9" ht="15" customHeight="1" x14ac:dyDescent="0.35">
      <c r="A166" s="15"/>
      <c r="F166" s="17"/>
      <c r="G166" s="17"/>
      <c r="H166" s="15"/>
      <c r="I166" s="15"/>
    </row>
    <row r="167" spans="1:9" x14ac:dyDescent="0.35">
      <c r="A167" s="15"/>
      <c r="F167" s="17"/>
      <c r="G167" s="17"/>
      <c r="H167" s="15"/>
      <c r="I167" s="16"/>
    </row>
    <row r="168" spans="1:9" x14ac:dyDescent="0.35">
      <c r="A168" s="15"/>
      <c r="F168" s="17"/>
      <c r="G168" s="17"/>
      <c r="H168" s="15"/>
      <c r="I168" s="15"/>
    </row>
    <row r="169" spans="1:9" x14ac:dyDescent="0.35">
      <c r="A169" s="15"/>
      <c r="F169" s="18"/>
      <c r="G169" s="18"/>
      <c r="H169" s="15"/>
      <c r="I169" s="15"/>
    </row>
    <row r="170" spans="1:9" ht="15" customHeight="1" x14ac:dyDescent="0.35">
      <c r="A170" s="15"/>
      <c r="F170" s="16"/>
      <c r="G170" s="16"/>
      <c r="H170" s="19"/>
      <c r="I170" s="16"/>
    </row>
    <row r="171" spans="1:9" x14ac:dyDescent="0.35">
      <c r="A171" s="15"/>
      <c r="F171" s="17"/>
      <c r="G171" s="17"/>
      <c r="H171" s="19"/>
      <c r="I171" s="16"/>
    </row>
    <row r="172" spans="1:9" x14ac:dyDescent="0.35">
      <c r="A172" s="15"/>
      <c r="F172" s="16"/>
      <c r="G172" s="16"/>
      <c r="H172" s="16"/>
      <c r="I172" s="15"/>
    </row>
    <row r="173" spans="1:9" x14ac:dyDescent="0.35">
      <c r="A173" s="15"/>
      <c r="F173" s="17"/>
      <c r="G173" s="18"/>
      <c r="H173" s="17"/>
      <c r="I173" s="15"/>
    </row>
    <row r="174" spans="1:9" x14ac:dyDescent="0.35">
      <c r="A174" s="15"/>
      <c r="F174" s="17"/>
      <c r="G174" s="16"/>
      <c r="H174" s="18"/>
      <c r="I174" s="15"/>
    </row>
    <row r="175" spans="1:9" x14ac:dyDescent="0.35">
      <c r="A175" s="15"/>
      <c r="F175" s="17"/>
      <c r="G175" s="17"/>
      <c r="H175" s="15"/>
      <c r="I175" s="15"/>
    </row>
    <row r="176" spans="1:9" x14ac:dyDescent="0.35">
      <c r="A176" s="15"/>
      <c r="F176" s="17"/>
      <c r="G176" s="17"/>
      <c r="H176" s="15"/>
      <c r="I176" s="15"/>
    </row>
    <row r="177" spans="1:9" x14ac:dyDescent="0.35">
      <c r="A177" s="15"/>
      <c r="F177" s="18"/>
      <c r="G177" s="18"/>
      <c r="H177" s="15"/>
      <c r="I177" s="15"/>
    </row>
    <row r="178" spans="1:9" x14ac:dyDescent="0.35">
      <c r="A178" s="15"/>
      <c r="F178" s="16"/>
      <c r="G178" s="16"/>
      <c r="H178" s="15"/>
      <c r="I178" s="15"/>
    </row>
    <row r="179" spans="1:9" x14ac:dyDescent="0.35">
      <c r="A179" s="15"/>
      <c r="F179" s="17"/>
      <c r="G179" s="17"/>
      <c r="H179" s="15"/>
      <c r="I179" s="15"/>
    </row>
    <row r="180" spans="1:9" ht="15" customHeight="1" x14ac:dyDescent="0.35">
      <c r="A180" s="15"/>
      <c r="F180" s="17"/>
      <c r="G180" s="17"/>
      <c r="H180" s="15"/>
      <c r="I180" s="15"/>
    </row>
    <row r="181" spans="1:9" x14ac:dyDescent="0.35">
      <c r="A181" s="15"/>
      <c r="F181" s="17"/>
      <c r="G181" s="18"/>
      <c r="H181" s="15"/>
      <c r="I181" s="15"/>
    </row>
    <row r="182" spans="1:9" x14ac:dyDescent="0.35">
      <c r="A182" s="15"/>
      <c r="F182" s="17"/>
      <c r="G182" s="16"/>
      <c r="H182" s="15"/>
      <c r="I182" s="15"/>
    </row>
    <row r="183" spans="1:9" x14ac:dyDescent="0.35">
      <c r="A183" s="15"/>
      <c r="F183" s="17"/>
      <c r="G183" s="17"/>
      <c r="H183" s="15"/>
      <c r="I183" s="15"/>
    </row>
    <row r="184" spans="1:9" x14ac:dyDescent="0.35">
      <c r="A184" s="15"/>
      <c r="F184" s="18"/>
      <c r="G184" s="17"/>
      <c r="H184" s="15"/>
      <c r="I184" s="15"/>
    </row>
    <row r="185" spans="1:9" x14ac:dyDescent="0.35">
      <c r="A185" s="15"/>
      <c r="F185" s="16"/>
      <c r="G185" s="17"/>
      <c r="H185" s="15"/>
      <c r="I185" s="16"/>
    </row>
    <row r="186" spans="1:9" x14ac:dyDescent="0.35">
      <c r="A186" s="15"/>
      <c r="F186" s="17"/>
      <c r="G186" s="17"/>
      <c r="H186" s="15"/>
      <c r="I186" s="16"/>
    </row>
    <row r="187" spans="1:9" x14ac:dyDescent="0.35">
      <c r="A187" s="15"/>
      <c r="F187" s="17"/>
      <c r="G187" s="17"/>
      <c r="H187" s="15"/>
      <c r="I187" s="15"/>
    </row>
    <row r="188" spans="1:9" x14ac:dyDescent="0.35">
      <c r="A188" s="15"/>
      <c r="F188" s="17"/>
      <c r="G188" s="17"/>
      <c r="H188" s="15"/>
      <c r="I188" s="16"/>
    </row>
    <row r="189" spans="1:9" x14ac:dyDescent="0.35">
      <c r="A189" s="15"/>
      <c r="F189" s="17"/>
      <c r="G189" s="17"/>
      <c r="H189" s="15"/>
      <c r="I189" s="16"/>
    </row>
    <row r="190" spans="1:9" x14ac:dyDescent="0.35">
      <c r="A190" s="15"/>
      <c r="F190" s="18"/>
      <c r="G190" s="18"/>
      <c r="H190" s="15"/>
      <c r="I190" s="15"/>
    </row>
    <row r="191" spans="1:9" ht="15" customHeight="1" x14ac:dyDescent="0.35">
      <c r="A191" s="15"/>
      <c r="F191" s="16"/>
      <c r="G191" s="16"/>
      <c r="H191" s="15"/>
      <c r="I191" s="16"/>
    </row>
    <row r="192" spans="1:9" x14ac:dyDescent="0.35">
      <c r="A192" s="15"/>
      <c r="F192" s="17"/>
      <c r="G192" s="17"/>
      <c r="H192" s="15"/>
      <c r="I192" s="16"/>
    </row>
    <row r="193" spans="1:9" x14ac:dyDescent="0.35">
      <c r="A193" s="15"/>
      <c r="F193" s="18"/>
      <c r="G193" s="17"/>
      <c r="H193" s="15"/>
      <c r="I193" s="15"/>
    </row>
    <row r="194" spans="1:9" ht="15" customHeight="1" x14ac:dyDescent="0.35">
      <c r="A194" s="15"/>
      <c r="F194" s="16"/>
      <c r="G194" s="17"/>
      <c r="H194" s="15"/>
      <c r="I194" s="16"/>
    </row>
    <row r="195" spans="1:9" x14ac:dyDescent="0.35">
      <c r="A195" s="15"/>
      <c r="F195" s="17"/>
      <c r="G195" s="17"/>
      <c r="H195" s="19"/>
      <c r="I195" s="15"/>
    </row>
    <row r="196" spans="1:9" x14ac:dyDescent="0.35">
      <c r="A196" s="15"/>
      <c r="F196" s="18"/>
      <c r="G196" s="17"/>
      <c r="H196" s="19"/>
      <c r="I196" s="15"/>
    </row>
    <row r="197" spans="1:9" x14ac:dyDescent="0.35">
      <c r="A197" s="15"/>
      <c r="F197" s="15"/>
      <c r="G197" s="17"/>
      <c r="H197" s="16"/>
      <c r="I197" s="15"/>
    </row>
    <row r="198" spans="1:9" x14ac:dyDescent="0.35">
      <c r="A198" s="15"/>
      <c r="F198" s="16"/>
      <c r="G198" s="18"/>
      <c r="H198" s="18"/>
      <c r="I198" s="15"/>
    </row>
    <row r="199" spans="1:9" x14ac:dyDescent="0.35">
      <c r="A199" s="15"/>
      <c r="F199" s="18"/>
      <c r="G199" s="16"/>
      <c r="H199" s="16"/>
      <c r="I199" s="15"/>
    </row>
    <row r="200" spans="1:9" x14ac:dyDescent="0.35">
      <c r="A200" s="15"/>
      <c r="F200" s="16"/>
      <c r="G200" s="17"/>
      <c r="H200" s="18"/>
      <c r="I200" s="15"/>
    </row>
    <row r="201" spans="1:9" x14ac:dyDescent="0.35">
      <c r="A201" s="15"/>
      <c r="F201" s="17"/>
      <c r="G201" s="18"/>
      <c r="H201" s="15"/>
      <c r="I201" s="15"/>
    </row>
    <row r="202" spans="1:9" x14ac:dyDescent="0.35">
      <c r="A202" s="15"/>
      <c r="F202" s="17"/>
      <c r="G202" s="16"/>
      <c r="H202" s="15"/>
      <c r="I202" s="15"/>
    </row>
    <row r="203" spans="1:9" x14ac:dyDescent="0.35">
      <c r="A203" s="15"/>
      <c r="F203" s="18"/>
      <c r="G203" s="17"/>
      <c r="H203" s="15"/>
      <c r="I203" s="15"/>
    </row>
    <row r="204" spans="1:9" x14ac:dyDescent="0.35">
      <c r="A204" s="15"/>
      <c r="F204" s="16"/>
      <c r="G204" s="17"/>
      <c r="H204" s="15"/>
      <c r="I204" s="15"/>
    </row>
    <row r="205" spans="1:9" x14ac:dyDescent="0.35">
      <c r="A205" s="15"/>
      <c r="F205" s="17"/>
      <c r="G205" s="17"/>
      <c r="H205" s="15"/>
      <c r="I205" s="15"/>
    </row>
    <row r="206" spans="1:9" x14ac:dyDescent="0.35">
      <c r="A206" s="15"/>
      <c r="F206" s="17"/>
      <c r="G206" s="18"/>
      <c r="H206" s="15"/>
      <c r="I206" s="15"/>
    </row>
    <row r="207" spans="1:9" x14ac:dyDescent="0.35">
      <c r="A207" s="15"/>
      <c r="F207" s="17"/>
      <c r="G207" s="16"/>
      <c r="H207" s="15"/>
      <c r="I207" s="16"/>
    </row>
    <row r="208" spans="1:9" x14ac:dyDescent="0.35">
      <c r="A208" s="15"/>
      <c r="F208" s="17"/>
      <c r="G208" s="17"/>
      <c r="H208" s="15"/>
      <c r="I208" s="16"/>
    </row>
    <row r="209" spans="1:9" x14ac:dyDescent="0.35">
      <c r="A209" s="15"/>
      <c r="F209" s="16"/>
      <c r="G209" s="17"/>
      <c r="H209" s="15"/>
      <c r="I209" s="16"/>
    </row>
    <row r="210" spans="1:9" ht="15" customHeight="1" x14ac:dyDescent="0.35">
      <c r="A210" s="15"/>
      <c r="F210" s="16"/>
      <c r="G210" s="17"/>
      <c r="H210" s="15"/>
      <c r="I210" s="16"/>
    </row>
    <row r="211" spans="1:9" x14ac:dyDescent="0.35">
      <c r="A211" s="15"/>
      <c r="F211" s="17"/>
      <c r="G211" s="17"/>
      <c r="H211" s="15"/>
      <c r="I211" s="16"/>
    </row>
    <row r="212" spans="1:9" x14ac:dyDescent="0.35">
      <c r="A212" s="15"/>
      <c r="F212" s="17"/>
      <c r="G212" s="17"/>
      <c r="H212" s="15"/>
      <c r="I212" s="15"/>
    </row>
    <row r="213" spans="1:9" x14ac:dyDescent="0.35">
      <c r="A213" s="15"/>
      <c r="F213" s="17"/>
      <c r="G213" s="17"/>
      <c r="H213" s="15"/>
      <c r="I213" s="16"/>
    </row>
    <row r="214" spans="1:9" x14ac:dyDescent="0.35">
      <c r="A214" s="15"/>
      <c r="F214" s="17"/>
      <c r="G214" s="17"/>
      <c r="H214" s="15"/>
      <c r="I214" s="16"/>
    </row>
    <row r="215" spans="1:9" x14ac:dyDescent="0.35">
      <c r="A215" s="15"/>
      <c r="F215" s="18"/>
      <c r="G215" s="18"/>
      <c r="H215" s="15"/>
      <c r="I215" s="15"/>
    </row>
    <row r="216" spans="1:9" ht="15" customHeight="1" x14ac:dyDescent="0.35">
      <c r="A216" s="15"/>
      <c r="F216" s="16"/>
      <c r="G216" s="16"/>
      <c r="H216" s="15"/>
      <c r="I216" s="16"/>
    </row>
    <row r="217" spans="1:9" x14ac:dyDescent="0.35">
      <c r="A217" s="15"/>
      <c r="F217" s="17"/>
      <c r="G217" s="17"/>
      <c r="H217" s="15"/>
      <c r="I217" s="16"/>
    </row>
    <row r="218" spans="1:9" x14ac:dyDescent="0.35">
      <c r="A218" s="15"/>
      <c r="F218" s="18"/>
      <c r="G218" s="17"/>
      <c r="H218" s="15"/>
      <c r="I218" s="15"/>
    </row>
    <row r="219" spans="1:9" ht="15" customHeight="1" x14ac:dyDescent="0.35">
      <c r="A219" s="15"/>
      <c r="F219" s="16"/>
      <c r="G219" s="17"/>
      <c r="H219" s="15"/>
      <c r="I219" s="16"/>
    </row>
    <row r="220" spans="1:9" x14ac:dyDescent="0.35">
      <c r="A220" s="15"/>
      <c r="F220" s="17"/>
      <c r="G220" s="17"/>
      <c r="H220" s="15"/>
      <c r="I220" s="15"/>
    </row>
    <row r="221" spans="1:9" x14ac:dyDescent="0.35">
      <c r="A221" s="15"/>
      <c r="F221" s="17"/>
      <c r="G221" s="17"/>
      <c r="H221" s="15"/>
      <c r="I221" s="16"/>
    </row>
    <row r="222" spans="1:9" ht="15" customHeight="1" x14ac:dyDescent="0.35">
      <c r="A222" s="15"/>
      <c r="F222" s="16"/>
      <c r="G222" s="16"/>
      <c r="H222" s="15"/>
      <c r="I222" s="16"/>
    </row>
    <row r="223" spans="1:9" x14ac:dyDescent="0.35">
      <c r="A223" s="15"/>
      <c r="F223" s="17"/>
      <c r="G223" s="17"/>
      <c r="H223" s="15"/>
      <c r="I223" s="15"/>
    </row>
    <row r="224" spans="1:9" x14ac:dyDescent="0.35">
      <c r="A224" s="15"/>
      <c r="F224" s="17"/>
      <c r="G224" s="17"/>
      <c r="H224" s="15"/>
      <c r="I224" s="16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3F04-B865-43C8-9AC9-BB7F20D0E199}">
  <sheetPr codeName="Лист27"/>
  <dimension ref="A1:E254"/>
  <sheetViews>
    <sheetView workbookViewId="0">
      <selection activeCell="N31" sqref="N31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15</v>
      </c>
      <c r="B2" s="11" t="s">
        <v>3278</v>
      </c>
      <c r="C2" s="11">
        <v>2</v>
      </c>
      <c r="D2" s="11">
        <v>28</v>
      </c>
      <c r="E2" s="11" t="s">
        <v>3279</v>
      </c>
    </row>
    <row r="3" spans="1:5" x14ac:dyDescent="0.35">
      <c r="A3" s="11">
        <v>15</v>
      </c>
      <c r="B3" s="11" t="s">
        <v>3278</v>
      </c>
      <c r="C3" s="11" t="s">
        <v>2481</v>
      </c>
      <c r="D3" s="11">
        <v>28</v>
      </c>
      <c r="E3" s="11" t="s">
        <v>3281</v>
      </c>
    </row>
    <row r="4" spans="1:5" x14ac:dyDescent="0.35">
      <c r="A4" s="11">
        <v>15</v>
      </c>
      <c r="B4" s="11" t="s">
        <v>3278</v>
      </c>
      <c r="C4" s="11">
        <v>4</v>
      </c>
      <c r="D4" s="11">
        <v>28</v>
      </c>
      <c r="E4" s="11" t="s">
        <v>3286</v>
      </c>
    </row>
    <row r="5" spans="1:5" x14ac:dyDescent="0.35">
      <c r="A5" s="12">
        <v>20</v>
      </c>
      <c r="B5" s="12" t="s">
        <v>3280</v>
      </c>
      <c r="C5" s="11">
        <v>2</v>
      </c>
      <c r="D5" s="12">
        <v>29</v>
      </c>
      <c r="E5" s="11" t="s">
        <v>3281</v>
      </c>
    </row>
    <row r="6" spans="1:5" x14ac:dyDescent="0.35">
      <c r="A6" s="12">
        <v>20</v>
      </c>
      <c r="B6" s="12" t="s">
        <v>3280</v>
      </c>
      <c r="C6" s="11" t="s">
        <v>2481</v>
      </c>
      <c r="D6" s="12">
        <v>29</v>
      </c>
      <c r="E6" s="11" t="s">
        <v>3284</v>
      </c>
    </row>
    <row r="7" spans="1:5" x14ac:dyDescent="0.35">
      <c r="A7" s="12">
        <v>20</v>
      </c>
      <c r="B7" s="12" t="s">
        <v>3280</v>
      </c>
      <c r="C7" s="11">
        <v>4</v>
      </c>
      <c r="D7" s="12">
        <v>29</v>
      </c>
      <c r="E7" s="11" t="s">
        <v>2442</v>
      </c>
    </row>
    <row r="8" spans="1:5" x14ac:dyDescent="0.35">
      <c r="A8" s="12">
        <v>25</v>
      </c>
      <c r="B8" s="12" t="s">
        <v>3282</v>
      </c>
      <c r="C8" s="11" t="s">
        <v>2451</v>
      </c>
      <c r="D8" s="12">
        <v>38</v>
      </c>
      <c r="E8" s="11" t="s">
        <v>3311</v>
      </c>
    </row>
    <row r="9" spans="1:5" x14ac:dyDescent="0.35">
      <c r="A9" s="12">
        <v>25</v>
      </c>
      <c r="B9" s="12" t="s">
        <v>3282</v>
      </c>
      <c r="C9" s="11" t="s">
        <v>2481</v>
      </c>
      <c r="D9" s="12">
        <v>38</v>
      </c>
      <c r="E9" s="11" t="s">
        <v>3288</v>
      </c>
    </row>
    <row r="10" spans="1:5" x14ac:dyDescent="0.35">
      <c r="A10" s="12">
        <v>25</v>
      </c>
      <c r="B10" s="12" t="s">
        <v>3282</v>
      </c>
      <c r="C10" s="11" t="s">
        <v>2410</v>
      </c>
      <c r="D10" s="12">
        <v>38</v>
      </c>
      <c r="E10" s="11" t="s">
        <v>3294</v>
      </c>
    </row>
    <row r="11" spans="1:5" x14ac:dyDescent="0.35">
      <c r="A11" s="11">
        <v>32</v>
      </c>
      <c r="B11" s="11" t="s">
        <v>3202</v>
      </c>
      <c r="C11" s="11" t="s">
        <v>2453</v>
      </c>
      <c r="D11" s="11">
        <v>48</v>
      </c>
      <c r="E11" s="11" t="s">
        <v>3294</v>
      </c>
    </row>
    <row r="12" spans="1:5" x14ac:dyDescent="0.35">
      <c r="A12" s="12">
        <v>32</v>
      </c>
      <c r="B12" s="12" t="s">
        <v>3202</v>
      </c>
      <c r="C12" s="11" t="s">
        <v>2458</v>
      </c>
      <c r="D12" s="12">
        <v>48</v>
      </c>
      <c r="E12" s="11" t="s">
        <v>3312</v>
      </c>
    </row>
    <row r="13" spans="1:5" x14ac:dyDescent="0.35">
      <c r="A13" s="12">
        <v>32</v>
      </c>
      <c r="B13" s="12" t="s">
        <v>3202</v>
      </c>
      <c r="C13" s="11">
        <v>5</v>
      </c>
      <c r="D13" s="12">
        <v>48</v>
      </c>
      <c r="E13" s="11" t="s">
        <v>3313</v>
      </c>
    </row>
    <row r="14" spans="1:5" x14ac:dyDescent="0.35">
      <c r="A14" s="12">
        <v>40</v>
      </c>
      <c r="B14" s="12" t="s">
        <v>3293</v>
      </c>
      <c r="C14" s="11" t="s">
        <v>2453</v>
      </c>
      <c r="D14" s="12">
        <v>57</v>
      </c>
      <c r="E14" s="11" t="s">
        <v>3312</v>
      </c>
    </row>
    <row r="15" spans="1:5" x14ac:dyDescent="0.35">
      <c r="A15" s="12">
        <v>40</v>
      </c>
      <c r="B15" s="12" t="s">
        <v>3293</v>
      </c>
      <c r="C15" s="11" t="s">
        <v>2458</v>
      </c>
      <c r="D15" s="12">
        <v>57</v>
      </c>
      <c r="E15" s="11" t="s">
        <v>3314</v>
      </c>
    </row>
    <row r="16" spans="1:5" x14ac:dyDescent="0.35">
      <c r="A16" s="11">
        <v>40</v>
      </c>
      <c r="B16" s="11" t="s">
        <v>3293</v>
      </c>
      <c r="C16" s="11">
        <v>5</v>
      </c>
      <c r="D16" s="11">
        <v>57</v>
      </c>
      <c r="E16" s="11" t="s">
        <v>3298</v>
      </c>
    </row>
    <row r="17" spans="1:5" x14ac:dyDescent="0.35">
      <c r="A17" s="12">
        <v>50</v>
      </c>
      <c r="B17" s="12" t="s">
        <v>3295</v>
      </c>
      <c r="C17" s="11" t="s">
        <v>2415</v>
      </c>
      <c r="D17" s="12">
        <v>76</v>
      </c>
      <c r="E17" s="11" t="s">
        <v>2443</v>
      </c>
    </row>
    <row r="18" spans="1:5" x14ac:dyDescent="0.35">
      <c r="A18" s="12">
        <v>50</v>
      </c>
      <c r="B18" s="12" t="s">
        <v>3295</v>
      </c>
      <c r="C18" s="11">
        <v>4</v>
      </c>
      <c r="D18" s="12">
        <v>76</v>
      </c>
      <c r="E18" s="11" t="s">
        <v>2511</v>
      </c>
    </row>
    <row r="19" spans="1:5" x14ac:dyDescent="0.35">
      <c r="A19" s="12">
        <v>50</v>
      </c>
      <c r="B19" s="12" t="s">
        <v>3295</v>
      </c>
      <c r="C19" s="11" t="s">
        <v>2473</v>
      </c>
      <c r="D19" s="12">
        <v>76</v>
      </c>
      <c r="E19" s="11" t="s">
        <v>2529</v>
      </c>
    </row>
    <row r="20" spans="1:5" x14ac:dyDescent="0.35">
      <c r="A20" s="12">
        <v>65</v>
      </c>
      <c r="B20" s="12" t="s">
        <v>3297</v>
      </c>
      <c r="C20" s="11" t="s">
        <v>2415</v>
      </c>
      <c r="D20" s="12">
        <v>95</v>
      </c>
      <c r="E20" s="11" t="s">
        <v>2534</v>
      </c>
    </row>
    <row r="21" spans="1:5" x14ac:dyDescent="0.35">
      <c r="A21" s="12">
        <v>65</v>
      </c>
      <c r="B21" s="12" t="s">
        <v>3297</v>
      </c>
      <c r="C21" s="11">
        <v>5</v>
      </c>
      <c r="D21" s="12">
        <v>95</v>
      </c>
      <c r="E21" s="11" t="s">
        <v>2406</v>
      </c>
    </row>
    <row r="22" spans="1:5" x14ac:dyDescent="0.35">
      <c r="A22" s="12">
        <v>65</v>
      </c>
      <c r="B22" s="12" t="s">
        <v>3297</v>
      </c>
      <c r="C22" s="11" t="s">
        <v>2475</v>
      </c>
      <c r="D22" s="12">
        <v>95</v>
      </c>
      <c r="E22" s="11" t="s">
        <v>2480</v>
      </c>
    </row>
    <row r="23" spans="1:5" x14ac:dyDescent="0.35">
      <c r="A23" s="12">
        <v>80</v>
      </c>
      <c r="B23" s="12" t="s">
        <v>3299</v>
      </c>
      <c r="C23" s="11" t="s">
        <v>2481</v>
      </c>
      <c r="D23" s="12">
        <v>114</v>
      </c>
      <c r="E23" s="11" t="s">
        <v>2448</v>
      </c>
    </row>
    <row r="24" spans="1:5" x14ac:dyDescent="0.35">
      <c r="A24" s="11">
        <v>80</v>
      </c>
      <c r="B24" s="11" t="s">
        <v>3299</v>
      </c>
      <c r="C24" s="11" t="s">
        <v>2473</v>
      </c>
      <c r="D24" s="11">
        <v>114</v>
      </c>
      <c r="E24" s="11" t="s">
        <v>2450</v>
      </c>
    </row>
    <row r="25" spans="1:5" x14ac:dyDescent="0.35">
      <c r="A25" s="12">
        <v>80</v>
      </c>
      <c r="B25" s="12" t="s">
        <v>3299</v>
      </c>
      <c r="C25" s="11">
        <v>8</v>
      </c>
      <c r="D25" s="12">
        <v>114</v>
      </c>
      <c r="E25" s="11" t="s">
        <v>2456</v>
      </c>
    </row>
    <row r="26" spans="1:5" x14ac:dyDescent="0.35">
      <c r="A26" s="12">
        <v>100</v>
      </c>
      <c r="B26" s="12" t="s">
        <v>3301</v>
      </c>
      <c r="C26" s="11" t="s">
        <v>2458</v>
      </c>
      <c r="D26" s="12">
        <v>152</v>
      </c>
      <c r="E26" s="11" t="s">
        <v>2452</v>
      </c>
    </row>
    <row r="27" spans="1:5" x14ac:dyDescent="0.35">
      <c r="A27" s="12">
        <v>100</v>
      </c>
      <c r="B27" s="12" t="s">
        <v>3301</v>
      </c>
      <c r="C27" s="11" t="s">
        <v>2587</v>
      </c>
      <c r="D27" s="12">
        <v>152</v>
      </c>
      <c r="E27" s="11">
        <v>4</v>
      </c>
    </row>
    <row r="28" spans="1:5" x14ac:dyDescent="0.35">
      <c r="A28" s="12">
        <v>100</v>
      </c>
      <c r="B28" s="12" t="s">
        <v>3301</v>
      </c>
      <c r="C28" s="11" t="s">
        <v>2388</v>
      </c>
      <c r="D28" s="12">
        <v>152</v>
      </c>
      <c r="E28" s="11" t="s">
        <v>2469</v>
      </c>
    </row>
    <row r="29" spans="1:5" x14ac:dyDescent="0.35">
      <c r="A29" s="12">
        <v>125</v>
      </c>
      <c r="B29" s="12" t="s">
        <v>3302</v>
      </c>
      <c r="C29" s="11">
        <v>4</v>
      </c>
      <c r="D29" s="12">
        <v>190</v>
      </c>
      <c r="E29" s="11">
        <v>4</v>
      </c>
    </row>
    <row r="30" spans="1:5" x14ac:dyDescent="0.35">
      <c r="A30" s="12">
        <v>125</v>
      </c>
      <c r="B30" s="12" t="s">
        <v>3302</v>
      </c>
      <c r="C30" s="11" t="s">
        <v>2587</v>
      </c>
      <c r="D30" s="12">
        <v>190</v>
      </c>
      <c r="E30" s="11" t="s">
        <v>2484</v>
      </c>
    </row>
    <row r="31" spans="1:5" x14ac:dyDescent="0.35">
      <c r="A31" s="12">
        <v>125</v>
      </c>
      <c r="B31" s="12" t="s">
        <v>3302</v>
      </c>
      <c r="C31" s="11">
        <v>10</v>
      </c>
      <c r="D31" s="12">
        <v>190</v>
      </c>
      <c r="E31" s="11" t="s">
        <v>3220</v>
      </c>
    </row>
    <row r="32" spans="1:5" x14ac:dyDescent="0.35">
      <c r="A32" s="12">
        <v>150</v>
      </c>
      <c r="B32" s="12" t="s">
        <v>3303</v>
      </c>
      <c r="C32" s="11" t="s">
        <v>2410</v>
      </c>
      <c r="D32" s="12">
        <v>229</v>
      </c>
      <c r="E32" s="11" t="s">
        <v>2414</v>
      </c>
    </row>
    <row r="33" spans="1:5" x14ac:dyDescent="0.35">
      <c r="A33" s="11">
        <v>150</v>
      </c>
      <c r="B33" s="11" t="s">
        <v>3303</v>
      </c>
      <c r="C33" s="11" t="s">
        <v>2475</v>
      </c>
      <c r="D33" s="11">
        <v>229</v>
      </c>
      <c r="E33" s="11">
        <v>10</v>
      </c>
    </row>
    <row r="34" spans="1:5" x14ac:dyDescent="0.35">
      <c r="A34" s="12">
        <v>150</v>
      </c>
      <c r="B34" s="12" t="s">
        <v>3303</v>
      </c>
      <c r="C34" s="11">
        <v>11</v>
      </c>
      <c r="D34" s="12">
        <v>229</v>
      </c>
      <c r="E34" s="11">
        <v>15</v>
      </c>
    </row>
    <row r="35" spans="1:5" x14ac:dyDescent="0.35">
      <c r="A35" s="12">
        <v>200</v>
      </c>
      <c r="B35" s="12" t="s">
        <v>3304</v>
      </c>
      <c r="C35" s="11" t="s">
        <v>2587</v>
      </c>
      <c r="D35" s="12">
        <v>305</v>
      </c>
      <c r="E35" s="11">
        <v>16</v>
      </c>
    </row>
    <row r="36" spans="1:5" x14ac:dyDescent="0.35">
      <c r="A36" s="12">
        <v>200</v>
      </c>
      <c r="B36" s="12" t="s">
        <v>3304</v>
      </c>
      <c r="C36" s="11">
        <v>8</v>
      </c>
      <c r="D36" s="12">
        <v>305</v>
      </c>
      <c r="E36" s="11">
        <v>20</v>
      </c>
    </row>
    <row r="37" spans="1:5" x14ac:dyDescent="0.35">
      <c r="A37" s="12">
        <v>200</v>
      </c>
      <c r="B37" s="12" t="s">
        <v>3304</v>
      </c>
      <c r="C37" s="11" t="s">
        <v>2389</v>
      </c>
      <c r="D37" s="12">
        <v>305</v>
      </c>
      <c r="E37" s="11">
        <v>31</v>
      </c>
    </row>
    <row r="38" spans="1:5" x14ac:dyDescent="0.35">
      <c r="A38" s="12">
        <v>250</v>
      </c>
      <c r="B38" s="12">
        <v>237</v>
      </c>
      <c r="C38" s="11" t="s">
        <v>2587</v>
      </c>
      <c r="D38" s="12">
        <v>381</v>
      </c>
      <c r="E38" s="11">
        <v>25</v>
      </c>
    </row>
    <row r="39" spans="1:5" x14ac:dyDescent="0.35">
      <c r="A39" s="12">
        <v>250</v>
      </c>
      <c r="B39" s="12">
        <v>237</v>
      </c>
      <c r="C39" s="11">
        <v>10</v>
      </c>
      <c r="D39" s="12">
        <v>381</v>
      </c>
      <c r="E39" s="11">
        <v>39</v>
      </c>
    </row>
    <row r="40" spans="1:5" x14ac:dyDescent="0.35">
      <c r="A40" s="12">
        <v>300</v>
      </c>
      <c r="B40" s="12" t="s">
        <v>3305</v>
      </c>
      <c r="C40" s="11" t="s">
        <v>2475</v>
      </c>
      <c r="D40" s="12">
        <v>457</v>
      </c>
      <c r="E40" s="11">
        <v>40</v>
      </c>
    </row>
    <row r="41" spans="1:5" x14ac:dyDescent="0.35">
      <c r="A41" s="12">
        <v>300</v>
      </c>
      <c r="B41" s="12" t="s">
        <v>3305</v>
      </c>
      <c r="C41" s="11">
        <v>10</v>
      </c>
      <c r="D41" s="12">
        <v>457</v>
      </c>
      <c r="E41" s="11">
        <v>56</v>
      </c>
    </row>
    <row r="42" spans="1:5" x14ac:dyDescent="0.35">
      <c r="A42" s="11">
        <v>350</v>
      </c>
      <c r="B42" s="11" t="s">
        <v>3306</v>
      </c>
      <c r="C42" s="11">
        <v>8</v>
      </c>
      <c r="D42" s="11">
        <v>533</v>
      </c>
      <c r="E42" s="11">
        <v>57</v>
      </c>
    </row>
    <row r="43" spans="1:5" x14ac:dyDescent="0.35">
      <c r="A43" s="12">
        <v>350</v>
      </c>
      <c r="B43" s="12" t="s">
        <v>3306</v>
      </c>
      <c r="C43" s="11">
        <v>11</v>
      </c>
      <c r="D43" s="12">
        <v>533</v>
      </c>
      <c r="E43" s="11">
        <v>78</v>
      </c>
    </row>
    <row r="44" spans="1:5" x14ac:dyDescent="0.35">
      <c r="A44" s="12">
        <v>400</v>
      </c>
      <c r="B44" s="12" t="s">
        <v>3307</v>
      </c>
      <c r="C44" s="11" t="s">
        <v>2388</v>
      </c>
      <c r="D44" s="12">
        <v>610</v>
      </c>
      <c r="E44" s="11">
        <v>82</v>
      </c>
    </row>
    <row r="45" spans="1:5" x14ac:dyDescent="0.35">
      <c r="A45" s="12">
        <v>400</v>
      </c>
      <c r="B45" s="12" t="s">
        <v>3307</v>
      </c>
      <c r="C45" s="11" t="s">
        <v>2389</v>
      </c>
      <c r="D45" s="12">
        <v>610</v>
      </c>
      <c r="E45" s="11">
        <v>117</v>
      </c>
    </row>
    <row r="46" spans="1:5" x14ac:dyDescent="0.35">
      <c r="A46" s="12"/>
      <c r="B46" s="12"/>
      <c r="C46" s="11"/>
      <c r="D46" s="12"/>
      <c r="E46" s="11"/>
    </row>
    <row r="47" spans="1:5" x14ac:dyDescent="0.35">
      <c r="A47" s="12"/>
      <c r="B47" s="12"/>
      <c r="C47" s="11"/>
      <c r="D47" s="12"/>
      <c r="E47" s="11"/>
    </row>
    <row r="48" spans="1:5" x14ac:dyDescent="0.35">
      <c r="A48" s="12"/>
      <c r="B48" s="12"/>
      <c r="C48" s="11"/>
      <c r="D48" s="12"/>
      <c r="E48" s="11"/>
    </row>
    <row r="49" spans="1:5" x14ac:dyDescent="0.35">
      <c r="A49" s="12"/>
      <c r="B49" s="12"/>
      <c r="C49" s="11"/>
      <c r="D49" s="12"/>
      <c r="E49" s="11"/>
    </row>
    <row r="50" spans="1:5" x14ac:dyDescent="0.35">
      <c r="A50" s="12"/>
      <c r="B50" s="12"/>
      <c r="C50" s="11"/>
      <c r="D50" s="12"/>
      <c r="E50" s="11"/>
    </row>
    <row r="51" spans="1:5" x14ac:dyDescent="0.35">
      <c r="A51" s="12"/>
      <c r="B51" s="11"/>
      <c r="C51" s="11"/>
      <c r="D51" s="12"/>
      <c r="E51" s="11"/>
    </row>
    <row r="52" spans="1:5" x14ac:dyDescent="0.35">
      <c r="A52" s="12"/>
      <c r="B52" s="12"/>
      <c r="C52" s="11"/>
      <c r="D52" s="12"/>
      <c r="E52" s="11"/>
    </row>
    <row r="53" spans="1:5" x14ac:dyDescent="0.35">
      <c r="A53" s="12"/>
      <c r="B53" s="12"/>
      <c r="C53" s="11"/>
      <c r="D53" s="12"/>
      <c r="E53" s="11"/>
    </row>
    <row r="54" spans="1:5" x14ac:dyDescent="0.35">
      <c r="A54" s="12"/>
      <c r="B54" s="12"/>
      <c r="C54" s="11"/>
      <c r="D54" s="12"/>
      <c r="E54" s="11"/>
    </row>
    <row r="55" spans="1:5" x14ac:dyDescent="0.35">
      <c r="A55" s="12"/>
      <c r="B55" s="12"/>
      <c r="C55" s="11"/>
      <c r="D55" s="12"/>
      <c r="E55" s="11"/>
    </row>
    <row r="56" spans="1:5" x14ac:dyDescent="0.35">
      <c r="A56" s="12"/>
      <c r="B56" s="12"/>
      <c r="C56" s="11"/>
      <c r="D56" s="12"/>
      <c r="E56" s="11"/>
    </row>
    <row r="57" spans="1:5" x14ac:dyDescent="0.35">
      <c r="A57" s="12"/>
      <c r="B57" s="12"/>
      <c r="C57" s="11"/>
      <c r="D57" s="12"/>
      <c r="E57" s="11"/>
    </row>
    <row r="58" spans="1:5" x14ac:dyDescent="0.35">
      <c r="A58" s="12"/>
      <c r="B58" s="12"/>
      <c r="C58" s="11"/>
      <c r="D58" s="12"/>
      <c r="E58" s="11"/>
    </row>
    <row r="59" spans="1:5" x14ac:dyDescent="0.35">
      <c r="A59" s="12"/>
      <c r="B59" s="12"/>
      <c r="C59" s="11"/>
      <c r="D59" s="12"/>
      <c r="E59" s="11"/>
    </row>
    <row r="60" spans="1:5" x14ac:dyDescent="0.35">
      <c r="A60" s="12"/>
      <c r="B60" s="11"/>
      <c r="C60" s="11"/>
      <c r="D60" s="12"/>
      <c r="E60" s="11"/>
    </row>
    <row r="61" spans="1:5" x14ac:dyDescent="0.35">
      <c r="A61" s="12"/>
      <c r="B61" s="12"/>
      <c r="C61" s="11"/>
      <c r="D61" s="12"/>
      <c r="E61" s="11"/>
    </row>
    <row r="62" spans="1:5" x14ac:dyDescent="0.35">
      <c r="A62" s="12"/>
      <c r="B62" s="12"/>
      <c r="C62" s="11"/>
      <c r="D62" s="12"/>
      <c r="E62" s="11"/>
    </row>
    <row r="63" spans="1:5" x14ac:dyDescent="0.35">
      <c r="A63" s="12"/>
      <c r="B63" s="12"/>
      <c r="C63" s="11"/>
      <c r="D63" s="12"/>
      <c r="E63" s="11"/>
    </row>
    <row r="64" spans="1:5" x14ac:dyDescent="0.35">
      <c r="A64" s="12"/>
      <c r="B64" s="12"/>
      <c r="C64" s="11"/>
      <c r="D64" s="12"/>
      <c r="E64" s="11"/>
    </row>
    <row r="65" spans="1:5" x14ac:dyDescent="0.35">
      <c r="A65" s="12"/>
      <c r="B65" s="12"/>
      <c r="C65" s="11"/>
      <c r="D65" s="12"/>
      <c r="E65" s="11"/>
    </row>
    <row r="66" spans="1:5" x14ac:dyDescent="0.35">
      <c r="A66" s="12"/>
      <c r="B66" s="12"/>
      <c r="C66" s="11"/>
      <c r="D66" s="12"/>
      <c r="E66" s="11"/>
    </row>
    <row r="67" spans="1:5" x14ac:dyDescent="0.35">
      <c r="A67" s="12"/>
      <c r="B67" s="12"/>
      <c r="C67" s="11"/>
      <c r="D67" s="12"/>
      <c r="E67" s="11"/>
    </row>
    <row r="68" spans="1:5" x14ac:dyDescent="0.35">
      <c r="A68" s="12"/>
      <c r="B68" s="12"/>
      <c r="C68" s="11"/>
      <c r="D68" s="12"/>
      <c r="E68" s="11"/>
    </row>
    <row r="69" spans="1:5" x14ac:dyDescent="0.35">
      <c r="A69" s="11"/>
      <c r="B69" s="11"/>
      <c r="C69" s="11"/>
      <c r="D69" s="11"/>
      <c r="E69" s="11"/>
    </row>
    <row r="70" spans="1:5" x14ac:dyDescent="0.35">
      <c r="A70" s="12"/>
      <c r="B70" s="12"/>
      <c r="C70" s="11"/>
      <c r="D70" s="12"/>
      <c r="E70" s="11"/>
    </row>
    <row r="71" spans="1:5" x14ac:dyDescent="0.35">
      <c r="A71" s="12"/>
      <c r="B71" s="12"/>
      <c r="C71" s="11"/>
      <c r="D71" s="12"/>
      <c r="E71" s="11"/>
    </row>
    <row r="72" spans="1:5" x14ac:dyDescent="0.35">
      <c r="A72" s="12"/>
      <c r="B72" s="12"/>
      <c r="C72" s="11"/>
      <c r="D72" s="12"/>
      <c r="E72" s="11"/>
    </row>
    <row r="73" spans="1:5" x14ac:dyDescent="0.35">
      <c r="A73" s="12"/>
      <c r="B73" s="12"/>
      <c r="C73" s="11"/>
      <c r="D73" s="12"/>
      <c r="E73" s="11"/>
    </row>
    <row r="74" spans="1:5" x14ac:dyDescent="0.35">
      <c r="A74" s="12"/>
      <c r="B74" s="12"/>
      <c r="C74" s="11"/>
      <c r="D74" s="12"/>
      <c r="E74" s="11"/>
    </row>
    <row r="75" spans="1:5" x14ac:dyDescent="0.35">
      <c r="A75" s="12"/>
      <c r="B75" s="12"/>
      <c r="C75" s="11"/>
      <c r="D75" s="12"/>
      <c r="E75" s="11"/>
    </row>
    <row r="76" spans="1:5" x14ac:dyDescent="0.35">
      <c r="A76" s="12"/>
      <c r="B76" s="12"/>
      <c r="C76" s="11"/>
      <c r="D76" s="12"/>
      <c r="E76" s="11"/>
    </row>
    <row r="77" spans="1:5" x14ac:dyDescent="0.35">
      <c r="A77" s="12"/>
      <c r="B77" s="12"/>
      <c r="C77" s="11"/>
      <c r="D77" s="12"/>
      <c r="E77" s="11"/>
    </row>
    <row r="78" spans="1:5" x14ac:dyDescent="0.35">
      <c r="A78" s="12"/>
      <c r="B78" s="12"/>
      <c r="C78" s="11"/>
      <c r="D78" s="12"/>
      <c r="E78" s="11"/>
    </row>
    <row r="79" spans="1:5" x14ac:dyDescent="0.35">
      <c r="A79" s="12"/>
      <c r="B79" s="12"/>
      <c r="C79" s="11"/>
      <c r="D79" s="12"/>
      <c r="E79" s="11"/>
    </row>
    <row r="80" spans="1:5" x14ac:dyDescent="0.35">
      <c r="A80" s="11"/>
      <c r="B80" s="11"/>
      <c r="C80" s="11"/>
      <c r="D80" s="11"/>
      <c r="E80" s="11"/>
    </row>
    <row r="81" spans="1:5" x14ac:dyDescent="0.35">
      <c r="A81" s="12"/>
      <c r="B81" s="12"/>
      <c r="C81" s="11"/>
      <c r="D81" s="12"/>
      <c r="E81" s="11"/>
    </row>
    <row r="82" spans="1:5" x14ac:dyDescent="0.35">
      <c r="A82" s="12"/>
      <c r="B82" s="12"/>
      <c r="C82" s="11"/>
      <c r="D82" s="12"/>
      <c r="E82" s="11"/>
    </row>
    <row r="83" spans="1:5" x14ac:dyDescent="0.35">
      <c r="A83" s="12"/>
      <c r="B83" s="12"/>
      <c r="C83" s="11"/>
      <c r="D83" s="12"/>
      <c r="E83" s="11"/>
    </row>
    <row r="84" spans="1:5" x14ac:dyDescent="0.35">
      <c r="A84" s="12"/>
      <c r="B84" s="12"/>
      <c r="C84" s="11"/>
      <c r="D84" s="12"/>
      <c r="E84" s="11"/>
    </row>
    <row r="85" spans="1:5" x14ac:dyDescent="0.35">
      <c r="A85" s="12"/>
      <c r="B85" s="12"/>
      <c r="C85" s="11"/>
      <c r="D85" s="12"/>
      <c r="E85" s="11"/>
    </row>
    <row r="86" spans="1:5" x14ac:dyDescent="0.35">
      <c r="A86" s="12"/>
      <c r="B86" s="12"/>
      <c r="C86" s="11"/>
      <c r="D86" s="12"/>
      <c r="E86" s="11"/>
    </row>
    <row r="87" spans="1:5" x14ac:dyDescent="0.35">
      <c r="A87" s="12"/>
      <c r="B87" s="12"/>
      <c r="C87" s="11"/>
      <c r="D87" s="12"/>
      <c r="E87" s="11"/>
    </row>
    <row r="88" spans="1:5" x14ac:dyDescent="0.35">
      <c r="A88" s="12"/>
      <c r="B88" s="12"/>
      <c r="C88" s="11"/>
      <c r="D88" s="12"/>
      <c r="E88" s="11"/>
    </row>
    <row r="89" spans="1:5" x14ac:dyDescent="0.35">
      <c r="A89" s="12"/>
      <c r="B89" s="12"/>
      <c r="C89" s="11"/>
      <c r="D89" s="12"/>
      <c r="E89" s="11"/>
    </row>
    <row r="90" spans="1:5" x14ac:dyDescent="0.35">
      <c r="A90" s="12"/>
      <c r="B90" s="12"/>
      <c r="C90" s="11"/>
      <c r="D90" s="12"/>
      <c r="E90" s="11"/>
    </row>
    <row r="91" spans="1:5" x14ac:dyDescent="0.35">
      <c r="A91" s="12"/>
      <c r="B91" s="12"/>
      <c r="C91" s="11"/>
      <c r="D91" s="12"/>
      <c r="E91" s="11"/>
    </row>
    <row r="92" spans="1:5" x14ac:dyDescent="0.35">
      <c r="A92" s="12"/>
      <c r="B92" s="11"/>
      <c r="C92" s="11"/>
      <c r="D92" s="12"/>
      <c r="E92" s="11"/>
    </row>
    <row r="93" spans="1:5" x14ac:dyDescent="0.35">
      <c r="A93" s="12"/>
      <c r="B93" s="12"/>
      <c r="C93" s="11"/>
      <c r="D93" s="12"/>
      <c r="E93" s="11"/>
    </row>
    <row r="94" spans="1:5" x14ac:dyDescent="0.35">
      <c r="A94" s="12"/>
      <c r="B94" s="12"/>
      <c r="C94" s="11"/>
      <c r="D94" s="12"/>
      <c r="E94" s="11"/>
    </row>
    <row r="95" spans="1:5" x14ac:dyDescent="0.35">
      <c r="A95" s="12"/>
      <c r="B95" s="12"/>
      <c r="C95" s="11"/>
      <c r="D95" s="12"/>
      <c r="E95" s="11"/>
    </row>
    <row r="96" spans="1:5" x14ac:dyDescent="0.35">
      <c r="A96" s="12"/>
      <c r="B96" s="12"/>
      <c r="C96" s="11"/>
      <c r="D96" s="12"/>
      <c r="E96" s="11"/>
    </row>
    <row r="97" spans="1:5" x14ac:dyDescent="0.35">
      <c r="A97" s="12"/>
      <c r="B97" s="12"/>
      <c r="C97" s="11"/>
      <c r="D97" s="12"/>
      <c r="E97" s="11"/>
    </row>
    <row r="98" spans="1:5" x14ac:dyDescent="0.35">
      <c r="A98" s="12"/>
      <c r="B98" s="12"/>
      <c r="C98" s="11"/>
      <c r="D98" s="12"/>
      <c r="E98" s="11"/>
    </row>
    <row r="99" spans="1:5" x14ac:dyDescent="0.35">
      <c r="A99" s="12"/>
      <c r="B99" s="12"/>
      <c r="C99" s="11"/>
      <c r="D99" s="12"/>
      <c r="E99" s="11"/>
    </row>
    <row r="100" spans="1:5" x14ac:dyDescent="0.35">
      <c r="A100" s="12"/>
      <c r="B100" s="12"/>
      <c r="C100" s="11"/>
      <c r="D100" s="12"/>
      <c r="E100" s="11"/>
    </row>
    <row r="101" spans="1:5" x14ac:dyDescent="0.35">
      <c r="A101" s="12"/>
      <c r="B101" s="12"/>
      <c r="C101" s="11"/>
      <c r="D101" s="12"/>
      <c r="E101" s="11"/>
    </row>
    <row r="102" spans="1:5" x14ac:dyDescent="0.35">
      <c r="A102" s="12"/>
      <c r="B102" s="12"/>
      <c r="C102" s="11"/>
      <c r="D102" s="12"/>
      <c r="E102" s="11"/>
    </row>
    <row r="103" spans="1:5" x14ac:dyDescent="0.35">
      <c r="A103" s="12"/>
      <c r="B103" s="12"/>
      <c r="C103" s="11"/>
      <c r="D103" s="12"/>
      <c r="E103" s="11"/>
    </row>
    <row r="104" spans="1:5" x14ac:dyDescent="0.35">
      <c r="A104" s="11"/>
      <c r="B104" s="11"/>
      <c r="C104" s="11"/>
      <c r="D104" s="11"/>
      <c r="E104" s="11"/>
    </row>
    <row r="105" spans="1:5" x14ac:dyDescent="0.35">
      <c r="A105" s="12"/>
      <c r="B105" s="12"/>
      <c r="C105" s="11"/>
      <c r="D105" s="12"/>
      <c r="E105" s="11"/>
    </row>
    <row r="106" spans="1:5" x14ac:dyDescent="0.35">
      <c r="A106" s="12"/>
      <c r="B106" s="12"/>
      <c r="C106" s="11"/>
      <c r="D106" s="12"/>
      <c r="E106" s="11"/>
    </row>
    <row r="107" spans="1:5" x14ac:dyDescent="0.35">
      <c r="A107" s="12"/>
      <c r="B107" s="12"/>
      <c r="C107" s="11"/>
      <c r="D107" s="12"/>
      <c r="E107" s="11"/>
    </row>
    <row r="108" spans="1:5" x14ac:dyDescent="0.35">
      <c r="A108" s="12"/>
      <c r="B108" s="12"/>
      <c r="C108" s="11"/>
      <c r="D108" s="12"/>
      <c r="E108" s="11"/>
    </row>
    <row r="109" spans="1:5" x14ac:dyDescent="0.35">
      <c r="A109" s="12"/>
      <c r="B109" s="12"/>
      <c r="C109" s="11"/>
      <c r="D109" s="12"/>
      <c r="E109" s="11"/>
    </row>
    <row r="110" spans="1:5" x14ac:dyDescent="0.35">
      <c r="A110" s="12"/>
      <c r="B110" s="12"/>
      <c r="C110" s="11"/>
      <c r="D110" s="12"/>
      <c r="E110" s="11"/>
    </row>
    <row r="111" spans="1:5" x14ac:dyDescent="0.35">
      <c r="A111" s="12"/>
      <c r="B111" s="12"/>
      <c r="C111" s="11"/>
      <c r="D111" s="12"/>
      <c r="E111" s="11"/>
    </row>
    <row r="112" spans="1:5" x14ac:dyDescent="0.35">
      <c r="A112" s="12"/>
      <c r="B112" s="12"/>
      <c r="C112" s="11"/>
      <c r="D112" s="12"/>
      <c r="E112" s="11"/>
    </row>
    <row r="113" spans="1:5" x14ac:dyDescent="0.35">
      <c r="A113" s="12"/>
      <c r="B113" s="12"/>
      <c r="C113" s="11"/>
      <c r="D113" s="12"/>
      <c r="E113" s="11"/>
    </row>
    <row r="114" spans="1:5" x14ac:dyDescent="0.35">
      <c r="A114" s="12"/>
      <c r="B114" s="12"/>
      <c r="C114" s="11"/>
      <c r="D114" s="12"/>
      <c r="E114" s="11"/>
    </row>
    <row r="115" spans="1:5" x14ac:dyDescent="0.35">
      <c r="A115" s="12"/>
      <c r="B115" s="12"/>
      <c r="C115" s="11"/>
      <c r="D115" s="12"/>
      <c r="E115" s="11"/>
    </row>
    <row r="116" spans="1:5" x14ac:dyDescent="0.35">
      <c r="A116" s="12"/>
      <c r="B116" s="12"/>
      <c r="C116" s="11"/>
      <c r="D116" s="12"/>
      <c r="E116" s="11"/>
    </row>
    <row r="117" spans="1:5" x14ac:dyDescent="0.35">
      <c r="A117" s="12"/>
      <c r="B117" s="12"/>
      <c r="C117" s="11"/>
      <c r="D117" s="12"/>
      <c r="E117" s="11"/>
    </row>
    <row r="118" spans="1:5" x14ac:dyDescent="0.35">
      <c r="A118" s="11"/>
      <c r="B118" s="11"/>
      <c r="C118" s="11"/>
      <c r="D118" s="11"/>
      <c r="E118" s="11"/>
    </row>
    <row r="119" spans="1:5" x14ac:dyDescent="0.35">
      <c r="A119" s="12"/>
      <c r="B119" s="12"/>
      <c r="C119" s="11"/>
      <c r="D119" s="12"/>
      <c r="E119" s="11"/>
    </row>
    <row r="120" spans="1:5" x14ac:dyDescent="0.35">
      <c r="A120" s="12"/>
      <c r="B120" s="12"/>
      <c r="C120" s="11"/>
      <c r="D120" s="12"/>
      <c r="E120" s="11"/>
    </row>
    <row r="121" spans="1:5" x14ac:dyDescent="0.35">
      <c r="A121" s="12"/>
      <c r="B121" s="12"/>
      <c r="C121" s="11"/>
      <c r="D121" s="12"/>
      <c r="E121" s="11"/>
    </row>
    <row r="122" spans="1:5" x14ac:dyDescent="0.35">
      <c r="A122" s="12"/>
      <c r="B122" s="12"/>
      <c r="C122" s="11"/>
      <c r="D122" s="12"/>
      <c r="E122" s="11"/>
    </row>
    <row r="123" spans="1:5" x14ac:dyDescent="0.35">
      <c r="A123" s="12"/>
      <c r="B123" s="12"/>
      <c r="C123" s="11"/>
      <c r="D123" s="12"/>
      <c r="E123" s="11"/>
    </row>
    <row r="124" spans="1:5" x14ac:dyDescent="0.35">
      <c r="A124" s="12"/>
      <c r="B124" s="12"/>
      <c r="C124" s="11"/>
      <c r="D124" s="12"/>
      <c r="E124" s="11"/>
    </row>
    <row r="125" spans="1:5" x14ac:dyDescent="0.35">
      <c r="A125" s="12"/>
      <c r="B125" s="12"/>
      <c r="C125" s="11"/>
      <c r="D125" s="12"/>
      <c r="E125" s="11"/>
    </row>
    <row r="126" spans="1:5" x14ac:dyDescent="0.35">
      <c r="A126" s="12"/>
      <c r="B126" s="12"/>
      <c r="C126" s="11"/>
      <c r="D126" s="12"/>
      <c r="E126" s="11"/>
    </row>
    <row r="127" spans="1:5" x14ac:dyDescent="0.35">
      <c r="A127" s="12"/>
      <c r="B127" s="12"/>
      <c r="C127" s="11"/>
      <c r="D127" s="12"/>
      <c r="E127" s="11"/>
    </row>
    <row r="128" spans="1:5" x14ac:dyDescent="0.35">
      <c r="A128" s="12"/>
      <c r="B128" s="12"/>
      <c r="C128" s="11"/>
      <c r="D128" s="12"/>
      <c r="E128" s="11"/>
    </row>
    <row r="129" spans="1:5" x14ac:dyDescent="0.35">
      <c r="A129" s="12"/>
      <c r="B129" s="12"/>
      <c r="C129" s="11"/>
      <c r="D129" s="12"/>
      <c r="E129" s="11"/>
    </row>
    <row r="130" spans="1:5" x14ac:dyDescent="0.35">
      <c r="A130" s="12"/>
      <c r="B130" s="12"/>
      <c r="C130" s="11"/>
      <c r="D130" s="12"/>
      <c r="E130" s="11"/>
    </row>
    <row r="131" spans="1:5" x14ac:dyDescent="0.35">
      <c r="A131" s="12"/>
      <c r="B131" s="12"/>
      <c r="C131" s="11"/>
      <c r="D131" s="12"/>
      <c r="E131" s="11"/>
    </row>
    <row r="132" spans="1:5" x14ac:dyDescent="0.35">
      <c r="A132" s="12"/>
      <c r="B132" s="12"/>
      <c r="C132" s="11"/>
      <c r="D132" s="12"/>
      <c r="E132" s="11"/>
    </row>
    <row r="133" spans="1:5" x14ac:dyDescent="0.35">
      <c r="A133" s="11"/>
      <c r="B133" s="11"/>
      <c r="C133" s="11"/>
      <c r="D133" s="11"/>
      <c r="E133" s="11"/>
    </row>
    <row r="134" spans="1:5" x14ac:dyDescent="0.35">
      <c r="A134" s="12"/>
      <c r="B134" s="12"/>
      <c r="C134" s="11"/>
      <c r="D134" s="12"/>
      <c r="E134" s="11"/>
    </row>
    <row r="135" spans="1:5" x14ac:dyDescent="0.35">
      <c r="A135" s="12"/>
      <c r="B135" s="12"/>
      <c r="C135" s="11"/>
      <c r="D135" s="12"/>
      <c r="E135" s="11"/>
    </row>
    <row r="136" spans="1:5" x14ac:dyDescent="0.35">
      <c r="A136" s="12"/>
      <c r="B136" s="12"/>
      <c r="C136" s="11"/>
      <c r="D136" s="12"/>
      <c r="E136" s="11"/>
    </row>
    <row r="137" spans="1:5" x14ac:dyDescent="0.35">
      <c r="A137" s="12"/>
      <c r="B137" s="12"/>
      <c r="C137" s="11"/>
      <c r="D137" s="12"/>
      <c r="E137" s="11"/>
    </row>
    <row r="138" spans="1:5" x14ac:dyDescent="0.35">
      <c r="A138" s="12"/>
      <c r="B138" s="12"/>
      <c r="C138" s="11"/>
      <c r="D138" s="12"/>
      <c r="E138" s="11"/>
    </row>
    <row r="139" spans="1:5" x14ac:dyDescent="0.35">
      <c r="A139" s="12"/>
      <c r="B139" s="12"/>
      <c r="C139" s="11"/>
      <c r="D139" s="12"/>
      <c r="E139" s="11"/>
    </row>
    <row r="140" spans="1:5" x14ac:dyDescent="0.35">
      <c r="A140" s="12"/>
      <c r="B140" s="12"/>
      <c r="C140" s="11"/>
      <c r="D140" s="12"/>
      <c r="E140" s="11"/>
    </row>
    <row r="141" spans="1:5" x14ac:dyDescent="0.35">
      <c r="A141" s="12"/>
      <c r="B141" s="12"/>
      <c r="C141" s="11"/>
      <c r="D141" s="12"/>
      <c r="E141" s="11"/>
    </row>
    <row r="142" spans="1:5" x14ac:dyDescent="0.35">
      <c r="A142" s="12"/>
      <c r="B142" s="12"/>
      <c r="C142" s="11"/>
      <c r="D142" s="12"/>
      <c r="E142" s="11"/>
    </row>
    <row r="143" spans="1:5" x14ac:dyDescent="0.35">
      <c r="A143" s="12"/>
      <c r="B143" s="12"/>
      <c r="C143" s="11"/>
      <c r="D143" s="12"/>
      <c r="E143" s="11"/>
    </row>
    <row r="144" spans="1:5" x14ac:dyDescent="0.35">
      <c r="A144" s="12"/>
      <c r="B144" s="12"/>
      <c r="C144" s="11"/>
      <c r="D144" s="12"/>
      <c r="E144" s="11"/>
    </row>
    <row r="145" spans="1:5" x14ac:dyDescent="0.35">
      <c r="A145" s="12"/>
      <c r="B145" s="12"/>
      <c r="C145" s="11"/>
      <c r="D145" s="12"/>
      <c r="E145" s="11"/>
    </row>
    <row r="146" spans="1:5" x14ac:dyDescent="0.35">
      <c r="A146" s="12"/>
      <c r="B146" s="12"/>
      <c r="C146" s="11"/>
      <c r="D146" s="12"/>
      <c r="E146" s="11"/>
    </row>
    <row r="147" spans="1:5" x14ac:dyDescent="0.35">
      <c r="A147" s="12"/>
      <c r="B147" s="12"/>
      <c r="C147" s="11"/>
      <c r="D147" s="12"/>
      <c r="E147" s="11"/>
    </row>
    <row r="148" spans="1:5" x14ac:dyDescent="0.35">
      <c r="A148" s="12"/>
      <c r="B148" s="12"/>
      <c r="C148" s="11"/>
      <c r="D148" s="12"/>
      <c r="E148" s="11"/>
    </row>
    <row r="149" spans="1:5" x14ac:dyDescent="0.35">
      <c r="A149" s="12"/>
      <c r="B149" s="12"/>
      <c r="C149" s="11"/>
      <c r="D149" s="12"/>
      <c r="E149" s="11"/>
    </row>
    <row r="150" spans="1:5" x14ac:dyDescent="0.35">
      <c r="A150" s="11"/>
      <c r="B150" s="11"/>
      <c r="C150" s="11"/>
      <c r="D150" s="11"/>
      <c r="E150" s="11"/>
    </row>
    <row r="151" spans="1:5" x14ac:dyDescent="0.35">
      <c r="A151" s="12"/>
      <c r="B151" s="12"/>
      <c r="C151" s="11"/>
      <c r="D151" s="12"/>
      <c r="E151" s="11"/>
    </row>
    <row r="152" spans="1:5" x14ac:dyDescent="0.35">
      <c r="A152" s="12"/>
      <c r="B152" s="12"/>
      <c r="C152" s="11"/>
      <c r="D152" s="12"/>
      <c r="E152" s="11"/>
    </row>
    <row r="153" spans="1:5" x14ac:dyDescent="0.35">
      <c r="A153" s="12"/>
      <c r="B153" s="12"/>
      <c r="C153" s="11"/>
      <c r="D153" s="12"/>
      <c r="E153" s="11"/>
    </row>
    <row r="154" spans="1:5" x14ac:dyDescent="0.35">
      <c r="A154" s="12"/>
      <c r="B154" s="12"/>
      <c r="C154" s="11"/>
      <c r="D154" s="12"/>
      <c r="E154" s="11"/>
    </row>
    <row r="155" spans="1:5" x14ac:dyDescent="0.35">
      <c r="A155" s="12"/>
      <c r="B155" s="12"/>
      <c r="C155" s="11"/>
      <c r="D155" s="12"/>
      <c r="E155" s="11"/>
    </row>
    <row r="156" spans="1:5" x14ac:dyDescent="0.35">
      <c r="A156" s="12"/>
      <c r="B156" s="12"/>
      <c r="C156" s="11"/>
      <c r="D156" s="12"/>
      <c r="E156" s="11"/>
    </row>
    <row r="157" spans="1:5" x14ac:dyDescent="0.35">
      <c r="A157" s="12"/>
      <c r="B157" s="12"/>
      <c r="C157" s="11"/>
      <c r="D157" s="12"/>
      <c r="E157" s="11"/>
    </row>
    <row r="158" spans="1:5" x14ac:dyDescent="0.35">
      <c r="A158" s="12"/>
      <c r="B158" s="12"/>
      <c r="C158" s="11"/>
      <c r="D158" s="12"/>
      <c r="E158" s="11"/>
    </row>
    <row r="159" spans="1:5" x14ac:dyDescent="0.35">
      <c r="A159" s="12"/>
      <c r="B159" s="12"/>
      <c r="C159" s="11"/>
      <c r="D159" s="12"/>
      <c r="E159" s="11"/>
    </row>
    <row r="160" spans="1:5" x14ac:dyDescent="0.35">
      <c r="A160" s="12"/>
      <c r="B160" s="12"/>
      <c r="C160" s="11"/>
      <c r="D160" s="12"/>
      <c r="E160" s="11"/>
    </row>
    <row r="161" spans="1:5" x14ac:dyDescent="0.35">
      <c r="A161" s="12"/>
      <c r="B161" s="12"/>
      <c r="C161" s="11"/>
      <c r="D161" s="12"/>
      <c r="E161" s="11"/>
    </row>
    <row r="162" spans="1:5" x14ac:dyDescent="0.35">
      <c r="A162" s="12"/>
      <c r="B162" s="12"/>
      <c r="C162" s="11"/>
      <c r="D162" s="12"/>
      <c r="E162" s="11"/>
    </row>
    <row r="163" spans="1:5" x14ac:dyDescent="0.35">
      <c r="A163" s="12"/>
      <c r="B163" s="12"/>
      <c r="C163" s="11"/>
      <c r="D163" s="12"/>
      <c r="E163" s="11"/>
    </row>
    <row r="164" spans="1:5" x14ac:dyDescent="0.35">
      <c r="A164" s="12"/>
      <c r="B164" s="12"/>
      <c r="C164" s="11"/>
      <c r="D164" s="12"/>
      <c r="E164" s="11"/>
    </row>
    <row r="165" spans="1:5" x14ac:dyDescent="0.35">
      <c r="A165" s="12"/>
      <c r="B165" s="12"/>
      <c r="C165" s="11"/>
      <c r="D165" s="12"/>
      <c r="E165" s="11"/>
    </row>
    <row r="166" spans="1:5" x14ac:dyDescent="0.35">
      <c r="A166" s="11"/>
      <c r="B166" s="11"/>
      <c r="C166" s="11"/>
      <c r="D166" s="11"/>
      <c r="E166" s="11"/>
    </row>
    <row r="167" spans="1:5" x14ac:dyDescent="0.35">
      <c r="A167" s="12"/>
      <c r="B167" s="12"/>
      <c r="C167" s="11"/>
      <c r="D167" s="12"/>
      <c r="E167" s="11"/>
    </row>
    <row r="168" spans="1:5" x14ac:dyDescent="0.35">
      <c r="A168" s="12"/>
      <c r="B168" s="12"/>
      <c r="C168" s="11"/>
      <c r="D168" s="12"/>
      <c r="E168" s="11"/>
    </row>
    <row r="169" spans="1:5" x14ac:dyDescent="0.35">
      <c r="A169" s="12"/>
      <c r="B169" s="12"/>
      <c r="C169" s="11"/>
      <c r="D169" s="12"/>
      <c r="E169" s="11"/>
    </row>
    <row r="170" spans="1:5" x14ac:dyDescent="0.35">
      <c r="A170" s="12"/>
      <c r="B170" s="12"/>
      <c r="C170" s="11"/>
      <c r="D170" s="12"/>
      <c r="E170" s="11"/>
    </row>
    <row r="171" spans="1:5" x14ac:dyDescent="0.35">
      <c r="A171" s="12"/>
      <c r="B171" s="12"/>
      <c r="C171" s="11"/>
      <c r="D171" s="12"/>
      <c r="E171" s="11"/>
    </row>
    <row r="172" spans="1:5" x14ac:dyDescent="0.35">
      <c r="A172" s="12"/>
      <c r="B172" s="12"/>
      <c r="C172" s="11"/>
      <c r="D172" s="12"/>
      <c r="E172" s="11"/>
    </row>
    <row r="173" spans="1:5" x14ac:dyDescent="0.35">
      <c r="A173" s="12"/>
      <c r="B173" s="12"/>
      <c r="C173" s="11"/>
      <c r="D173" s="12"/>
      <c r="E173" s="11"/>
    </row>
    <row r="174" spans="1:5" x14ac:dyDescent="0.35">
      <c r="A174" s="12"/>
      <c r="B174" s="12"/>
      <c r="C174" s="11"/>
      <c r="D174" s="12"/>
      <c r="E174" s="11"/>
    </row>
    <row r="175" spans="1:5" x14ac:dyDescent="0.35">
      <c r="A175" s="12"/>
      <c r="B175" s="12"/>
      <c r="C175" s="11"/>
      <c r="D175" s="12"/>
      <c r="E175" s="11"/>
    </row>
    <row r="176" spans="1:5" x14ac:dyDescent="0.35">
      <c r="A176" s="12"/>
      <c r="B176" s="12"/>
      <c r="C176" s="11"/>
      <c r="D176" s="12"/>
      <c r="E176" s="11"/>
    </row>
    <row r="177" spans="1:5" x14ac:dyDescent="0.35">
      <c r="A177" s="12"/>
      <c r="B177" s="12"/>
      <c r="C177" s="11"/>
      <c r="D177" s="12"/>
      <c r="E177" s="11"/>
    </row>
    <row r="178" spans="1:5" x14ac:dyDescent="0.35">
      <c r="A178" s="12"/>
      <c r="B178" s="12"/>
      <c r="C178" s="11"/>
      <c r="D178" s="12"/>
      <c r="E178" s="11"/>
    </row>
    <row r="179" spans="1:5" x14ac:dyDescent="0.35">
      <c r="A179" s="12"/>
      <c r="B179" s="12"/>
      <c r="C179" s="11"/>
      <c r="D179" s="12"/>
      <c r="E179" s="11"/>
    </row>
    <row r="180" spans="1:5" x14ac:dyDescent="0.35">
      <c r="A180" s="12"/>
      <c r="B180" s="12"/>
      <c r="C180" s="11"/>
      <c r="D180" s="12"/>
      <c r="E180" s="11"/>
    </row>
    <row r="181" spans="1:5" x14ac:dyDescent="0.35">
      <c r="A181" s="12"/>
      <c r="B181" s="12"/>
      <c r="C181" s="11"/>
      <c r="D181" s="12"/>
      <c r="E181" s="11"/>
    </row>
    <row r="182" spans="1:5" x14ac:dyDescent="0.35">
      <c r="A182" s="12"/>
      <c r="B182" s="12"/>
      <c r="C182" s="11"/>
      <c r="D182" s="12"/>
      <c r="E182" s="11"/>
    </row>
    <row r="183" spans="1:5" x14ac:dyDescent="0.35">
      <c r="A183" s="12"/>
      <c r="B183" s="12"/>
      <c r="C183" s="11"/>
      <c r="D183" s="12"/>
      <c r="E183" s="11"/>
    </row>
    <row r="184" spans="1:5" x14ac:dyDescent="0.35">
      <c r="A184" s="12"/>
      <c r="B184" s="12"/>
      <c r="C184" s="11"/>
      <c r="D184" s="12"/>
      <c r="E184" s="11"/>
    </row>
    <row r="185" spans="1:5" x14ac:dyDescent="0.35">
      <c r="A185" s="11"/>
      <c r="B185" s="11"/>
      <c r="C185" s="11"/>
      <c r="D185" s="11"/>
      <c r="E185" s="11"/>
    </row>
    <row r="186" spans="1:5" x14ac:dyDescent="0.35">
      <c r="A186" s="12"/>
      <c r="B186" s="12"/>
      <c r="C186" s="11"/>
      <c r="D186" s="12"/>
      <c r="E186" s="11"/>
    </row>
    <row r="187" spans="1:5" x14ac:dyDescent="0.35">
      <c r="A187" s="12"/>
      <c r="B187" s="12"/>
      <c r="C187" s="11"/>
      <c r="D187" s="12"/>
      <c r="E187" s="11"/>
    </row>
    <row r="188" spans="1:5" x14ac:dyDescent="0.35">
      <c r="A188" s="12"/>
      <c r="B188" s="12"/>
      <c r="C188" s="11"/>
      <c r="D188" s="12"/>
      <c r="E188" s="11"/>
    </row>
    <row r="189" spans="1:5" x14ac:dyDescent="0.35">
      <c r="A189" s="12"/>
      <c r="B189" s="12"/>
      <c r="C189" s="11"/>
      <c r="D189" s="12"/>
      <c r="E189" s="11"/>
    </row>
    <row r="190" spans="1:5" x14ac:dyDescent="0.35">
      <c r="A190" s="12"/>
      <c r="B190" s="12"/>
      <c r="C190" s="11"/>
      <c r="D190" s="12"/>
      <c r="E190" s="11"/>
    </row>
    <row r="191" spans="1:5" x14ac:dyDescent="0.35">
      <c r="A191" s="12"/>
      <c r="B191" s="12"/>
      <c r="C191" s="11"/>
      <c r="D191" s="12"/>
      <c r="E191" s="11"/>
    </row>
    <row r="192" spans="1:5" x14ac:dyDescent="0.35">
      <c r="A192" s="12"/>
      <c r="B192" s="12"/>
      <c r="C192" s="11"/>
      <c r="D192" s="12"/>
      <c r="E192" s="11"/>
    </row>
    <row r="193" spans="1:5" x14ac:dyDescent="0.35">
      <c r="A193" s="12"/>
      <c r="B193" s="12"/>
      <c r="C193" s="11"/>
      <c r="D193" s="12"/>
      <c r="E193" s="11"/>
    </row>
    <row r="194" spans="1:5" x14ac:dyDescent="0.35">
      <c r="A194" s="12"/>
      <c r="B194" s="12"/>
      <c r="C194" s="11"/>
      <c r="D194" s="12"/>
      <c r="E194" s="11"/>
    </row>
    <row r="195" spans="1:5" x14ac:dyDescent="0.35">
      <c r="A195" s="12"/>
      <c r="B195" s="12"/>
      <c r="C195" s="11"/>
      <c r="D195" s="12"/>
      <c r="E195" s="11"/>
    </row>
    <row r="196" spans="1:5" x14ac:dyDescent="0.35">
      <c r="A196" s="12"/>
      <c r="B196" s="12"/>
      <c r="C196" s="11"/>
      <c r="D196" s="12"/>
      <c r="E196" s="11"/>
    </row>
    <row r="197" spans="1:5" x14ac:dyDescent="0.35">
      <c r="A197" s="12"/>
      <c r="B197" s="12"/>
      <c r="C197" s="11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1"/>
      <c r="D199" s="12"/>
      <c r="E199" s="11"/>
    </row>
    <row r="200" spans="1:5" x14ac:dyDescent="0.35">
      <c r="A200" s="12"/>
      <c r="B200" s="12"/>
      <c r="C200" s="11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1"/>
      <c r="D202" s="12"/>
      <c r="E202" s="11"/>
    </row>
    <row r="203" spans="1:5" x14ac:dyDescent="0.35">
      <c r="A203" s="12"/>
      <c r="B203" s="12"/>
      <c r="C203" s="11"/>
      <c r="D203" s="12"/>
      <c r="E203" s="11"/>
    </row>
    <row r="204" spans="1:5" x14ac:dyDescent="0.35">
      <c r="A204" s="11"/>
      <c r="B204" s="11"/>
      <c r="C204" s="11"/>
      <c r="D204" s="11"/>
      <c r="E204" s="11"/>
    </row>
    <row r="205" spans="1:5" x14ac:dyDescent="0.35">
      <c r="A205" s="12"/>
      <c r="B205" s="12"/>
      <c r="C205" s="11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1"/>
      <c r="D207" s="12"/>
      <c r="E207" s="11"/>
    </row>
    <row r="208" spans="1:5" x14ac:dyDescent="0.35">
      <c r="A208" s="12"/>
      <c r="B208" s="12"/>
      <c r="C208" s="11"/>
      <c r="D208" s="12"/>
      <c r="E208" s="11"/>
    </row>
    <row r="209" spans="1:5" x14ac:dyDescent="0.35">
      <c r="A209" s="12"/>
      <c r="B209" s="12"/>
      <c r="C209" s="11"/>
      <c r="D209" s="12"/>
      <c r="E209" s="11"/>
    </row>
    <row r="210" spans="1:5" x14ac:dyDescent="0.35">
      <c r="A210" s="12"/>
      <c r="B210" s="12"/>
      <c r="C210" s="11"/>
      <c r="D210" s="12"/>
      <c r="E210" s="11"/>
    </row>
    <row r="211" spans="1:5" x14ac:dyDescent="0.35">
      <c r="A211" s="12"/>
      <c r="B211" s="12"/>
      <c r="C211" s="11"/>
      <c r="D211" s="12"/>
      <c r="E211" s="11"/>
    </row>
    <row r="212" spans="1:5" x14ac:dyDescent="0.35">
      <c r="A212" s="12"/>
      <c r="B212" s="12"/>
      <c r="C212" s="11"/>
      <c r="D212" s="12"/>
      <c r="E212" s="11"/>
    </row>
    <row r="213" spans="1:5" x14ac:dyDescent="0.35">
      <c r="A213" s="12"/>
      <c r="B213" s="12"/>
      <c r="C213" s="11"/>
      <c r="D213" s="12"/>
      <c r="E213" s="11"/>
    </row>
    <row r="214" spans="1:5" x14ac:dyDescent="0.35">
      <c r="A214" s="12"/>
      <c r="B214" s="12"/>
      <c r="C214" s="11"/>
      <c r="D214" s="12"/>
      <c r="E214" s="11"/>
    </row>
    <row r="215" spans="1:5" x14ac:dyDescent="0.35">
      <c r="A215" s="12"/>
      <c r="B215" s="12"/>
      <c r="C215" s="11"/>
      <c r="D215" s="12"/>
      <c r="E215" s="11"/>
    </row>
    <row r="216" spans="1:5" x14ac:dyDescent="0.35">
      <c r="A216" s="12"/>
      <c r="B216" s="12"/>
      <c r="C216" s="11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1"/>
      <c r="D218" s="12"/>
      <c r="E218" s="11"/>
    </row>
    <row r="219" spans="1:5" x14ac:dyDescent="0.35">
      <c r="A219" s="12"/>
      <c r="B219" s="12"/>
      <c r="C219" s="11"/>
      <c r="D219" s="12"/>
      <c r="E219" s="11"/>
    </row>
    <row r="220" spans="1:5" x14ac:dyDescent="0.35">
      <c r="A220" s="12"/>
      <c r="B220" s="12"/>
      <c r="C220" s="11"/>
      <c r="D220" s="12"/>
      <c r="E220" s="11"/>
    </row>
    <row r="221" spans="1:5" x14ac:dyDescent="0.35">
      <c r="A221" s="11"/>
      <c r="B221" s="11"/>
      <c r="C221" s="11"/>
      <c r="D221" s="11"/>
      <c r="E221" s="11"/>
    </row>
    <row r="222" spans="1:5" x14ac:dyDescent="0.35">
      <c r="A222" s="12"/>
      <c r="B222" s="12"/>
      <c r="C222" s="11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1"/>
      <c r="D224" s="12"/>
      <c r="E224" s="11"/>
    </row>
    <row r="225" spans="1:5" x14ac:dyDescent="0.35">
      <c r="A225" s="12"/>
      <c r="B225" s="12"/>
      <c r="C225" s="11"/>
      <c r="D225" s="12"/>
      <c r="E225" s="11"/>
    </row>
    <row r="226" spans="1:5" x14ac:dyDescent="0.35">
      <c r="A226" s="12"/>
      <c r="B226" s="12"/>
      <c r="C226" s="11"/>
      <c r="D226" s="12"/>
      <c r="E226" s="11"/>
    </row>
    <row r="227" spans="1:5" x14ac:dyDescent="0.35">
      <c r="A227" s="12"/>
      <c r="B227" s="12"/>
      <c r="C227" s="11"/>
      <c r="D227" s="12"/>
      <c r="E227" s="11"/>
    </row>
    <row r="228" spans="1:5" x14ac:dyDescent="0.35">
      <c r="A228" s="12"/>
      <c r="B228" s="12"/>
      <c r="C228" s="11"/>
      <c r="D228" s="12"/>
      <c r="E228" s="11"/>
    </row>
    <row r="229" spans="1:5" x14ac:dyDescent="0.35">
      <c r="A229" s="12"/>
      <c r="B229" s="12"/>
      <c r="C229" s="11"/>
      <c r="D229" s="12"/>
      <c r="E229" s="11"/>
    </row>
    <row r="230" spans="1:5" x14ac:dyDescent="0.35">
      <c r="A230" s="12"/>
      <c r="B230" s="12"/>
      <c r="C230" s="11"/>
      <c r="D230" s="12"/>
      <c r="E230" s="11"/>
    </row>
    <row r="231" spans="1:5" x14ac:dyDescent="0.35">
      <c r="A231" s="12"/>
      <c r="B231" s="12"/>
      <c r="C231" s="11"/>
      <c r="D231" s="12"/>
      <c r="E231" s="11"/>
    </row>
    <row r="232" spans="1:5" x14ac:dyDescent="0.35">
      <c r="A232" s="12"/>
      <c r="B232" s="12"/>
      <c r="C232" s="11"/>
      <c r="D232" s="12"/>
      <c r="E232" s="11"/>
    </row>
    <row r="233" spans="1:5" x14ac:dyDescent="0.35">
      <c r="A233" s="12"/>
      <c r="B233" s="12"/>
      <c r="C233" s="11"/>
      <c r="D233" s="12"/>
      <c r="E233" s="11"/>
    </row>
    <row r="234" spans="1:5" x14ac:dyDescent="0.35">
      <c r="A234" s="12"/>
      <c r="B234" s="12"/>
      <c r="C234" s="11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1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1"/>
      <c r="B238" s="11"/>
      <c r="C238" s="11"/>
      <c r="D238" s="11"/>
      <c r="E238" s="11"/>
    </row>
    <row r="239" spans="1:5" x14ac:dyDescent="0.35">
      <c r="A239" s="12"/>
      <c r="B239" s="12"/>
      <c r="C239" s="11"/>
      <c r="D239" s="12"/>
      <c r="E239" s="11"/>
    </row>
    <row r="240" spans="1:5" x14ac:dyDescent="0.35">
      <c r="A240" s="12"/>
      <c r="B240" s="12"/>
      <c r="C240" s="11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1"/>
      <c r="D242" s="12"/>
      <c r="E242" s="11"/>
    </row>
    <row r="243" spans="1:5" x14ac:dyDescent="0.35">
      <c r="A243" s="12"/>
      <c r="B243" s="12"/>
      <c r="C243" s="11"/>
      <c r="D243" s="12"/>
      <c r="E243" s="11"/>
    </row>
    <row r="244" spans="1:5" x14ac:dyDescent="0.35">
      <c r="A244" s="12"/>
      <c r="B244" s="12"/>
      <c r="C244" s="11"/>
      <c r="D244" s="12"/>
      <c r="E244" s="11"/>
    </row>
    <row r="245" spans="1:5" x14ac:dyDescent="0.35">
      <c r="A245" s="12"/>
      <c r="B245" s="12"/>
      <c r="C245" s="11"/>
      <c r="D245" s="12"/>
      <c r="E245" s="11"/>
    </row>
    <row r="246" spans="1:5" x14ac:dyDescent="0.35">
      <c r="A246" s="12"/>
      <c r="B246" s="12"/>
      <c r="C246" s="11"/>
      <c r="D246" s="12"/>
      <c r="E246" s="11"/>
    </row>
    <row r="247" spans="1:5" x14ac:dyDescent="0.35">
      <c r="A247" s="12"/>
      <c r="B247" s="12"/>
      <c r="C247" s="11"/>
      <c r="D247" s="12"/>
      <c r="E247" s="11"/>
    </row>
    <row r="248" spans="1:5" x14ac:dyDescent="0.35">
      <c r="A248" s="12"/>
      <c r="B248" s="12"/>
      <c r="C248" s="11"/>
      <c r="D248" s="12"/>
      <c r="E248" s="11"/>
    </row>
    <row r="249" spans="1:5" x14ac:dyDescent="0.35">
      <c r="A249" s="12"/>
      <c r="B249" s="12"/>
      <c r="C249" s="11"/>
      <c r="D249" s="12"/>
      <c r="E249" s="11"/>
    </row>
    <row r="250" spans="1:5" x14ac:dyDescent="0.35">
      <c r="A250" s="12"/>
      <c r="B250" s="12"/>
      <c r="C250" s="11"/>
      <c r="D250" s="12"/>
      <c r="E250" s="11"/>
    </row>
    <row r="251" spans="1:5" x14ac:dyDescent="0.35">
      <c r="A251" s="12"/>
      <c r="B251" s="12"/>
      <c r="C251" s="11"/>
      <c r="D251" s="12"/>
      <c r="E251" s="11"/>
    </row>
    <row r="252" spans="1:5" x14ac:dyDescent="0.35">
      <c r="A252" s="12"/>
      <c r="B252" s="12"/>
      <c r="C252" s="11"/>
      <c r="D252" s="12"/>
      <c r="E252" s="11"/>
    </row>
    <row r="253" spans="1:5" x14ac:dyDescent="0.35">
      <c r="A253" s="12"/>
      <c r="B253" s="12"/>
      <c r="C253" s="11"/>
      <c r="D253" s="12"/>
      <c r="E253" s="11"/>
    </row>
    <row r="254" spans="1:5" x14ac:dyDescent="0.35">
      <c r="A254" s="12"/>
      <c r="B254" s="12"/>
      <c r="C254" s="11"/>
      <c r="D254" s="12"/>
      <c r="E254" s="11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Q37" sqref="Q37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25</v>
      </c>
      <c r="B2" s="11">
        <v>32</v>
      </c>
      <c r="C2" s="11">
        <v>2</v>
      </c>
      <c r="D2" s="11">
        <v>38</v>
      </c>
      <c r="E2" s="11" t="s">
        <v>2442</v>
      </c>
    </row>
    <row r="3" spans="1:5" x14ac:dyDescent="0.35">
      <c r="A3" s="12">
        <v>25</v>
      </c>
      <c r="B3" s="12">
        <v>32</v>
      </c>
      <c r="C3" s="11" t="s">
        <v>2399</v>
      </c>
      <c r="D3" s="12">
        <v>38</v>
      </c>
      <c r="E3" s="11" t="s">
        <v>2396</v>
      </c>
    </row>
    <row r="4" spans="1:5" x14ac:dyDescent="0.35">
      <c r="A4" s="12">
        <v>25</v>
      </c>
      <c r="B4" s="12">
        <v>32</v>
      </c>
      <c r="C4" s="11">
        <v>3</v>
      </c>
      <c r="D4" s="12">
        <v>38</v>
      </c>
      <c r="E4" s="11" t="s">
        <v>2396</v>
      </c>
    </row>
    <row r="5" spans="1:5" x14ac:dyDescent="0.35">
      <c r="A5" s="12">
        <v>25</v>
      </c>
      <c r="B5" s="12">
        <v>32</v>
      </c>
      <c r="C5" s="11" t="s">
        <v>2402</v>
      </c>
      <c r="D5" s="12">
        <v>38</v>
      </c>
      <c r="E5" s="11" t="s">
        <v>2396</v>
      </c>
    </row>
    <row r="6" spans="1:5" x14ac:dyDescent="0.35">
      <c r="A6" s="11">
        <v>32</v>
      </c>
      <c r="B6" s="11">
        <v>38</v>
      </c>
      <c r="C6" s="11">
        <v>2</v>
      </c>
      <c r="D6" s="11">
        <v>48</v>
      </c>
      <c r="E6" s="11" t="s">
        <v>2396</v>
      </c>
    </row>
    <row r="7" spans="1:5" x14ac:dyDescent="0.35">
      <c r="A7" s="12">
        <v>32</v>
      </c>
      <c r="B7" s="12">
        <v>38</v>
      </c>
      <c r="C7" s="11" t="s">
        <v>2399</v>
      </c>
      <c r="D7" s="12">
        <v>48</v>
      </c>
      <c r="E7" s="11" t="s">
        <v>2396</v>
      </c>
    </row>
    <row r="8" spans="1:5" x14ac:dyDescent="0.35">
      <c r="A8" s="12">
        <v>32</v>
      </c>
      <c r="B8" s="12">
        <v>38</v>
      </c>
      <c r="C8" s="11">
        <v>3</v>
      </c>
      <c r="D8" s="12">
        <v>48</v>
      </c>
      <c r="E8" s="11" t="s">
        <v>2396</v>
      </c>
    </row>
    <row r="9" spans="1:5" x14ac:dyDescent="0.35">
      <c r="A9" s="12">
        <v>32</v>
      </c>
      <c r="B9" s="12">
        <v>38</v>
      </c>
      <c r="C9" s="11" t="s">
        <v>2402</v>
      </c>
      <c r="D9" s="12">
        <v>48</v>
      </c>
      <c r="E9" s="11" t="s">
        <v>2397</v>
      </c>
    </row>
    <row r="10" spans="1:5" x14ac:dyDescent="0.35">
      <c r="A10" s="12">
        <v>32</v>
      </c>
      <c r="B10" s="12">
        <v>38</v>
      </c>
      <c r="C10" s="11">
        <v>4</v>
      </c>
      <c r="D10" s="12">
        <v>48</v>
      </c>
      <c r="E10" s="11" t="s">
        <v>2397</v>
      </c>
    </row>
    <row r="11" spans="1:5" x14ac:dyDescent="0.35">
      <c r="A11" s="11">
        <v>40</v>
      </c>
      <c r="B11" s="11">
        <v>45</v>
      </c>
      <c r="C11" s="11" t="s">
        <v>2399</v>
      </c>
      <c r="D11" s="11">
        <v>60</v>
      </c>
      <c r="E11" s="11" t="s">
        <v>2397</v>
      </c>
    </row>
    <row r="12" spans="1:5" x14ac:dyDescent="0.35">
      <c r="A12" s="12">
        <v>40</v>
      </c>
      <c r="B12" s="12">
        <v>45</v>
      </c>
      <c r="C12" s="11">
        <v>3</v>
      </c>
      <c r="D12" s="12">
        <v>60</v>
      </c>
      <c r="E12" s="11" t="s">
        <v>2397</v>
      </c>
    </row>
    <row r="13" spans="1:5" x14ac:dyDescent="0.35">
      <c r="A13" s="12">
        <v>40</v>
      </c>
      <c r="B13" s="12">
        <v>45</v>
      </c>
      <c r="C13" s="11" t="s">
        <v>2402</v>
      </c>
      <c r="D13" s="12">
        <v>60</v>
      </c>
      <c r="E13" s="11" t="s">
        <v>2398</v>
      </c>
    </row>
    <row r="14" spans="1:5" x14ac:dyDescent="0.35">
      <c r="A14" s="12">
        <v>40</v>
      </c>
      <c r="B14" s="12">
        <v>45</v>
      </c>
      <c r="C14" s="11">
        <v>4</v>
      </c>
      <c r="D14" s="12">
        <v>60</v>
      </c>
      <c r="E14" s="11" t="s">
        <v>2398</v>
      </c>
    </row>
    <row r="15" spans="1:5" x14ac:dyDescent="0.35">
      <c r="A15" s="12">
        <v>40</v>
      </c>
      <c r="B15" s="12">
        <v>45</v>
      </c>
      <c r="C15" s="11">
        <v>5</v>
      </c>
      <c r="D15" s="12">
        <v>60</v>
      </c>
      <c r="E15" s="11" t="s">
        <v>2443</v>
      </c>
    </row>
    <row r="16" spans="1:5" x14ac:dyDescent="0.35">
      <c r="A16" s="11">
        <v>50</v>
      </c>
      <c r="B16" s="11">
        <v>57</v>
      </c>
      <c r="C16" s="11" t="s">
        <v>2399</v>
      </c>
      <c r="D16" s="11">
        <v>75</v>
      </c>
      <c r="E16" s="11" t="s">
        <v>2398</v>
      </c>
    </row>
    <row r="17" spans="1:5" x14ac:dyDescent="0.35">
      <c r="A17" s="12">
        <v>50</v>
      </c>
      <c r="B17" s="12">
        <v>57</v>
      </c>
      <c r="C17" s="11">
        <v>3</v>
      </c>
      <c r="D17" s="12">
        <v>75</v>
      </c>
      <c r="E17" s="11" t="s">
        <v>2443</v>
      </c>
    </row>
    <row r="18" spans="1:5" x14ac:dyDescent="0.35">
      <c r="A18" s="12">
        <v>50</v>
      </c>
      <c r="B18" s="12">
        <v>57</v>
      </c>
      <c r="C18" s="11" t="s">
        <v>2402</v>
      </c>
      <c r="D18" s="12">
        <v>75</v>
      </c>
      <c r="E18" s="11" t="s">
        <v>2400</v>
      </c>
    </row>
    <row r="19" spans="1:5" x14ac:dyDescent="0.35">
      <c r="A19" s="12">
        <v>50</v>
      </c>
      <c r="B19" s="12">
        <v>57</v>
      </c>
      <c r="C19" s="11">
        <v>4</v>
      </c>
      <c r="D19" s="12">
        <v>75</v>
      </c>
      <c r="E19" s="11" t="s">
        <v>2401</v>
      </c>
    </row>
    <row r="20" spans="1:5" x14ac:dyDescent="0.35">
      <c r="A20" s="12">
        <v>50</v>
      </c>
      <c r="B20" s="12">
        <v>57</v>
      </c>
      <c r="C20" s="11" t="s">
        <v>2410</v>
      </c>
      <c r="D20" s="12">
        <v>75</v>
      </c>
      <c r="E20" s="11" t="s">
        <v>2401</v>
      </c>
    </row>
    <row r="21" spans="1:5" x14ac:dyDescent="0.35">
      <c r="A21" s="12">
        <v>50</v>
      </c>
      <c r="B21" s="12">
        <v>57</v>
      </c>
      <c r="C21" s="11">
        <v>5</v>
      </c>
      <c r="D21" s="12">
        <v>75</v>
      </c>
      <c r="E21" s="11" t="s">
        <v>2403</v>
      </c>
    </row>
    <row r="22" spans="1:5" x14ac:dyDescent="0.35">
      <c r="A22" s="12">
        <v>50</v>
      </c>
      <c r="B22" s="12">
        <v>57</v>
      </c>
      <c r="C22" s="11" t="s">
        <v>2395</v>
      </c>
      <c r="D22" s="12">
        <v>75</v>
      </c>
      <c r="E22" s="11" t="s">
        <v>2444</v>
      </c>
    </row>
    <row r="23" spans="1:5" x14ac:dyDescent="0.35">
      <c r="A23" s="12">
        <v>50</v>
      </c>
      <c r="B23" s="12">
        <v>57</v>
      </c>
      <c r="C23" s="11">
        <v>6</v>
      </c>
      <c r="D23" s="12">
        <v>75</v>
      </c>
      <c r="E23" s="11">
        <v>1</v>
      </c>
    </row>
    <row r="24" spans="1:5" x14ac:dyDescent="0.35">
      <c r="A24" s="11">
        <v>65</v>
      </c>
      <c r="B24" s="11">
        <v>76</v>
      </c>
      <c r="C24" s="11">
        <v>3</v>
      </c>
      <c r="D24" s="11">
        <v>100</v>
      </c>
      <c r="E24" s="11" t="s">
        <v>2403</v>
      </c>
    </row>
    <row r="25" spans="1:5" x14ac:dyDescent="0.35">
      <c r="A25" s="12">
        <v>65</v>
      </c>
      <c r="B25" s="12">
        <v>76</v>
      </c>
      <c r="C25" s="11" t="s">
        <v>2402</v>
      </c>
      <c r="D25" s="12">
        <v>100</v>
      </c>
      <c r="E25" s="11">
        <v>1</v>
      </c>
    </row>
    <row r="26" spans="1:5" x14ac:dyDescent="0.35">
      <c r="A26" s="12">
        <v>65</v>
      </c>
      <c r="B26" s="12">
        <v>76</v>
      </c>
      <c r="C26" s="11">
        <v>4</v>
      </c>
      <c r="D26" s="12">
        <v>100</v>
      </c>
      <c r="E26" s="11" t="s">
        <v>2445</v>
      </c>
    </row>
    <row r="27" spans="1:5" x14ac:dyDescent="0.35">
      <c r="A27" s="12">
        <v>65</v>
      </c>
      <c r="B27" s="12">
        <v>76</v>
      </c>
      <c r="C27" s="11" t="s">
        <v>2410</v>
      </c>
      <c r="D27" s="12">
        <v>100</v>
      </c>
      <c r="E27" s="11" t="s">
        <v>2446</v>
      </c>
    </row>
    <row r="28" spans="1:5" x14ac:dyDescent="0.35">
      <c r="A28" s="12">
        <v>65</v>
      </c>
      <c r="B28" s="12">
        <v>76</v>
      </c>
      <c r="C28" s="11">
        <v>5</v>
      </c>
      <c r="D28" s="12">
        <v>100</v>
      </c>
      <c r="E28" s="11" t="s">
        <v>2404</v>
      </c>
    </row>
    <row r="29" spans="1:5" x14ac:dyDescent="0.35">
      <c r="A29" s="12">
        <v>65</v>
      </c>
      <c r="B29" s="12">
        <v>76</v>
      </c>
      <c r="C29" s="11" t="s">
        <v>2395</v>
      </c>
      <c r="D29" s="12">
        <v>100</v>
      </c>
      <c r="E29" s="11" t="s">
        <v>2405</v>
      </c>
    </row>
    <row r="30" spans="1:5" x14ac:dyDescent="0.35">
      <c r="A30" s="12">
        <v>65</v>
      </c>
      <c r="B30" s="12">
        <v>76</v>
      </c>
      <c r="C30" s="11">
        <v>6</v>
      </c>
      <c r="D30" s="12">
        <v>100</v>
      </c>
      <c r="E30" s="11" t="s">
        <v>2447</v>
      </c>
    </row>
    <row r="31" spans="1:5" x14ac:dyDescent="0.35">
      <c r="A31" s="12">
        <v>65</v>
      </c>
      <c r="B31" s="12">
        <v>76</v>
      </c>
      <c r="C31" s="11">
        <v>7</v>
      </c>
      <c r="D31" s="12">
        <v>100</v>
      </c>
      <c r="E31" s="11">
        <v>2</v>
      </c>
    </row>
    <row r="32" spans="1:5" x14ac:dyDescent="0.35">
      <c r="A32" s="12">
        <v>65</v>
      </c>
      <c r="B32" s="12">
        <v>76</v>
      </c>
      <c r="C32" s="11">
        <v>8</v>
      </c>
      <c r="D32" s="12">
        <v>100</v>
      </c>
      <c r="E32" s="11" t="s">
        <v>2408</v>
      </c>
    </row>
    <row r="33" spans="1:5" x14ac:dyDescent="0.35">
      <c r="A33" s="11">
        <v>80</v>
      </c>
      <c r="B33" s="11">
        <v>89</v>
      </c>
      <c r="C33" s="11">
        <v>3</v>
      </c>
      <c r="D33" s="11">
        <v>120</v>
      </c>
      <c r="E33" s="11" t="s">
        <v>2448</v>
      </c>
    </row>
    <row r="34" spans="1:5" x14ac:dyDescent="0.35">
      <c r="A34" s="12">
        <v>80</v>
      </c>
      <c r="B34" s="12">
        <v>89</v>
      </c>
      <c r="C34" s="11" t="s">
        <v>2402</v>
      </c>
      <c r="D34" s="12">
        <v>120</v>
      </c>
      <c r="E34" s="11" t="s">
        <v>2404</v>
      </c>
    </row>
    <row r="35" spans="1:5" x14ac:dyDescent="0.35">
      <c r="A35" s="12">
        <v>80</v>
      </c>
      <c r="B35" s="12">
        <v>89</v>
      </c>
      <c r="C35" s="11">
        <v>4</v>
      </c>
      <c r="D35" s="12">
        <v>120</v>
      </c>
      <c r="E35" s="11" t="s">
        <v>2406</v>
      </c>
    </row>
    <row r="36" spans="1:5" x14ac:dyDescent="0.35">
      <c r="A36" s="12">
        <v>80</v>
      </c>
      <c r="B36" s="12">
        <v>89</v>
      </c>
      <c r="C36" s="11" t="s">
        <v>2410</v>
      </c>
      <c r="D36" s="12">
        <v>120</v>
      </c>
      <c r="E36" s="11" t="s">
        <v>2447</v>
      </c>
    </row>
    <row r="37" spans="1:5" x14ac:dyDescent="0.35">
      <c r="A37" s="12">
        <v>80</v>
      </c>
      <c r="B37" s="12">
        <v>89</v>
      </c>
      <c r="C37" s="11">
        <v>5</v>
      </c>
      <c r="D37" s="12">
        <v>120</v>
      </c>
      <c r="E37" s="11" t="s">
        <v>2449</v>
      </c>
    </row>
    <row r="38" spans="1:5" x14ac:dyDescent="0.35">
      <c r="A38" s="12">
        <v>80</v>
      </c>
      <c r="B38" s="12">
        <v>89</v>
      </c>
      <c r="C38" s="11" t="s">
        <v>2395</v>
      </c>
      <c r="D38" s="12">
        <v>120</v>
      </c>
      <c r="E38" s="11" t="s">
        <v>2450</v>
      </c>
    </row>
    <row r="39" spans="1:5" x14ac:dyDescent="0.35">
      <c r="A39" s="12">
        <v>80</v>
      </c>
      <c r="B39" s="12">
        <v>89</v>
      </c>
      <c r="C39" s="11">
        <v>6</v>
      </c>
      <c r="D39" s="12">
        <v>120</v>
      </c>
      <c r="E39" s="11" t="s">
        <v>2451</v>
      </c>
    </row>
    <row r="40" spans="1:5" x14ac:dyDescent="0.35">
      <c r="A40" s="12">
        <v>80</v>
      </c>
      <c r="B40" s="12">
        <v>89</v>
      </c>
      <c r="C40" s="11">
        <v>7</v>
      </c>
      <c r="D40" s="12">
        <v>120</v>
      </c>
      <c r="E40" s="11" t="s">
        <v>2407</v>
      </c>
    </row>
    <row r="41" spans="1:5" x14ac:dyDescent="0.35">
      <c r="A41" s="12">
        <v>80</v>
      </c>
      <c r="B41" s="12">
        <v>89</v>
      </c>
      <c r="C41" s="11">
        <v>8</v>
      </c>
      <c r="D41" s="12">
        <v>120</v>
      </c>
      <c r="E41" s="11">
        <v>3</v>
      </c>
    </row>
    <row r="42" spans="1:5" x14ac:dyDescent="0.35">
      <c r="A42" s="11">
        <v>100</v>
      </c>
      <c r="B42" s="11">
        <v>102</v>
      </c>
      <c r="C42" s="11" t="s">
        <v>2402</v>
      </c>
      <c r="D42" s="11">
        <v>150</v>
      </c>
      <c r="E42" s="11" t="s">
        <v>2450</v>
      </c>
    </row>
    <row r="43" spans="1:5" x14ac:dyDescent="0.35">
      <c r="A43" s="12">
        <v>100</v>
      </c>
      <c r="B43" s="12">
        <v>102</v>
      </c>
      <c r="C43" s="11">
        <v>4</v>
      </c>
      <c r="D43" s="12">
        <v>150</v>
      </c>
      <c r="E43" s="11" t="s">
        <v>2452</v>
      </c>
    </row>
    <row r="44" spans="1:5" x14ac:dyDescent="0.35">
      <c r="A44" s="12">
        <v>100</v>
      </c>
      <c r="B44" s="12">
        <v>102</v>
      </c>
      <c r="C44" s="11" t="s">
        <v>2410</v>
      </c>
      <c r="D44" s="12">
        <v>150</v>
      </c>
      <c r="E44" s="11" t="s">
        <v>2453</v>
      </c>
    </row>
    <row r="45" spans="1:5" x14ac:dyDescent="0.35">
      <c r="A45" s="12">
        <v>100</v>
      </c>
      <c r="B45" s="12">
        <v>102</v>
      </c>
      <c r="C45" s="11">
        <v>5</v>
      </c>
      <c r="D45" s="12">
        <v>150</v>
      </c>
      <c r="E45" s="11" t="s">
        <v>2415</v>
      </c>
    </row>
    <row r="46" spans="1:5" x14ac:dyDescent="0.35">
      <c r="A46" s="12">
        <v>100</v>
      </c>
      <c r="B46" s="12">
        <v>102</v>
      </c>
      <c r="C46" s="11">
        <v>6</v>
      </c>
      <c r="D46" s="12">
        <v>150</v>
      </c>
      <c r="E46" s="11" t="s">
        <v>2454</v>
      </c>
    </row>
    <row r="47" spans="1:5" x14ac:dyDescent="0.35">
      <c r="A47" s="12">
        <v>100</v>
      </c>
      <c r="B47" s="12">
        <v>102</v>
      </c>
      <c r="C47" s="11">
        <v>7</v>
      </c>
      <c r="D47" s="12">
        <v>150</v>
      </c>
      <c r="E47" s="11" t="s">
        <v>2455</v>
      </c>
    </row>
    <row r="48" spans="1:5" x14ac:dyDescent="0.35">
      <c r="A48" s="12">
        <v>100</v>
      </c>
      <c r="B48" s="12">
        <v>102</v>
      </c>
      <c r="C48" s="11">
        <v>8</v>
      </c>
      <c r="D48" s="12">
        <v>150</v>
      </c>
      <c r="E48" s="11" t="s">
        <v>2410</v>
      </c>
    </row>
    <row r="49" spans="1:5" x14ac:dyDescent="0.35">
      <c r="A49" s="12">
        <v>100</v>
      </c>
      <c r="B49" s="12">
        <v>102</v>
      </c>
      <c r="C49" s="11">
        <v>9</v>
      </c>
      <c r="D49" s="12">
        <v>150</v>
      </c>
      <c r="E49" s="11">
        <v>5</v>
      </c>
    </row>
    <row r="50" spans="1:5" x14ac:dyDescent="0.35">
      <c r="A50" s="12">
        <v>100</v>
      </c>
      <c r="B50" s="12">
        <v>102</v>
      </c>
      <c r="C50" s="11">
        <v>10</v>
      </c>
      <c r="D50" s="12">
        <v>150</v>
      </c>
      <c r="E50" s="11" t="s">
        <v>2395</v>
      </c>
    </row>
    <row r="51" spans="1:5" x14ac:dyDescent="0.35">
      <c r="A51" s="12">
        <v>100</v>
      </c>
      <c r="B51" s="11">
        <v>108</v>
      </c>
      <c r="C51" s="11" t="s">
        <v>2402</v>
      </c>
      <c r="D51" s="12">
        <v>150</v>
      </c>
      <c r="E51" s="11" t="s">
        <v>2408</v>
      </c>
    </row>
    <row r="52" spans="1:5" x14ac:dyDescent="0.35">
      <c r="A52" s="12">
        <v>100</v>
      </c>
      <c r="B52" s="12">
        <v>108</v>
      </c>
      <c r="C52" s="11">
        <v>4</v>
      </c>
      <c r="D52" s="12">
        <v>150</v>
      </c>
      <c r="E52" s="11" t="s">
        <v>2399</v>
      </c>
    </row>
    <row r="53" spans="1:5" x14ac:dyDescent="0.35">
      <c r="A53" s="12">
        <v>100</v>
      </c>
      <c r="B53" s="12">
        <v>108</v>
      </c>
      <c r="C53" s="11" t="s">
        <v>2410</v>
      </c>
      <c r="D53" s="12">
        <v>150</v>
      </c>
      <c r="E53" s="11" t="s">
        <v>2456</v>
      </c>
    </row>
    <row r="54" spans="1:5" x14ac:dyDescent="0.35">
      <c r="A54" s="12">
        <v>100</v>
      </c>
      <c r="B54" s="12">
        <v>108</v>
      </c>
      <c r="C54" s="11">
        <v>5</v>
      </c>
      <c r="D54" s="12">
        <v>150</v>
      </c>
      <c r="E54" s="11" t="s">
        <v>2457</v>
      </c>
    </row>
    <row r="55" spans="1:5" x14ac:dyDescent="0.35">
      <c r="A55" s="12">
        <v>100</v>
      </c>
      <c r="B55" s="12">
        <v>108</v>
      </c>
      <c r="C55" s="11">
        <v>6</v>
      </c>
      <c r="D55" s="12">
        <v>150</v>
      </c>
      <c r="E55" s="11" t="s">
        <v>2458</v>
      </c>
    </row>
    <row r="56" spans="1:5" x14ac:dyDescent="0.35">
      <c r="A56" s="12">
        <v>100</v>
      </c>
      <c r="B56" s="12">
        <v>108</v>
      </c>
      <c r="C56" s="11">
        <v>7</v>
      </c>
      <c r="D56" s="12">
        <v>150</v>
      </c>
      <c r="E56" s="11" t="s">
        <v>2416</v>
      </c>
    </row>
    <row r="57" spans="1:5" x14ac:dyDescent="0.35">
      <c r="A57" s="12">
        <v>100</v>
      </c>
      <c r="B57" s="12">
        <v>108</v>
      </c>
      <c r="C57" s="11">
        <v>8</v>
      </c>
      <c r="D57" s="12">
        <v>150</v>
      </c>
      <c r="E57" s="11" t="s">
        <v>2459</v>
      </c>
    </row>
    <row r="58" spans="1:5" x14ac:dyDescent="0.35">
      <c r="A58" s="12">
        <v>100</v>
      </c>
      <c r="B58" s="12">
        <v>108</v>
      </c>
      <c r="C58" s="11">
        <v>9</v>
      </c>
      <c r="D58" s="12">
        <v>150</v>
      </c>
      <c r="E58" s="11" t="s">
        <v>2460</v>
      </c>
    </row>
    <row r="59" spans="1:5" x14ac:dyDescent="0.35">
      <c r="A59" s="12">
        <v>100</v>
      </c>
      <c r="B59" s="12">
        <v>108</v>
      </c>
      <c r="C59" s="11">
        <v>10</v>
      </c>
      <c r="D59" s="12">
        <v>150</v>
      </c>
      <c r="E59" s="11" t="s">
        <v>2461</v>
      </c>
    </row>
    <row r="60" spans="1:5" x14ac:dyDescent="0.35">
      <c r="A60" s="12">
        <v>100</v>
      </c>
      <c r="B60" s="11">
        <v>114</v>
      </c>
      <c r="C60" s="11" t="s">
        <v>2402</v>
      </c>
      <c r="D60" s="12">
        <v>150</v>
      </c>
      <c r="E60" s="11" t="s">
        <v>2408</v>
      </c>
    </row>
    <row r="61" spans="1:5" x14ac:dyDescent="0.35">
      <c r="A61" s="12">
        <v>100</v>
      </c>
      <c r="B61" s="12">
        <v>114</v>
      </c>
      <c r="C61" s="11">
        <v>4</v>
      </c>
      <c r="D61" s="12">
        <v>150</v>
      </c>
      <c r="E61" s="11" t="s">
        <v>2453</v>
      </c>
    </row>
    <row r="62" spans="1:5" x14ac:dyDescent="0.35">
      <c r="A62" s="12">
        <v>100</v>
      </c>
      <c r="B62" s="12">
        <v>114</v>
      </c>
      <c r="C62" s="11" t="s">
        <v>2410</v>
      </c>
      <c r="D62" s="12">
        <v>150</v>
      </c>
      <c r="E62" s="11" t="s">
        <v>2415</v>
      </c>
    </row>
    <row r="63" spans="1:5" x14ac:dyDescent="0.35">
      <c r="A63" s="12">
        <v>100</v>
      </c>
      <c r="B63" s="12">
        <v>114</v>
      </c>
      <c r="C63" s="11">
        <v>5</v>
      </c>
      <c r="D63" s="12">
        <v>150</v>
      </c>
      <c r="E63" s="11" t="s">
        <v>2409</v>
      </c>
    </row>
    <row r="64" spans="1:5" x14ac:dyDescent="0.35">
      <c r="A64" s="12">
        <v>100</v>
      </c>
      <c r="B64" s="12">
        <v>114</v>
      </c>
      <c r="C64" s="11">
        <v>6</v>
      </c>
      <c r="D64" s="12">
        <v>150</v>
      </c>
      <c r="E64" s="11" t="s">
        <v>2462</v>
      </c>
    </row>
    <row r="65" spans="1:5" x14ac:dyDescent="0.35">
      <c r="A65" s="12">
        <v>100</v>
      </c>
      <c r="B65" s="12">
        <v>114</v>
      </c>
      <c r="C65" s="11">
        <v>7</v>
      </c>
      <c r="D65" s="12">
        <v>150</v>
      </c>
      <c r="E65" s="11" t="s">
        <v>2413</v>
      </c>
    </row>
    <row r="66" spans="1:5" x14ac:dyDescent="0.35">
      <c r="A66" s="12">
        <v>100</v>
      </c>
      <c r="B66" s="12">
        <v>114</v>
      </c>
      <c r="C66" s="11">
        <v>8</v>
      </c>
      <c r="D66" s="12">
        <v>150</v>
      </c>
      <c r="E66" s="11">
        <v>5</v>
      </c>
    </row>
    <row r="67" spans="1:5" x14ac:dyDescent="0.35">
      <c r="A67" s="12">
        <v>100</v>
      </c>
      <c r="B67" s="12">
        <v>114</v>
      </c>
      <c r="C67" s="11">
        <v>9</v>
      </c>
      <c r="D67" s="12">
        <v>150</v>
      </c>
      <c r="E67" s="11" t="s">
        <v>2463</v>
      </c>
    </row>
    <row r="68" spans="1:5" x14ac:dyDescent="0.35">
      <c r="A68" s="12">
        <v>100</v>
      </c>
      <c r="B68" s="12">
        <v>114</v>
      </c>
      <c r="C68" s="11">
        <v>10</v>
      </c>
      <c r="D68" s="12">
        <v>150</v>
      </c>
      <c r="E68" s="11" t="s">
        <v>2464</v>
      </c>
    </row>
    <row r="69" spans="1:5" x14ac:dyDescent="0.35">
      <c r="A69" s="11">
        <v>125</v>
      </c>
      <c r="B69" s="11">
        <v>133</v>
      </c>
      <c r="C69" s="11" t="s">
        <v>2402</v>
      </c>
      <c r="D69" s="11">
        <v>190</v>
      </c>
      <c r="E69" s="11" t="s">
        <v>2409</v>
      </c>
    </row>
    <row r="70" spans="1:5" x14ac:dyDescent="0.35">
      <c r="A70" s="12">
        <v>125</v>
      </c>
      <c r="B70" s="12">
        <v>133</v>
      </c>
      <c r="C70" s="11">
        <v>4</v>
      </c>
      <c r="D70" s="12">
        <v>190</v>
      </c>
      <c r="E70" s="11" t="s">
        <v>2462</v>
      </c>
    </row>
    <row r="71" spans="1:5" x14ac:dyDescent="0.35">
      <c r="A71" s="12">
        <v>125</v>
      </c>
      <c r="B71" s="12">
        <v>133</v>
      </c>
      <c r="C71" s="11" t="s">
        <v>2410</v>
      </c>
      <c r="D71" s="12">
        <v>190</v>
      </c>
      <c r="E71" s="11" t="s">
        <v>2465</v>
      </c>
    </row>
    <row r="72" spans="1:5" x14ac:dyDescent="0.35">
      <c r="A72" s="12">
        <v>125</v>
      </c>
      <c r="B72" s="12">
        <v>133</v>
      </c>
      <c r="C72" s="11">
        <v>5</v>
      </c>
      <c r="D72" s="12">
        <v>190</v>
      </c>
      <c r="E72" s="11" t="s">
        <v>2419</v>
      </c>
    </row>
    <row r="73" spans="1:5" x14ac:dyDescent="0.35">
      <c r="A73" s="12">
        <v>125</v>
      </c>
      <c r="B73" s="12">
        <v>133</v>
      </c>
      <c r="C73" s="11">
        <v>6</v>
      </c>
      <c r="D73" s="12">
        <v>190</v>
      </c>
      <c r="E73" s="11" t="s">
        <v>2463</v>
      </c>
    </row>
    <row r="74" spans="1:5" x14ac:dyDescent="0.35">
      <c r="A74" s="12">
        <v>125</v>
      </c>
      <c r="B74" s="12">
        <v>133</v>
      </c>
      <c r="C74" s="11">
        <v>7</v>
      </c>
      <c r="D74" s="12">
        <v>190</v>
      </c>
      <c r="E74" s="11" t="s">
        <v>2414</v>
      </c>
    </row>
    <row r="75" spans="1:5" x14ac:dyDescent="0.35">
      <c r="A75" s="12">
        <v>125</v>
      </c>
      <c r="B75" s="12">
        <v>133</v>
      </c>
      <c r="C75" s="11">
        <v>8</v>
      </c>
      <c r="D75" s="12">
        <v>190</v>
      </c>
      <c r="E75" s="11" t="s">
        <v>2466</v>
      </c>
    </row>
    <row r="76" spans="1:5" x14ac:dyDescent="0.35">
      <c r="A76" s="12">
        <v>125</v>
      </c>
      <c r="B76" s="12">
        <v>133</v>
      </c>
      <c r="C76" s="11">
        <v>9</v>
      </c>
      <c r="D76" s="12">
        <v>190</v>
      </c>
      <c r="E76" s="11" t="s">
        <v>2467</v>
      </c>
    </row>
    <row r="77" spans="1:5" x14ac:dyDescent="0.35">
      <c r="A77" s="12">
        <v>125</v>
      </c>
      <c r="B77" s="12">
        <v>133</v>
      </c>
      <c r="C77" s="11">
        <v>10</v>
      </c>
      <c r="D77" s="12">
        <v>190</v>
      </c>
      <c r="E77" s="11" t="s">
        <v>2468</v>
      </c>
    </row>
    <row r="78" spans="1:5" x14ac:dyDescent="0.35">
      <c r="A78" s="12">
        <v>125</v>
      </c>
      <c r="B78" s="12">
        <v>133</v>
      </c>
      <c r="C78" s="11">
        <v>11</v>
      </c>
      <c r="D78" s="12">
        <v>190</v>
      </c>
      <c r="E78" s="11">
        <v>10</v>
      </c>
    </row>
    <row r="79" spans="1:5" x14ac:dyDescent="0.35">
      <c r="A79" s="12">
        <v>125</v>
      </c>
      <c r="B79" s="12">
        <v>133</v>
      </c>
      <c r="C79" s="11">
        <v>12</v>
      </c>
      <c r="D79" s="12">
        <v>190</v>
      </c>
      <c r="E79" s="11">
        <v>11</v>
      </c>
    </row>
    <row r="80" spans="1:5" x14ac:dyDescent="0.35">
      <c r="A80" s="11">
        <v>150</v>
      </c>
      <c r="B80" s="11">
        <v>159</v>
      </c>
      <c r="C80" s="11">
        <v>4</v>
      </c>
      <c r="D80" s="11">
        <v>225</v>
      </c>
      <c r="E80" s="11" t="s">
        <v>2469</v>
      </c>
    </row>
    <row r="81" spans="1:5" x14ac:dyDescent="0.35">
      <c r="A81" s="12">
        <v>150</v>
      </c>
      <c r="B81" s="12">
        <v>159</v>
      </c>
      <c r="C81" s="11" t="s">
        <v>2410</v>
      </c>
      <c r="D81" s="12">
        <v>225</v>
      </c>
      <c r="E81" s="11" t="s">
        <v>2464</v>
      </c>
    </row>
    <row r="82" spans="1:5" x14ac:dyDescent="0.35">
      <c r="A82" s="12">
        <v>150</v>
      </c>
      <c r="B82" s="12">
        <v>159</v>
      </c>
      <c r="C82" s="11">
        <v>5</v>
      </c>
      <c r="D82" s="12">
        <v>225</v>
      </c>
      <c r="E82" s="11" t="s">
        <v>2470</v>
      </c>
    </row>
    <row r="83" spans="1:5" x14ac:dyDescent="0.35">
      <c r="A83" s="12">
        <v>150</v>
      </c>
      <c r="B83" s="12">
        <v>159</v>
      </c>
      <c r="C83" s="11">
        <v>6</v>
      </c>
      <c r="D83" s="12">
        <v>225</v>
      </c>
      <c r="E83" s="11" t="s">
        <v>2471</v>
      </c>
    </row>
    <row r="84" spans="1:5" x14ac:dyDescent="0.35">
      <c r="A84" s="12">
        <v>150</v>
      </c>
      <c r="B84" s="12">
        <v>159</v>
      </c>
      <c r="C84" s="11">
        <v>7</v>
      </c>
      <c r="D84" s="12">
        <v>225</v>
      </c>
      <c r="E84" s="11" t="s">
        <v>2472</v>
      </c>
    </row>
    <row r="85" spans="1:5" x14ac:dyDescent="0.35">
      <c r="A85" s="12">
        <v>150</v>
      </c>
      <c r="B85" s="12">
        <v>159</v>
      </c>
      <c r="C85" s="11">
        <v>8</v>
      </c>
      <c r="D85" s="12">
        <v>225</v>
      </c>
      <c r="E85" s="11">
        <v>11</v>
      </c>
    </row>
    <row r="86" spans="1:5" x14ac:dyDescent="0.35">
      <c r="A86" s="12">
        <v>150</v>
      </c>
      <c r="B86" s="12">
        <v>159</v>
      </c>
      <c r="C86" s="11">
        <v>9</v>
      </c>
      <c r="D86" s="12">
        <v>225</v>
      </c>
      <c r="E86" s="11">
        <v>12</v>
      </c>
    </row>
    <row r="87" spans="1:5" x14ac:dyDescent="0.35">
      <c r="A87" s="12">
        <v>150</v>
      </c>
      <c r="B87" s="12">
        <v>159</v>
      </c>
      <c r="C87" s="11">
        <v>10</v>
      </c>
      <c r="D87" s="12">
        <v>225</v>
      </c>
      <c r="E87" s="11">
        <v>13</v>
      </c>
    </row>
    <row r="88" spans="1:5" x14ac:dyDescent="0.35">
      <c r="A88" s="12">
        <v>150</v>
      </c>
      <c r="B88" s="12">
        <v>159</v>
      </c>
      <c r="C88" s="11">
        <v>11</v>
      </c>
      <c r="D88" s="12">
        <v>225</v>
      </c>
      <c r="E88" s="11">
        <v>14</v>
      </c>
    </row>
    <row r="89" spans="1:5" x14ac:dyDescent="0.35">
      <c r="A89" s="12">
        <v>150</v>
      </c>
      <c r="B89" s="12">
        <v>159</v>
      </c>
      <c r="C89" s="11">
        <v>12</v>
      </c>
      <c r="D89" s="12">
        <v>225</v>
      </c>
      <c r="E89" s="11">
        <v>16</v>
      </c>
    </row>
    <row r="90" spans="1:5" x14ac:dyDescent="0.35">
      <c r="A90" s="12">
        <v>150</v>
      </c>
      <c r="B90" s="12">
        <v>159</v>
      </c>
      <c r="C90" s="11">
        <v>13</v>
      </c>
      <c r="D90" s="12">
        <v>225</v>
      </c>
      <c r="E90" s="11">
        <v>17</v>
      </c>
    </row>
    <row r="91" spans="1:5" x14ac:dyDescent="0.35">
      <c r="A91" s="12">
        <v>150</v>
      </c>
      <c r="B91" s="12">
        <v>159</v>
      </c>
      <c r="C91" s="11">
        <v>14</v>
      </c>
      <c r="D91" s="12">
        <v>225</v>
      </c>
      <c r="E91" s="11">
        <v>18</v>
      </c>
    </row>
    <row r="92" spans="1:5" x14ac:dyDescent="0.35">
      <c r="A92" s="12">
        <v>150</v>
      </c>
      <c r="B92" s="11">
        <v>168</v>
      </c>
      <c r="C92" s="11">
        <v>4</v>
      </c>
      <c r="D92" s="12">
        <v>225</v>
      </c>
      <c r="E92" s="11" t="s">
        <v>2473</v>
      </c>
    </row>
    <row r="93" spans="1:5" x14ac:dyDescent="0.35">
      <c r="A93" s="12">
        <v>150</v>
      </c>
      <c r="B93" s="12">
        <v>168</v>
      </c>
      <c r="C93" s="11" t="s">
        <v>2410</v>
      </c>
      <c r="D93" s="12">
        <v>225</v>
      </c>
      <c r="E93" s="11" t="s">
        <v>2474</v>
      </c>
    </row>
    <row r="94" spans="1:5" x14ac:dyDescent="0.35">
      <c r="A94" s="12">
        <v>150</v>
      </c>
      <c r="B94" s="12">
        <v>168</v>
      </c>
      <c r="C94" s="11">
        <v>5</v>
      </c>
      <c r="D94" s="12">
        <v>225</v>
      </c>
      <c r="E94" s="11" t="s">
        <v>2475</v>
      </c>
    </row>
    <row r="95" spans="1:5" x14ac:dyDescent="0.35">
      <c r="A95" s="12">
        <v>150</v>
      </c>
      <c r="B95" s="12">
        <v>168</v>
      </c>
      <c r="C95" s="11">
        <v>6</v>
      </c>
      <c r="D95" s="12">
        <v>225</v>
      </c>
      <c r="E95" s="11" t="s">
        <v>2476</v>
      </c>
    </row>
    <row r="96" spans="1:5" x14ac:dyDescent="0.35">
      <c r="A96" s="12">
        <v>150</v>
      </c>
      <c r="B96" s="12">
        <v>168</v>
      </c>
      <c r="C96" s="11">
        <v>7</v>
      </c>
      <c r="D96" s="12">
        <v>225</v>
      </c>
      <c r="E96" s="11" t="s">
        <v>2477</v>
      </c>
    </row>
    <row r="97" spans="1:5" x14ac:dyDescent="0.35">
      <c r="A97" s="12">
        <v>150</v>
      </c>
      <c r="B97" s="12">
        <v>168</v>
      </c>
      <c r="C97" s="11">
        <v>8</v>
      </c>
      <c r="D97" s="12">
        <v>225</v>
      </c>
      <c r="E97" s="11" t="s">
        <v>2478</v>
      </c>
    </row>
    <row r="98" spans="1:5" x14ac:dyDescent="0.35">
      <c r="A98" s="12">
        <v>150</v>
      </c>
      <c r="B98" s="12">
        <v>168</v>
      </c>
      <c r="C98" s="11">
        <v>9</v>
      </c>
      <c r="D98" s="12">
        <v>225</v>
      </c>
      <c r="E98" s="11" t="s">
        <v>2389</v>
      </c>
    </row>
    <row r="99" spans="1:5" x14ac:dyDescent="0.35">
      <c r="A99" s="12">
        <v>150</v>
      </c>
      <c r="B99" s="12">
        <v>168</v>
      </c>
      <c r="C99" s="11">
        <v>10</v>
      </c>
      <c r="D99" s="12">
        <v>225</v>
      </c>
      <c r="E99" s="11">
        <v>14</v>
      </c>
    </row>
    <row r="100" spans="1:5" x14ac:dyDescent="0.35">
      <c r="A100" s="12">
        <v>150</v>
      </c>
      <c r="B100" s="12">
        <v>168</v>
      </c>
      <c r="C100" s="11">
        <v>11</v>
      </c>
      <c r="D100" s="12">
        <v>225</v>
      </c>
      <c r="E100" s="11">
        <v>15</v>
      </c>
    </row>
    <row r="101" spans="1:5" x14ac:dyDescent="0.35">
      <c r="A101" s="12">
        <v>150</v>
      </c>
      <c r="B101" s="12">
        <v>168</v>
      </c>
      <c r="C101" s="11">
        <v>12</v>
      </c>
      <c r="D101" s="12">
        <v>225</v>
      </c>
      <c r="E101" s="11">
        <v>16</v>
      </c>
    </row>
    <row r="102" spans="1:5" x14ac:dyDescent="0.35">
      <c r="A102" s="12">
        <v>150</v>
      </c>
      <c r="B102" s="12">
        <v>168</v>
      </c>
      <c r="C102" s="11">
        <v>13</v>
      </c>
      <c r="D102" s="12">
        <v>225</v>
      </c>
      <c r="E102" s="11" t="s">
        <v>2479</v>
      </c>
    </row>
    <row r="103" spans="1:5" x14ac:dyDescent="0.35">
      <c r="A103" s="12">
        <v>150</v>
      </c>
      <c r="B103" s="12">
        <v>168</v>
      </c>
      <c r="C103" s="11">
        <v>14</v>
      </c>
      <c r="D103" s="12">
        <v>225</v>
      </c>
      <c r="E103" s="11">
        <v>19</v>
      </c>
    </row>
    <row r="104" spans="1:5" x14ac:dyDescent="0.35">
      <c r="A104" s="11">
        <v>200</v>
      </c>
      <c r="B104" s="11">
        <v>219</v>
      </c>
      <c r="C104" s="11">
        <v>5</v>
      </c>
      <c r="D104" s="11">
        <v>300</v>
      </c>
      <c r="E104" s="11">
        <v>13</v>
      </c>
    </row>
    <row r="105" spans="1:5" x14ac:dyDescent="0.35">
      <c r="A105" s="12">
        <v>200</v>
      </c>
      <c r="B105" s="12">
        <v>219</v>
      </c>
      <c r="C105" s="11">
        <v>6</v>
      </c>
      <c r="D105" s="12">
        <v>300</v>
      </c>
      <c r="E105" s="11">
        <v>15</v>
      </c>
    </row>
    <row r="106" spans="1:5" x14ac:dyDescent="0.35">
      <c r="A106" s="12">
        <v>200</v>
      </c>
      <c r="B106" s="12">
        <v>219</v>
      </c>
      <c r="C106" s="11">
        <v>7</v>
      </c>
      <c r="D106" s="12">
        <v>300</v>
      </c>
      <c r="E106" s="11">
        <v>17</v>
      </c>
    </row>
    <row r="107" spans="1:5" x14ac:dyDescent="0.35">
      <c r="A107" s="12">
        <v>200</v>
      </c>
      <c r="B107" s="12">
        <v>219</v>
      </c>
      <c r="C107" s="11">
        <v>8</v>
      </c>
      <c r="D107" s="12">
        <v>300</v>
      </c>
      <c r="E107" s="11">
        <v>20</v>
      </c>
    </row>
    <row r="108" spans="1:5" x14ac:dyDescent="0.35">
      <c r="A108" s="12">
        <v>200</v>
      </c>
      <c r="B108" s="12">
        <v>219</v>
      </c>
      <c r="C108" s="11">
        <v>9</v>
      </c>
      <c r="D108" s="12">
        <v>300</v>
      </c>
      <c r="E108" s="11">
        <v>22</v>
      </c>
    </row>
    <row r="109" spans="1:5" x14ac:dyDescent="0.35">
      <c r="A109" s="12">
        <v>200</v>
      </c>
      <c r="B109" s="12">
        <v>219</v>
      </c>
      <c r="C109" s="11">
        <v>10</v>
      </c>
      <c r="D109" s="12">
        <v>300</v>
      </c>
      <c r="E109" s="11">
        <v>25</v>
      </c>
    </row>
    <row r="110" spans="1:5" x14ac:dyDescent="0.35">
      <c r="A110" s="12">
        <v>200</v>
      </c>
      <c r="B110" s="12">
        <v>219</v>
      </c>
      <c r="C110" s="11">
        <v>11</v>
      </c>
      <c r="D110" s="12">
        <v>300</v>
      </c>
      <c r="E110" s="11">
        <v>27</v>
      </c>
    </row>
    <row r="111" spans="1:5" x14ac:dyDescent="0.35">
      <c r="A111" s="12">
        <v>200</v>
      </c>
      <c r="B111" s="12">
        <v>219</v>
      </c>
      <c r="C111" s="11">
        <v>12</v>
      </c>
      <c r="D111" s="12">
        <v>300</v>
      </c>
      <c r="E111" s="11">
        <v>29</v>
      </c>
    </row>
    <row r="112" spans="1:5" x14ac:dyDescent="0.35">
      <c r="A112" s="12">
        <v>200</v>
      </c>
      <c r="B112" s="12">
        <v>219</v>
      </c>
      <c r="C112" s="11">
        <v>13</v>
      </c>
      <c r="D112" s="12">
        <v>300</v>
      </c>
      <c r="E112" s="11">
        <v>32</v>
      </c>
    </row>
    <row r="113" spans="1:5" x14ac:dyDescent="0.35">
      <c r="A113" s="12">
        <v>200</v>
      </c>
      <c r="B113" s="12">
        <v>219</v>
      </c>
      <c r="C113" s="11">
        <v>14</v>
      </c>
      <c r="D113" s="12">
        <v>300</v>
      </c>
      <c r="E113" s="11">
        <v>34</v>
      </c>
    </row>
    <row r="114" spans="1:5" x14ac:dyDescent="0.35">
      <c r="A114" s="12">
        <v>200</v>
      </c>
      <c r="B114" s="12">
        <v>219</v>
      </c>
      <c r="C114" s="11">
        <v>15</v>
      </c>
      <c r="D114" s="12">
        <v>300</v>
      </c>
      <c r="E114" s="11">
        <v>37</v>
      </c>
    </row>
    <row r="115" spans="1:5" x14ac:dyDescent="0.35">
      <c r="A115" s="12">
        <v>200</v>
      </c>
      <c r="B115" s="12">
        <v>219</v>
      </c>
      <c r="C115" s="11">
        <v>16</v>
      </c>
      <c r="D115" s="12">
        <v>300</v>
      </c>
      <c r="E115" s="11">
        <v>39</v>
      </c>
    </row>
    <row r="116" spans="1:5" x14ac:dyDescent="0.35">
      <c r="A116" s="12">
        <v>200</v>
      </c>
      <c r="B116" s="12">
        <v>219</v>
      </c>
      <c r="C116" s="11">
        <v>17</v>
      </c>
      <c r="D116" s="12">
        <v>300</v>
      </c>
      <c r="E116" s="11">
        <v>42</v>
      </c>
    </row>
    <row r="117" spans="1:5" x14ac:dyDescent="0.35">
      <c r="A117" s="12">
        <v>200</v>
      </c>
      <c r="B117" s="12">
        <v>219</v>
      </c>
      <c r="C117" s="11">
        <v>18</v>
      </c>
      <c r="D117" s="12">
        <v>300</v>
      </c>
      <c r="E117" s="11">
        <v>44</v>
      </c>
    </row>
    <row r="118" spans="1:5" x14ac:dyDescent="0.35">
      <c r="A118" s="11">
        <v>250</v>
      </c>
      <c r="B118" s="11">
        <v>273</v>
      </c>
      <c r="C118" s="11">
        <v>6</v>
      </c>
      <c r="D118" s="11">
        <v>375</v>
      </c>
      <c r="E118" s="11">
        <v>23</v>
      </c>
    </row>
    <row r="119" spans="1:5" x14ac:dyDescent="0.35">
      <c r="A119" s="12">
        <v>250</v>
      </c>
      <c r="B119" s="12">
        <v>273</v>
      </c>
      <c r="C119" s="11">
        <v>7</v>
      </c>
      <c r="D119" s="12">
        <v>375</v>
      </c>
      <c r="E119" s="11">
        <v>27</v>
      </c>
    </row>
    <row r="120" spans="1:5" x14ac:dyDescent="0.35">
      <c r="A120" s="12">
        <v>250</v>
      </c>
      <c r="B120" s="12">
        <v>273</v>
      </c>
      <c r="C120" s="11">
        <v>8</v>
      </c>
      <c r="D120" s="12">
        <v>375</v>
      </c>
      <c r="E120" s="11">
        <v>31</v>
      </c>
    </row>
    <row r="121" spans="1:5" x14ac:dyDescent="0.35">
      <c r="A121" s="12">
        <v>250</v>
      </c>
      <c r="B121" s="12">
        <v>273</v>
      </c>
      <c r="C121" s="11">
        <v>9</v>
      </c>
      <c r="D121" s="12">
        <v>375</v>
      </c>
      <c r="E121" s="11">
        <v>35</v>
      </c>
    </row>
    <row r="122" spans="1:5" x14ac:dyDescent="0.35">
      <c r="A122" s="12">
        <v>250</v>
      </c>
      <c r="B122" s="12">
        <v>273</v>
      </c>
      <c r="C122" s="11">
        <v>10</v>
      </c>
      <c r="D122" s="12">
        <v>375</v>
      </c>
      <c r="E122" s="11">
        <v>39</v>
      </c>
    </row>
    <row r="123" spans="1:5" x14ac:dyDescent="0.35">
      <c r="A123" s="12">
        <v>250</v>
      </c>
      <c r="B123" s="12">
        <v>273</v>
      </c>
      <c r="C123" s="11">
        <v>11</v>
      </c>
      <c r="D123" s="12">
        <v>375</v>
      </c>
      <c r="E123" s="11">
        <v>43</v>
      </c>
    </row>
    <row r="124" spans="1:5" x14ac:dyDescent="0.35">
      <c r="A124" s="12">
        <v>250</v>
      </c>
      <c r="B124" s="12">
        <v>273</v>
      </c>
      <c r="C124" s="11">
        <v>12</v>
      </c>
      <c r="D124" s="12">
        <v>375</v>
      </c>
      <c r="E124" s="11">
        <v>46</v>
      </c>
    </row>
    <row r="125" spans="1:5" x14ac:dyDescent="0.35">
      <c r="A125" s="12">
        <v>250</v>
      </c>
      <c r="B125" s="12">
        <v>273</v>
      </c>
      <c r="C125" s="11">
        <v>13</v>
      </c>
      <c r="D125" s="12">
        <v>375</v>
      </c>
      <c r="E125" s="11">
        <v>50</v>
      </c>
    </row>
    <row r="126" spans="1:5" x14ac:dyDescent="0.35">
      <c r="A126" s="12">
        <v>250</v>
      </c>
      <c r="B126" s="12">
        <v>273</v>
      </c>
      <c r="C126" s="11">
        <v>14</v>
      </c>
      <c r="D126" s="12">
        <v>375</v>
      </c>
      <c r="E126" s="11">
        <v>54</v>
      </c>
    </row>
    <row r="127" spans="1:5" x14ac:dyDescent="0.35">
      <c r="A127" s="12">
        <v>250</v>
      </c>
      <c r="B127" s="12">
        <v>273</v>
      </c>
      <c r="C127" s="11">
        <v>15</v>
      </c>
      <c r="D127" s="12">
        <v>375</v>
      </c>
      <c r="E127" s="11">
        <v>58</v>
      </c>
    </row>
    <row r="128" spans="1:5" x14ac:dyDescent="0.35">
      <c r="A128" s="12">
        <v>250</v>
      </c>
      <c r="B128" s="12">
        <v>273</v>
      </c>
      <c r="C128" s="11">
        <v>16</v>
      </c>
      <c r="D128" s="12">
        <v>375</v>
      </c>
      <c r="E128" s="11">
        <v>61</v>
      </c>
    </row>
    <row r="129" spans="1:5" x14ac:dyDescent="0.35">
      <c r="A129" s="12">
        <v>250</v>
      </c>
      <c r="B129" s="12">
        <v>273</v>
      </c>
      <c r="C129" s="11">
        <v>17</v>
      </c>
      <c r="D129" s="12">
        <v>375</v>
      </c>
      <c r="E129" s="11">
        <v>66</v>
      </c>
    </row>
    <row r="130" spans="1:5" x14ac:dyDescent="0.35">
      <c r="A130" s="12">
        <v>250</v>
      </c>
      <c r="B130" s="12">
        <v>273</v>
      </c>
      <c r="C130" s="11">
        <v>18</v>
      </c>
      <c r="D130" s="12">
        <v>375</v>
      </c>
      <c r="E130" s="11">
        <v>70</v>
      </c>
    </row>
    <row r="131" spans="1:5" x14ac:dyDescent="0.35">
      <c r="A131" s="12">
        <v>250</v>
      </c>
      <c r="B131" s="12">
        <v>273</v>
      </c>
      <c r="C131" s="11">
        <v>20</v>
      </c>
      <c r="D131" s="12">
        <v>375</v>
      </c>
      <c r="E131" s="11">
        <v>78</v>
      </c>
    </row>
    <row r="132" spans="1:5" x14ac:dyDescent="0.35">
      <c r="A132" s="12">
        <v>250</v>
      </c>
      <c r="B132" s="12">
        <v>273</v>
      </c>
      <c r="C132" s="11">
        <v>22</v>
      </c>
      <c r="D132" s="12">
        <v>375</v>
      </c>
      <c r="E132" s="11">
        <v>85</v>
      </c>
    </row>
    <row r="133" spans="1:5" x14ac:dyDescent="0.35">
      <c r="A133" s="11">
        <v>300</v>
      </c>
      <c r="B133" s="11">
        <v>325</v>
      </c>
      <c r="C133" s="11">
        <v>7</v>
      </c>
      <c r="D133" s="11">
        <v>450</v>
      </c>
      <c r="E133" s="11">
        <v>39</v>
      </c>
    </row>
    <row r="134" spans="1:5" x14ac:dyDescent="0.35">
      <c r="A134" s="12">
        <v>300</v>
      </c>
      <c r="B134" s="12">
        <v>325</v>
      </c>
      <c r="C134" s="11">
        <v>8</v>
      </c>
      <c r="D134" s="12">
        <v>450</v>
      </c>
      <c r="E134" s="11">
        <v>45</v>
      </c>
    </row>
    <row r="135" spans="1:5" x14ac:dyDescent="0.35">
      <c r="A135" s="12">
        <v>300</v>
      </c>
      <c r="B135" s="12">
        <v>325</v>
      </c>
      <c r="C135" s="11">
        <v>9</v>
      </c>
      <c r="D135" s="12">
        <v>450</v>
      </c>
      <c r="E135" s="11">
        <v>50</v>
      </c>
    </row>
    <row r="136" spans="1:5" x14ac:dyDescent="0.35">
      <c r="A136" s="12">
        <v>300</v>
      </c>
      <c r="B136" s="12">
        <v>325</v>
      </c>
      <c r="C136" s="11">
        <v>10</v>
      </c>
      <c r="D136" s="12">
        <v>450</v>
      </c>
      <c r="E136" s="11">
        <v>56</v>
      </c>
    </row>
    <row r="137" spans="1:5" x14ac:dyDescent="0.35">
      <c r="A137" s="12">
        <v>300</v>
      </c>
      <c r="B137" s="12">
        <v>325</v>
      </c>
      <c r="C137" s="11">
        <v>11</v>
      </c>
      <c r="D137" s="12">
        <v>450</v>
      </c>
      <c r="E137" s="11">
        <v>61</v>
      </c>
    </row>
    <row r="138" spans="1:5" x14ac:dyDescent="0.35">
      <c r="A138" s="12">
        <v>300</v>
      </c>
      <c r="B138" s="12">
        <v>325</v>
      </c>
      <c r="C138" s="11">
        <v>12</v>
      </c>
      <c r="D138" s="12">
        <v>450</v>
      </c>
      <c r="E138" s="11">
        <v>66</v>
      </c>
    </row>
    <row r="139" spans="1:5" x14ac:dyDescent="0.35">
      <c r="A139" s="12">
        <v>300</v>
      </c>
      <c r="B139" s="12">
        <v>325</v>
      </c>
      <c r="C139" s="11">
        <v>13</v>
      </c>
      <c r="D139" s="12">
        <v>450</v>
      </c>
      <c r="E139" s="11">
        <v>72</v>
      </c>
    </row>
    <row r="140" spans="1:5" x14ac:dyDescent="0.35">
      <c r="A140" s="12">
        <v>300</v>
      </c>
      <c r="B140" s="12">
        <v>325</v>
      </c>
      <c r="C140" s="11">
        <v>14</v>
      </c>
      <c r="D140" s="12">
        <v>450</v>
      </c>
      <c r="E140" s="11">
        <v>77</v>
      </c>
    </row>
    <row r="141" spans="1:5" x14ac:dyDescent="0.35">
      <c r="A141" s="12">
        <v>300</v>
      </c>
      <c r="B141" s="12">
        <v>325</v>
      </c>
      <c r="C141" s="11">
        <v>15</v>
      </c>
      <c r="D141" s="12">
        <v>450</v>
      </c>
      <c r="E141" s="11">
        <v>82</v>
      </c>
    </row>
    <row r="142" spans="1:5" x14ac:dyDescent="0.35">
      <c r="A142" s="12">
        <v>300</v>
      </c>
      <c r="B142" s="12">
        <v>325</v>
      </c>
      <c r="C142" s="11">
        <v>16</v>
      </c>
      <c r="D142" s="12">
        <v>450</v>
      </c>
      <c r="E142" s="11">
        <v>87</v>
      </c>
    </row>
    <row r="143" spans="1:5" x14ac:dyDescent="0.35">
      <c r="A143" s="12">
        <v>300</v>
      </c>
      <c r="B143" s="12">
        <v>325</v>
      </c>
      <c r="C143" s="11">
        <v>17</v>
      </c>
      <c r="D143" s="12">
        <v>450</v>
      </c>
      <c r="E143" s="11">
        <v>92</v>
      </c>
    </row>
    <row r="144" spans="1:5" x14ac:dyDescent="0.35">
      <c r="A144" s="12">
        <v>300</v>
      </c>
      <c r="B144" s="12">
        <v>325</v>
      </c>
      <c r="C144" s="11">
        <v>18</v>
      </c>
      <c r="D144" s="12">
        <v>450</v>
      </c>
      <c r="E144" s="11">
        <v>96</v>
      </c>
    </row>
    <row r="145" spans="1:5" x14ac:dyDescent="0.35">
      <c r="A145" s="12">
        <v>300</v>
      </c>
      <c r="B145" s="12">
        <v>325</v>
      </c>
      <c r="C145" s="11">
        <v>20</v>
      </c>
      <c r="D145" s="12">
        <v>450</v>
      </c>
      <c r="E145" s="11">
        <v>107</v>
      </c>
    </row>
    <row r="146" spans="1:5" x14ac:dyDescent="0.35">
      <c r="A146" s="12">
        <v>300</v>
      </c>
      <c r="B146" s="12">
        <v>325</v>
      </c>
      <c r="C146" s="11">
        <v>22</v>
      </c>
      <c r="D146" s="12">
        <v>450</v>
      </c>
      <c r="E146" s="11">
        <v>118</v>
      </c>
    </row>
    <row r="147" spans="1:5" x14ac:dyDescent="0.35">
      <c r="A147" s="12">
        <v>300</v>
      </c>
      <c r="B147" s="12">
        <v>325</v>
      </c>
      <c r="C147" s="11">
        <v>24</v>
      </c>
      <c r="D147" s="12">
        <v>450</v>
      </c>
      <c r="E147" s="11">
        <v>130</v>
      </c>
    </row>
    <row r="148" spans="1:5" x14ac:dyDescent="0.35">
      <c r="A148" s="12">
        <v>300</v>
      </c>
      <c r="B148" s="12">
        <v>325</v>
      </c>
      <c r="C148" s="11">
        <v>26</v>
      </c>
      <c r="D148" s="12">
        <v>450</v>
      </c>
      <c r="E148" s="11">
        <v>141</v>
      </c>
    </row>
    <row r="149" spans="1:5" x14ac:dyDescent="0.35">
      <c r="A149" s="12">
        <v>300</v>
      </c>
      <c r="B149" s="12">
        <v>325</v>
      </c>
      <c r="C149" s="11">
        <v>28</v>
      </c>
      <c r="D149" s="12">
        <v>450</v>
      </c>
      <c r="E149" s="11">
        <v>150</v>
      </c>
    </row>
    <row r="150" spans="1:5" x14ac:dyDescent="0.35">
      <c r="A150" s="11">
        <v>350</v>
      </c>
      <c r="B150" s="11">
        <v>377</v>
      </c>
      <c r="C150" s="11">
        <v>9</v>
      </c>
      <c r="D150" s="11">
        <v>525</v>
      </c>
      <c r="E150" s="11">
        <v>68</v>
      </c>
    </row>
    <row r="151" spans="1:5" x14ac:dyDescent="0.35">
      <c r="A151" s="12">
        <v>350</v>
      </c>
      <c r="B151" s="12">
        <v>377</v>
      </c>
      <c r="C151" s="11">
        <v>10</v>
      </c>
      <c r="D151" s="12">
        <v>525</v>
      </c>
      <c r="E151" s="11">
        <v>75</v>
      </c>
    </row>
    <row r="152" spans="1:5" x14ac:dyDescent="0.35">
      <c r="A152" s="12">
        <v>350</v>
      </c>
      <c r="B152" s="12">
        <v>377</v>
      </c>
      <c r="C152" s="11">
        <v>11</v>
      </c>
      <c r="D152" s="12">
        <v>525</v>
      </c>
      <c r="E152" s="11">
        <v>83</v>
      </c>
    </row>
    <row r="153" spans="1:5" x14ac:dyDescent="0.35">
      <c r="A153" s="12">
        <v>350</v>
      </c>
      <c r="B153" s="12">
        <v>377</v>
      </c>
      <c r="C153" s="11">
        <v>12</v>
      </c>
      <c r="D153" s="12">
        <v>525</v>
      </c>
      <c r="E153" s="11">
        <v>90</v>
      </c>
    </row>
    <row r="154" spans="1:5" x14ac:dyDescent="0.35">
      <c r="A154" s="12">
        <v>350</v>
      </c>
      <c r="B154" s="12">
        <v>377</v>
      </c>
      <c r="C154" s="11">
        <v>13</v>
      </c>
      <c r="D154" s="12">
        <v>525</v>
      </c>
      <c r="E154" s="11">
        <v>97</v>
      </c>
    </row>
    <row r="155" spans="1:5" x14ac:dyDescent="0.35">
      <c r="A155" s="12">
        <v>350</v>
      </c>
      <c r="B155" s="12">
        <v>377</v>
      </c>
      <c r="C155" s="11">
        <v>14</v>
      </c>
      <c r="D155" s="12">
        <v>525</v>
      </c>
      <c r="E155" s="11">
        <v>104</v>
      </c>
    </row>
    <row r="156" spans="1:5" x14ac:dyDescent="0.35">
      <c r="A156" s="12">
        <v>350</v>
      </c>
      <c r="B156" s="12">
        <v>377</v>
      </c>
      <c r="C156" s="11">
        <v>15</v>
      </c>
      <c r="D156" s="12">
        <v>525</v>
      </c>
      <c r="E156" s="11">
        <v>112</v>
      </c>
    </row>
    <row r="157" spans="1:5" x14ac:dyDescent="0.35">
      <c r="A157" s="12">
        <v>350</v>
      </c>
      <c r="B157" s="12">
        <v>377</v>
      </c>
      <c r="C157" s="11">
        <v>16</v>
      </c>
      <c r="D157" s="12">
        <v>525</v>
      </c>
      <c r="E157" s="11">
        <v>119</v>
      </c>
    </row>
    <row r="158" spans="1:5" x14ac:dyDescent="0.35">
      <c r="A158" s="12">
        <v>350</v>
      </c>
      <c r="B158" s="12">
        <v>377</v>
      </c>
      <c r="C158" s="11">
        <v>18</v>
      </c>
      <c r="D158" s="12">
        <v>525</v>
      </c>
      <c r="E158" s="11">
        <v>133</v>
      </c>
    </row>
    <row r="159" spans="1:5" x14ac:dyDescent="0.35">
      <c r="A159" s="12">
        <v>350</v>
      </c>
      <c r="B159" s="12">
        <v>377</v>
      </c>
      <c r="C159" s="11">
        <v>20</v>
      </c>
      <c r="D159" s="12">
        <v>525</v>
      </c>
      <c r="E159" s="11">
        <v>147</v>
      </c>
    </row>
    <row r="160" spans="1:5" x14ac:dyDescent="0.35">
      <c r="A160" s="12">
        <v>350</v>
      </c>
      <c r="B160" s="12">
        <v>377</v>
      </c>
      <c r="C160" s="11">
        <v>22</v>
      </c>
      <c r="D160" s="12">
        <v>525</v>
      </c>
      <c r="E160" s="11">
        <v>161</v>
      </c>
    </row>
    <row r="161" spans="1:5" x14ac:dyDescent="0.35">
      <c r="A161" s="12">
        <v>350</v>
      </c>
      <c r="B161" s="12">
        <v>377</v>
      </c>
      <c r="C161" s="11">
        <v>24</v>
      </c>
      <c r="D161" s="12">
        <v>525</v>
      </c>
      <c r="E161" s="11">
        <v>175</v>
      </c>
    </row>
    <row r="162" spans="1:5" x14ac:dyDescent="0.35">
      <c r="A162" s="12">
        <v>350</v>
      </c>
      <c r="B162" s="12">
        <v>377</v>
      </c>
      <c r="C162" s="11">
        <v>26</v>
      </c>
      <c r="D162" s="12">
        <v>525</v>
      </c>
      <c r="E162" s="11">
        <v>188</v>
      </c>
    </row>
    <row r="163" spans="1:5" x14ac:dyDescent="0.35">
      <c r="A163" s="12">
        <v>350</v>
      </c>
      <c r="B163" s="12">
        <v>377</v>
      </c>
      <c r="C163" s="11">
        <v>28</v>
      </c>
      <c r="D163" s="12">
        <v>525</v>
      </c>
      <c r="E163" s="11">
        <v>201</v>
      </c>
    </row>
    <row r="164" spans="1:5" x14ac:dyDescent="0.35">
      <c r="A164" s="12">
        <v>350</v>
      </c>
      <c r="B164" s="12">
        <v>377</v>
      </c>
      <c r="C164" s="11">
        <v>30</v>
      </c>
      <c r="D164" s="12">
        <v>525</v>
      </c>
      <c r="E164" s="11">
        <v>214</v>
      </c>
    </row>
    <row r="165" spans="1:5" x14ac:dyDescent="0.35">
      <c r="A165" s="12">
        <v>350</v>
      </c>
      <c r="B165" s="12">
        <v>377</v>
      </c>
      <c r="C165" s="11">
        <v>32</v>
      </c>
      <c r="D165" s="12">
        <v>525</v>
      </c>
      <c r="E165" s="11">
        <v>228</v>
      </c>
    </row>
    <row r="166" spans="1:5" x14ac:dyDescent="0.35">
      <c r="A166" s="11">
        <v>400</v>
      </c>
      <c r="B166" s="11">
        <v>426</v>
      </c>
      <c r="C166" s="11">
        <v>8</v>
      </c>
      <c r="D166" s="11">
        <v>600</v>
      </c>
      <c r="E166" s="11">
        <v>78</v>
      </c>
    </row>
    <row r="167" spans="1:5" x14ac:dyDescent="0.35">
      <c r="A167" s="12">
        <v>400</v>
      </c>
      <c r="B167" s="12">
        <v>426</v>
      </c>
      <c r="C167" s="11">
        <v>9</v>
      </c>
      <c r="D167" s="12">
        <v>600</v>
      </c>
      <c r="E167" s="11">
        <v>87</v>
      </c>
    </row>
    <row r="168" spans="1:5" x14ac:dyDescent="0.35">
      <c r="A168" s="12">
        <v>400</v>
      </c>
      <c r="B168" s="12">
        <v>426</v>
      </c>
      <c r="C168" s="11">
        <v>10</v>
      </c>
      <c r="D168" s="12">
        <v>600</v>
      </c>
      <c r="E168" s="11">
        <v>97</v>
      </c>
    </row>
    <row r="169" spans="1:5" x14ac:dyDescent="0.35">
      <c r="A169" s="12">
        <v>400</v>
      </c>
      <c r="B169" s="12">
        <v>426</v>
      </c>
      <c r="C169" s="11">
        <v>11</v>
      </c>
      <c r="D169" s="12">
        <v>600</v>
      </c>
      <c r="E169" s="11">
        <v>107</v>
      </c>
    </row>
    <row r="170" spans="1:5" x14ac:dyDescent="0.35">
      <c r="A170" s="12">
        <v>400</v>
      </c>
      <c r="B170" s="12">
        <v>426</v>
      </c>
      <c r="C170" s="11">
        <v>12</v>
      </c>
      <c r="D170" s="12">
        <v>600</v>
      </c>
      <c r="E170" s="11">
        <v>117</v>
      </c>
    </row>
    <row r="171" spans="1:5" x14ac:dyDescent="0.35">
      <c r="A171" s="12">
        <v>400</v>
      </c>
      <c r="B171" s="12">
        <v>426</v>
      </c>
      <c r="C171" s="11">
        <v>13</v>
      </c>
      <c r="D171" s="12">
        <v>600</v>
      </c>
      <c r="E171" s="11">
        <v>126</v>
      </c>
    </row>
    <row r="172" spans="1:5" x14ac:dyDescent="0.35">
      <c r="A172" s="12">
        <v>400</v>
      </c>
      <c r="B172" s="12">
        <v>426</v>
      </c>
      <c r="C172" s="11">
        <v>14</v>
      </c>
      <c r="D172" s="12">
        <v>600</v>
      </c>
      <c r="E172" s="11">
        <v>135</v>
      </c>
    </row>
    <row r="173" spans="1:5" x14ac:dyDescent="0.35">
      <c r="A173" s="12">
        <v>400</v>
      </c>
      <c r="B173" s="12">
        <v>426</v>
      </c>
      <c r="C173" s="11">
        <v>15</v>
      </c>
      <c r="D173" s="12">
        <v>600</v>
      </c>
      <c r="E173" s="11">
        <v>145</v>
      </c>
    </row>
    <row r="174" spans="1:5" x14ac:dyDescent="0.35">
      <c r="A174" s="12">
        <v>400</v>
      </c>
      <c r="B174" s="12">
        <v>426</v>
      </c>
      <c r="C174" s="11">
        <v>16</v>
      </c>
      <c r="D174" s="12">
        <v>600</v>
      </c>
      <c r="E174" s="11">
        <v>154</v>
      </c>
    </row>
    <row r="175" spans="1:5" x14ac:dyDescent="0.35">
      <c r="A175" s="12">
        <v>400</v>
      </c>
      <c r="B175" s="12">
        <v>426</v>
      </c>
      <c r="C175" s="11">
        <v>17</v>
      </c>
      <c r="D175" s="12">
        <v>600</v>
      </c>
      <c r="E175" s="11">
        <v>164</v>
      </c>
    </row>
    <row r="176" spans="1:5" x14ac:dyDescent="0.35">
      <c r="A176" s="12">
        <v>400</v>
      </c>
      <c r="B176" s="12">
        <v>426</v>
      </c>
      <c r="C176" s="11">
        <v>18</v>
      </c>
      <c r="D176" s="12">
        <v>600</v>
      </c>
      <c r="E176" s="11">
        <v>173</v>
      </c>
    </row>
    <row r="177" spans="1:5" x14ac:dyDescent="0.35">
      <c r="A177" s="12">
        <v>400</v>
      </c>
      <c r="B177" s="12">
        <v>426</v>
      </c>
      <c r="C177" s="11">
        <v>20</v>
      </c>
      <c r="D177" s="12">
        <v>600</v>
      </c>
      <c r="E177" s="11">
        <v>192</v>
      </c>
    </row>
    <row r="178" spans="1:5" x14ac:dyDescent="0.35">
      <c r="A178" s="12">
        <v>400</v>
      </c>
      <c r="B178" s="12">
        <v>426</v>
      </c>
      <c r="C178" s="11">
        <v>22</v>
      </c>
      <c r="D178" s="12">
        <v>600</v>
      </c>
      <c r="E178" s="11">
        <v>210</v>
      </c>
    </row>
    <row r="179" spans="1:5" x14ac:dyDescent="0.35">
      <c r="A179" s="12">
        <v>400</v>
      </c>
      <c r="B179" s="12">
        <v>426</v>
      </c>
      <c r="C179" s="11">
        <v>24</v>
      </c>
      <c r="D179" s="12">
        <v>600</v>
      </c>
      <c r="E179" s="11">
        <v>230</v>
      </c>
    </row>
    <row r="180" spans="1:5" x14ac:dyDescent="0.35">
      <c r="A180" s="12">
        <v>400</v>
      </c>
      <c r="B180" s="12">
        <v>426</v>
      </c>
      <c r="C180" s="11">
        <v>26</v>
      </c>
      <c r="D180" s="12">
        <v>600</v>
      </c>
      <c r="E180" s="11">
        <v>249</v>
      </c>
    </row>
    <row r="181" spans="1:5" x14ac:dyDescent="0.35">
      <c r="A181" s="12">
        <v>400</v>
      </c>
      <c r="B181" s="12">
        <v>426</v>
      </c>
      <c r="C181" s="11">
        <v>28</v>
      </c>
      <c r="D181" s="12">
        <v>600</v>
      </c>
      <c r="E181" s="11">
        <v>268</v>
      </c>
    </row>
    <row r="182" spans="1:5" x14ac:dyDescent="0.35">
      <c r="A182" s="12">
        <v>400</v>
      </c>
      <c r="B182" s="12">
        <v>426</v>
      </c>
      <c r="C182" s="11">
        <v>30</v>
      </c>
      <c r="D182" s="12">
        <v>600</v>
      </c>
      <c r="E182" s="11">
        <v>286</v>
      </c>
    </row>
    <row r="183" spans="1:5" x14ac:dyDescent="0.35">
      <c r="A183" s="12">
        <v>400</v>
      </c>
      <c r="B183" s="12">
        <v>426</v>
      </c>
      <c r="C183" s="11">
        <v>32</v>
      </c>
      <c r="D183" s="12">
        <v>600</v>
      </c>
      <c r="E183" s="11">
        <v>306</v>
      </c>
    </row>
    <row r="184" spans="1:5" x14ac:dyDescent="0.35">
      <c r="A184" s="12">
        <v>400</v>
      </c>
      <c r="B184" s="12">
        <v>426</v>
      </c>
      <c r="C184" s="11">
        <v>34</v>
      </c>
      <c r="D184" s="12">
        <v>600</v>
      </c>
      <c r="E184" s="11">
        <v>324</v>
      </c>
    </row>
    <row r="185" spans="1:5" x14ac:dyDescent="0.35">
      <c r="A185" s="11">
        <v>500</v>
      </c>
      <c r="B185" s="11">
        <v>530</v>
      </c>
      <c r="C185" s="11">
        <v>9</v>
      </c>
      <c r="D185" s="11">
        <v>750</v>
      </c>
      <c r="E185" s="11">
        <v>138</v>
      </c>
    </row>
    <row r="186" spans="1:5" x14ac:dyDescent="0.35">
      <c r="A186" s="12">
        <v>500</v>
      </c>
      <c r="B186" s="12">
        <v>530</v>
      </c>
      <c r="C186" s="11">
        <v>10</v>
      </c>
      <c r="D186" s="12">
        <v>750</v>
      </c>
      <c r="E186" s="11">
        <v>153</v>
      </c>
    </row>
    <row r="187" spans="1:5" x14ac:dyDescent="0.35">
      <c r="A187" s="12">
        <v>500</v>
      </c>
      <c r="B187" s="12">
        <v>530</v>
      </c>
      <c r="C187" s="11">
        <v>11</v>
      </c>
      <c r="D187" s="12">
        <v>750</v>
      </c>
      <c r="E187" s="11">
        <v>168</v>
      </c>
    </row>
    <row r="188" spans="1:5" x14ac:dyDescent="0.35">
      <c r="A188" s="12">
        <v>500</v>
      </c>
      <c r="B188" s="12">
        <v>530</v>
      </c>
      <c r="C188" s="11">
        <v>12</v>
      </c>
      <c r="D188" s="12">
        <v>750</v>
      </c>
      <c r="E188" s="11">
        <v>183</v>
      </c>
    </row>
    <row r="189" spans="1:5" x14ac:dyDescent="0.35">
      <c r="A189" s="12">
        <v>500</v>
      </c>
      <c r="B189" s="12">
        <v>530</v>
      </c>
      <c r="C189" s="11">
        <v>13</v>
      </c>
      <c r="D189" s="12">
        <v>750</v>
      </c>
      <c r="E189" s="11">
        <v>198</v>
      </c>
    </row>
    <row r="190" spans="1:5" x14ac:dyDescent="0.35">
      <c r="A190" s="12">
        <v>500</v>
      </c>
      <c r="B190" s="12">
        <v>530</v>
      </c>
      <c r="C190" s="11">
        <v>14</v>
      </c>
      <c r="D190" s="12">
        <v>750</v>
      </c>
      <c r="E190" s="11">
        <v>212</v>
      </c>
    </row>
    <row r="191" spans="1:5" x14ac:dyDescent="0.35">
      <c r="A191" s="12">
        <v>500</v>
      </c>
      <c r="B191" s="12">
        <v>530</v>
      </c>
      <c r="C191" s="11">
        <v>15</v>
      </c>
      <c r="D191" s="12">
        <v>750</v>
      </c>
      <c r="E191" s="11">
        <v>227</v>
      </c>
    </row>
    <row r="192" spans="1:5" x14ac:dyDescent="0.35">
      <c r="A192" s="12">
        <v>500</v>
      </c>
      <c r="B192" s="12">
        <v>530</v>
      </c>
      <c r="C192" s="11">
        <v>16</v>
      </c>
      <c r="D192" s="12">
        <v>750</v>
      </c>
      <c r="E192" s="11">
        <v>242</v>
      </c>
    </row>
    <row r="193" spans="1:5" x14ac:dyDescent="0.35">
      <c r="A193" s="12">
        <v>500</v>
      </c>
      <c r="B193" s="12">
        <v>530</v>
      </c>
      <c r="C193" s="11">
        <v>17</v>
      </c>
      <c r="D193" s="12">
        <v>750</v>
      </c>
      <c r="E193" s="11">
        <v>256</v>
      </c>
    </row>
    <row r="194" spans="1:5" x14ac:dyDescent="0.35">
      <c r="A194" s="12">
        <v>500</v>
      </c>
      <c r="B194" s="12">
        <v>530</v>
      </c>
      <c r="C194" s="11">
        <v>18</v>
      </c>
      <c r="D194" s="12">
        <v>750</v>
      </c>
      <c r="E194" s="11">
        <v>270</v>
      </c>
    </row>
    <row r="195" spans="1:5" x14ac:dyDescent="0.35">
      <c r="A195" s="12">
        <v>500</v>
      </c>
      <c r="B195" s="12">
        <v>530</v>
      </c>
      <c r="C195" s="11">
        <v>20</v>
      </c>
      <c r="D195" s="12">
        <v>750</v>
      </c>
      <c r="E195" s="11">
        <v>298</v>
      </c>
    </row>
    <row r="196" spans="1:5" x14ac:dyDescent="0.35">
      <c r="A196" s="12">
        <v>500</v>
      </c>
      <c r="B196" s="12">
        <v>530</v>
      </c>
      <c r="C196" s="11">
        <v>22</v>
      </c>
      <c r="D196" s="12">
        <v>750</v>
      </c>
      <c r="E196" s="11">
        <v>327</v>
      </c>
    </row>
    <row r="197" spans="1:5" x14ac:dyDescent="0.35">
      <c r="A197" s="12">
        <v>500</v>
      </c>
      <c r="B197" s="12">
        <v>530</v>
      </c>
      <c r="C197" s="11">
        <v>24</v>
      </c>
      <c r="D197" s="12">
        <v>750</v>
      </c>
      <c r="E197" s="11">
        <v>356</v>
      </c>
    </row>
    <row r="198" spans="1:5" x14ac:dyDescent="0.35">
      <c r="A198" s="12">
        <v>500</v>
      </c>
      <c r="B198" s="12">
        <v>530</v>
      </c>
      <c r="C198" s="11">
        <v>26</v>
      </c>
      <c r="D198" s="12">
        <v>750</v>
      </c>
      <c r="E198" s="11">
        <v>385</v>
      </c>
    </row>
    <row r="199" spans="1:5" x14ac:dyDescent="0.35">
      <c r="A199" s="12">
        <v>500</v>
      </c>
      <c r="B199" s="12">
        <v>530</v>
      </c>
      <c r="C199" s="11">
        <v>28</v>
      </c>
      <c r="D199" s="12">
        <v>750</v>
      </c>
      <c r="E199" s="11">
        <v>413</v>
      </c>
    </row>
    <row r="200" spans="1:5" x14ac:dyDescent="0.35">
      <c r="A200" s="12">
        <v>500</v>
      </c>
      <c r="B200" s="12">
        <v>530</v>
      </c>
      <c r="C200" s="11">
        <v>30</v>
      </c>
      <c r="D200" s="12">
        <v>750</v>
      </c>
      <c r="E200" s="11">
        <v>440</v>
      </c>
    </row>
    <row r="201" spans="1:5" x14ac:dyDescent="0.35">
      <c r="A201" s="12">
        <v>500</v>
      </c>
      <c r="B201" s="12">
        <v>530</v>
      </c>
      <c r="C201" s="11">
        <v>32</v>
      </c>
      <c r="D201" s="12">
        <v>750</v>
      </c>
      <c r="E201" s="11">
        <v>467</v>
      </c>
    </row>
    <row r="202" spans="1:5" x14ac:dyDescent="0.35">
      <c r="A202" s="12">
        <v>500</v>
      </c>
      <c r="B202" s="12">
        <v>530</v>
      </c>
      <c r="C202" s="11">
        <v>34</v>
      </c>
      <c r="D202" s="12">
        <v>750</v>
      </c>
      <c r="E202" s="11">
        <v>494</v>
      </c>
    </row>
    <row r="203" spans="1:5" x14ac:dyDescent="0.35">
      <c r="A203" s="12">
        <v>500</v>
      </c>
      <c r="B203" s="12">
        <v>530</v>
      </c>
      <c r="C203" s="11">
        <v>36</v>
      </c>
      <c r="D203" s="12">
        <v>750</v>
      </c>
      <c r="E203" s="11">
        <v>520</v>
      </c>
    </row>
    <row r="204" spans="1:5" x14ac:dyDescent="0.35">
      <c r="A204" s="11">
        <v>600</v>
      </c>
      <c r="B204" s="11">
        <v>630</v>
      </c>
      <c r="C204" s="11">
        <v>9</v>
      </c>
      <c r="D204" s="11">
        <v>900</v>
      </c>
      <c r="E204" s="11">
        <v>198</v>
      </c>
    </row>
    <row r="205" spans="1:5" x14ac:dyDescent="0.35">
      <c r="A205" s="12">
        <v>600</v>
      </c>
      <c r="B205" s="12">
        <v>630</v>
      </c>
      <c r="C205" s="11">
        <v>10</v>
      </c>
      <c r="D205" s="12">
        <v>900</v>
      </c>
      <c r="E205" s="11">
        <v>219</v>
      </c>
    </row>
    <row r="206" spans="1:5" x14ac:dyDescent="0.35">
      <c r="A206" s="12">
        <v>600</v>
      </c>
      <c r="B206" s="12">
        <v>630</v>
      </c>
      <c r="C206" s="11">
        <v>11</v>
      </c>
      <c r="D206" s="12">
        <v>900</v>
      </c>
      <c r="E206" s="11">
        <v>245</v>
      </c>
    </row>
    <row r="207" spans="1:5" x14ac:dyDescent="0.35">
      <c r="A207" s="12">
        <v>600</v>
      </c>
      <c r="B207" s="12">
        <v>630</v>
      </c>
      <c r="C207" s="11">
        <v>12</v>
      </c>
      <c r="D207" s="12">
        <v>900</v>
      </c>
      <c r="E207" s="11">
        <v>261</v>
      </c>
    </row>
    <row r="208" spans="1:5" x14ac:dyDescent="0.35">
      <c r="A208" s="12">
        <v>600</v>
      </c>
      <c r="B208" s="12">
        <v>630</v>
      </c>
      <c r="C208" s="11">
        <v>13</v>
      </c>
      <c r="D208" s="12">
        <v>900</v>
      </c>
      <c r="E208" s="11">
        <v>282</v>
      </c>
    </row>
    <row r="209" spans="1:5" x14ac:dyDescent="0.35">
      <c r="A209" s="12">
        <v>600</v>
      </c>
      <c r="B209" s="12">
        <v>630</v>
      </c>
      <c r="C209" s="11">
        <v>14</v>
      </c>
      <c r="D209" s="12">
        <v>900</v>
      </c>
      <c r="E209" s="11">
        <v>302</v>
      </c>
    </row>
    <row r="210" spans="1:5" x14ac:dyDescent="0.35">
      <c r="A210" s="12">
        <v>600</v>
      </c>
      <c r="B210" s="12">
        <v>630</v>
      </c>
      <c r="C210" s="11">
        <v>15</v>
      </c>
      <c r="D210" s="12">
        <v>900</v>
      </c>
      <c r="E210" s="11">
        <v>324</v>
      </c>
    </row>
    <row r="211" spans="1:5" x14ac:dyDescent="0.35">
      <c r="A211" s="12">
        <v>600</v>
      </c>
      <c r="B211" s="12">
        <v>630</v>
      </c>
      <c r="C211" s="11">
        <v>16</v>
      </c>
      <c r="D211" s="12">
        <v>900</v>
      </c>
      <c r="E211" s="11">
        <v>345</v>
      </c>
    </row>
    <row r="212" spans="1:5" x14ac:dyDescent="0.35">
      <c r="A212" s="12">
        <v>600</v>
      </c>
      <c r="B212" s="12">
        <v>630</v>
      </c>
      <c r="C212" s="11">
        <v>17</v>
      </c>
      <c r="D212" s="12">
        <v>900</v>
      </c>
      <c r="E212" s="11">
        <v>366</v>
      </c>
    </row>
    <row r="213" spans="1:5" x14ac:dyDescent="0.35">
      <c r="A213" s="12">
        <v>600</v>
      </c>
      <c r="B213" s="12">
        <v>630</v>
      </c>
      <c r="C213" s="11">
        <v>18</v>
      </c>
      <c r="D213" s="12">
        <v>900</v>
      </c>
      <c r="E213" s="11">
        <v>387</v>
      </c>
    </row>
    <row r="214" spans="1:5" x14ac:dyDescent="0.35">
      <c r="A214" s="12">
        <v>600</v>
      </c>
      <c r="B214" s="12">
        <v>630</v>
      </c>
      <c r="C214" s="11">
        <v>20</v>
      </c>
      <c r="D214" s="12">
        <v>900</v>
      </c>
      <c r="E214" s="11">
        <v>429</v>
      </c>
    </row>
    <row r="215" spans="1:5" x14ac:dyDescent="0.35">
      <c r="A215" s="12">
        <v>600</v>
      </c>
      <c r="B215" s="12">
        <v>630</v>
      </c>
      <c r="C215" s="11">
        <v>22</v>
      </c>
      <c r="D215" s="12">
        <v>900</v>
      </c>
      <c r="E215" s="11">
        <v>471</v>
      </c>
    </row>
    <row r="216" spans="1:5" x14ac:dyDescent="0.35">
      <c r="A216" s="12">
        <v>600</v>
      </c>
      <c r="B216" s="12">
        <v>630</v>
      </c>
      <c r="C216" s="11">
        <v>24</v>
      </c>
      <c r="D216" s="12">
        <v>900</v>
      </c>
      <c r="E216" s="11">
        <v>513</v>
      </c>
    </row>
    <row r="217" spans="1:5" x14ac:dyDescent="0.35">
      <c r="A217" s="12">
        <v>600</v>
      </c>
      <c r="B217" s="12">
        <v>630</v>
      </c>
      <c r="C217" s="11">
        <v>26</v>
      </c>
      <c r="D217" s="12">
        <v>900</v>
      </c>
      <c r="E217" s="11">
        <v>554</v>
      </c>
    </row>
    <row r="218" spans="1:5" x14ac:dyDescent="0.35">
      <c r="A218" s="12">
        <v>600</v>
      </c>
      <c r="B218" s="12">
        <v>630</v>
      </c>
      <c r="C218" s="11">
        <v>28</v>
      </c>
      <c r="D218" s="12">
        <v>900</v>
      </c>
      <c r="E218" s="11">
        <v>595</v>
      </c>
    </row>
    <row r="219" spans="1:5" x14ac:dyDescent="0.35">
      <c r="A219" s="12">
        <v>600</v>
      </c>
      <c r="B219" s="12">
        <v>630</v>
      </c>
      <c r="C219" s="11">
        <v>30</v>
      </c>
      <c r="D219" s="12">
        <v>900</v>
      </c>
      <c r="E219" s="11">
        <v>636</v>
      </c>
    </row>
    <row r="220" spans="1:5" x14ac:dyDescent="0.35">
      <c r="A220" s="12">
        <v>600</v>
      </c>
      <c r="B220" s="12">
        <v>630</v>
      </c>
      <c r="C220" s="11">
        <v>32</v>
      </c>
      <c r="D220" s="12">
        <v>900</v>
      </c>
      <c r="E220" s="11">
        <v>678</v>
      </c>
    </row>
    <row r="221" spans="1:5" x14ac:dyDescent="0.35">
      <c r="A221" s="11">
        <v>700</v>
      </c>
      <c r="B221" s="11">
        <v>720</v>
      </c>
      <c r="C221" s="11">
        <v>9</v>
      </c>
      <c r="D221" s="11">
        <v>1000</v>
      </c>
      <c r="E221" s="11">
        <v>248</v>
      </c>
    </row>
    <row r="222" spans="1:5" x14ac:dyDescent="0.35">
      <c r="A222" s="12">
        <v>700</v>
      </c>
      <c r="B222" s="12">
        <v>720</v>
      </c>
      <c r="C222" s="11">
        <v>10</v>
      </c>
      <c r="D222" s="12">
        <v>1000</v>
      </c>
      <c r="E222" s="11">
        <v>275</v>
      </c>
    </row>
    <row r="223" spans="1:5" x14ac:dyDescent="0.35">
      <c r="A223" s="12">
        <v>700</v>
      </c>
      <c r="B223" s="12">
        <v>720</v>
      </c>
      <c r="C223" s="11">
        <v>11</v>
      </c>
      <c r="D223" s="12">
        <v>1000</v>
      </c>
      <c r="E223" s="11">
        <v>302</v>
      </c>
    </row>
    <row r="224" spans="1:5" x14ac:dyDescent="0.35">
      <c r="A224" s="12">
        <v>700</v>
      </c>
      <c r="B224" s="12">
        <v>720</v>
      </c>
      <c r="C224" s="11">
        <v>12</v>
      </c>
      <c r="D224" s="12">
        <v>1000</v>
      </c>
      <c r="E224" s="11">
        <v>329</v>
      </c>
    </row>
    <row r="225" spans="1:5" x14ac:dyDescent="0.35">
      <c r="A225" s="12">
        <v>700</v>
      </c>
      <c r="B225" s="12">
        <v>720</v>
      </c>
      <c r="C225" s="11">
        <v>13</v>
      </c>
      <c r="D225" s="12">
        <v>1000</v>
      </c>
      <c r="E225" s="11">
        <v>356</v>
      </c>
    </row>
    <row r="226" spans="1:5" x14ac:dyDescent="0.35">
      <c r="A226" s="12">
        <v>700</v>
      </c>
      <c r="B226" s="12">
        <v>720</v>
      </c>
      <c r="C226" s="11">
        <v>14</v>
      </c>
      <c r="D226" s="12">
        <v>1000</v>
      </c>
      <c r="E226" s="11">
        <v>383</v>
      </c>
    </row>
    <row r="227" spans="1:5" x14ac:dyDescent="0.35">
      <c r="A227" s="12">
        <v>700</v>
      </c>
      <c r="B227" s="12">
        <v>720</v>
      </c>
      <c r="C227" s="11">
        <v>15</v>
      </c>
      <c r="D227" s="12">
        <v>1000</v>
      </c>
      <c r="E227" s="11">
        <v>410</v>
      </c>
    </row>
    <row r="228" spans="1:5" x14ac:dyDescent="0.35">
      <c r="A228" s="12">
        <v>700</v>
      </c>
      <c r="B228" s="12">
        <v>720</v>
      </c>
      <c r="C228" s="11">
        <v>16</v>
      </c>
      <c r="D228" s="12">
        <v>1000</v>
      </c>
      <c r="E228" s="11">
        <v>436</v>
      </c>
    </row>
    <row r="229" spans="1:5" x14ac:dyDescent="0.35">
      <c r="A229" s="12">
        <v>700</v>
      </c>
      <c r="B229" s="12">
        <v>720</v>
      </c>
      <c r="C229" s="11">
        <v>17</v>
      </c>
      <c r="D229" s="12">
        <v>1000</v>
      </c>
      <c r="E229" s="11">
        <v>462</v>
      </c>
    </row>
    <row r="230" spans="1:5" x14ac:dyDescent="0.35">
      <c r="A230" s="12">
        <v>700</v>
      </c>
      <c r="B230" s="12">
        <v>720</v>
      </c>
      <c r="C230" s="11">
        <v>18</v>
      </c>
      <c r="D230" s="12">
        <v>1000</v>
      </c>
      <c r="E230" s="11">
        <v>489</v>
      </c>
    </row>
    <row r="231" spans="1:5" x14ac:dyDescent="0.35">
      <c r="A231" s="12">
        <v>700</v>
      </c>
      <c r="B231" s="12">
        <v>720</v>
      </c>
      <c r="C231" s="11">
        <v>20</v>
      </c>
      <c r="D231" s="12">
        <v>1000</v>
      </c>
      <c r="E231" s="11">
        <v>542</v>
      </c>
    </row>
    <row r="232" spans="1:5" x14ac:dyDescent="0.35">
      <c r="A232" s="12">
        <v>700</v>
      </c>
      <c r="B232" s="12">
        <v>720</v>
      </c>
      <c r="C232" s="11">
        <v>22</v>
      </c>
      <c r="D232" s="12">
        <v>1000</v>
      </c>
      <c r="E232" s="11">
        <v>595</v>
      </c>
    </row>
    <row r="233" spans="1:5" x14ac:dyDescent="0.35">
      <c r="A233" s="12">
        <v>700</v>
      </c>
      <c r="B233" s="12">
        <v>720</v>
      </c>
      <c r="C233" s="11">
        <v>24</v>
      </c>
      <c r="D233" s="12">
        <v>1000</v>
      </c>
      <c r="E233" s="11">
        <v>647</v>
      </c>
    </row>
    <row r="234" spans="1:5" x14ac:dyDescent="0.35">
      <c r="A234" s="12">
        <v>700</v>
      </c>
      <c r="B234" s="12">
        <v>720</v>
      </c>
      <c r="C234" s="11">
        <v>26</v>
      </c>
      <c r="D234" s="12">
        <v>1000</v>
      </c>
      <c r="E234" s="11">
        <v>698</v>
      </c>
    </row>
    <row r="235" spans="1:5" x14ac:dyDescent="0.35">
      <c r="A235" s="12">
        <v>700</v>
      </c>
      <c r="B235" s="12">
        <v>720</v>
      </c>
      <c r="C235" s="11">
        <v>28</v>
      </c>
      <c r="D235" s="12">
        <v>1000</v>
      </c>
      <c r="E235" s="11">
        <v>750</v>
      </c>
    </row>
    <row r="236" spans="1:5" x14ac:dyDescent="0.35">
      <c r="A236" s="12">
        <v>700</v>
      </c>
      <c r="B236" s="12">
        <v>720</v>
      </c>
      <c r="C236" s="11">
        <v>30</v>
      </c>
      <c r="D236" s="12">
        <v>1000</v>
      </c>
      <c r="E236" s="11">
        <v>801</v>
      </c>
    </row>
    <row r="237" spans="1:5" x14ac:dyDescent="0.35">
      <c r="A237" s="12">
        <v>700</v>
      </c>
      <c r="B237" s="12">
        <v>720</v>
      </c>
      <c r="C237" s="11">
        <v>32</v>
      </c>
      <c r="D237" s="12">
        <v>1000</v>
      </c>
      <c r="E237" s="11">
        <v>852</v>
      </c>
    </row>
    <row r="238" spans="1:5" x14ac:dyDescent="0.35">
      <c r="A238" s="11">
        <v>800</v>
      </c>
      <c r="B238" s="11">
        <v>820</v>
      </c>
      <c r="C238" s="11">
        <v>9</v>
      </c>
      <c r="D238" s="11">
        <v>1200</v>
      </c>
      <c r="E238" s="11">
        <v>339</v>
      </c>
    </row>
    <row r="239" spans="1:5" x14ac:dyDescent="0.35">
      <c r="A239" s="12">
        <v>800</v>
      </c>
      <c r="B239" s="12">
        <v>820</v>
      </c>
      <c r="C239" s="11">
        <v>10</v>
      </c>
      <c r="D239" s="12">
        <v>1200</v>
      </c>
      <c r="E239" s="11">
        <v>376</v>
      </c>
    </row>
    <row r="240" spans="1:5" x14ac:dyDescent="0.35">
      <c r="A240" s="12">
        <v>800</v>
      </c>
      <c r="B240" s="12">
        <v>820</v>
      </c>
      <c r="C240" s="11">
        <v>11</v>
      </c>
      <c r="D240" s="12">
        <v>1200</v>
      </c>
      <c r="E240" s="11">
        <v>413</v>
      </c>
    </row>
    <row r="241" spans="1:5" x14ac:dyDescent="0.35">
      <c r="A241" s="12">
        <v>800</v>
      </c>
      <c r="B241" s="12">
        <v>820</v>
      </c>
      <c r="C241" s="11">
        <v>12</v>
      </c>
      <c r="D241" s="12">
        <v>1200</v>
      </c>
      <c r="E241" s="11">
        <v>450</v>
      </c>
    </row>
    <row r="242" spans="1:5" x14ac:dyDescent="0.35">
      <c r="A242" s="12">
        <v>800</v>
      </c>
      <c r="B242" s="12">
        <v>820</v>
      </c>
      <c r="C242" s="11">
        <v>13</v>
      </c>
      <c r="D242" s="12">
        <v>1200</v>
      </c>
      <c r="E242" s="11">
        <v>487</v>
      </c>
    </row>
    <row r="243" spans="1:5" x14ac:dyDescent="0.35">
      <c r="A243" s="12">
        <v>800</v>
      </c>
      <c r="B243" s="12">
        <v>820</v>
      </c>
      <c r="C243" s="11">
        <v>14</v>
      </c>
      <c r="D243" s="12">
        <v>1200</v>
      </c>
      <c r="E243" s="11">
        <v>524</v>
      </c>
    </row>
    <row r="244" spans="1:5" x14ac:dyDescent="0.35">
      <c r="A244" s="12">
        <v>800</v>
      </c>
      <c r="B244" s="12">
        <v>820</v>
      </c>
      <c r="C244" s="11">
        <v>15</v>
      </c>
      <c r="D244" s="12">
        <v>1200</v>
      </c>
      <c r="E244" s="11">
        <v>561</v>
      </c>
    </row>
    <row r="245" spans="1:5" x14ac:dyDescent="0.35">
      <c r="A245" s="12">
        <v>800</v>
      </c>
      <c r="B245" s="12">
        <v>820</v>
      </c>
      <c r="C245" s="11">
        <v>16</v>
      </c>
      <c r="D245" s="12">
        <v>1200</v>
      </c>
      <c r="E245" s="11">
        <v>598</v>
      </c>
    </row>
    <row r="246" spans="1:5" x14ac:dyDescent="0.35">
      <c r="A246" s="12">
        <v>800</v>
      </c>
      <c r="B246" s="12">
        <v>820</v>
      </c>
      <c r="C246" s="11">
        <v>17</v>
      </c>
      <c r="D246" s="12">
        <v>1200</v>
      </c>
      <c r="E246" s="11">
        <v>636</v>
      </c>
    </row>
    <row r="247" spans="1:5" x14ac:dyDescent="0.35">
      <c r="A247" s="12">
        <v>800</v>
      </c>
      <c r="B247" s="12">
        <v>820</v>
      </c>
      <c r="C247" s="11">
        <v>18</v>
      </c>
      <c r="D247" s="12">
        <v>1200</v>
      </c>
      <c r="E247" s="11">
        <v>670</v>
      </c>
    </row>
    <row r="248" spans="1:5" x14ac:dyDescent="0.35">
      <c r="A248" s="12">
        <v>800</v>
      </c>
      <c r="B248" s="12">
        <v>820</v>
      </c>
      <c r="C248" s="11">
        <v>20</v>
      </c>
      <c r="D248" s="12">
        <v>1200</v>
      </c>
      <c r="E248" s="11">
        <v>743</v>
      </c>
    </row>
    <row r="249" spans="1:5" x14ac:dyDescent="0.35">
      <c r="A249" s="12">
        <v>800</v>
      </c>
      <c r="B249" s="12">
        <v>820</v>
      </c>
      <c r="C249" s="11">
        <v>22</v>
      </c>
      <c r="D249" s="12">
        <v>1200</v>
      </c>
      <c r="E249" s="11">
        <v>815</v>
      </c>
    </row>
    <row r="250" spans="1:5" x14ac:dyDescent="0.35">
      <c r="A250" s="12">
        <v>800</v>
      </c>
      <c r="B250" s="12">
        <v>820</v>
      </c>
      <c r="C250" s="11">
        <v>24</v>
      </c>
      <c r="D250" s="12">
        <v>1200</v>
      </c>
      <c r="E250" s="11">
        <v>887</v>
      </c>
    </row>
    <row r="251" spans="1:5" x14ac:dyDescent="0.35">
      <c r="A251" s="12">
        <v>800</v>
      </c>
      <c r="B251" s="12">
        <v>820</v>
      </c>
      <c r="C251" s="11">
        <v>26</v>
      </c>
      <c r="D251" s="12">
        <v>1200</v>
      </c>
      <c r="E251" s="11">
        <v>959</v>
      </c>
    </row>
    <row r="252" spans="1:5" x14ac:dyDescent="0.35">
      <c r="A252" s="12">
        <v>800</v>
      </c>
      <c r="B252" s="12">
        <v>820</v>
      </c>
      <c r="C252" s="11">
        <v>28</v>
      </c>
      <c r="D252" s="12">
        <v>1200</v>
      </c>
      <c r="E252" s="11">
        <v>1030</v>
      </c>
    </row>
    <row r="253" spans="1:5" x14ac:dyDescent="0.35">
      <c r="A253" s="12">
        <v>800</v>
      </c>
      <c r="B253" s="12">
        <v>820</v>
      </c>
      <c r="C253" s="11">
        <v>30</v>
      </c>
      <c r="D253" s="12">
        <v>1200</v>
      </c>
      <c r="E253" s="11">
        <v>1101</v>
      </c>
    </row>
    <row r="254" spans="1:5" x14ac:dyDescent="0.35">
      <c r="A254" s="12">
        <v>800</v>
      </c>
      <c r="B254" s="12">
        <v>820</v>
      </c>
      <c r="C254" s="11">
        <v>32</v>
      </c>
      <c r="D254" s="12">
        <v>1200</v>
      </c>
      <c r="E254" s="11">
        <v>1171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E43" sqref="E43"/>
    </sheetView>
  </sheetViews>
  <sheetFormatPr defaultRowHeight="14.5" x14ac:dyDescent="0.35"/>
  <sheetData>
    <row r="1" spans="1:6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2982</v>
      </c>
      <c r="F1" s="11" t="s">
        <v>2387</v>
      </c>
    </row>
    <row r="2" spans="1:6" x14ac:dyDescent="0.35">
      <c r="A2" s="11">
        <v>40</v>
      </c>
      <c r="B2" s="11">
        <v>45</v>
      </c>
      <c r="C2" s="11">
        <v>2.5</v>
      </c>
      <c r="D2" s="11">
        <v>60</v>
      </c>
      <c r="E2">
        <v>4</v>
      </c>
      <c r="F2" s="11">
        <v>0.3</v>
      </c>
    </row>
    <row r="3" spans="1:6" x14ac:dyDescent="0.35">
      <c r="A3" s="12">
        <v>50</v>
      </c>
      <c r="B3" s="12">
        <v>57</v>
      </c>
      <c r="C3" s="11">
        <v>3</v>
      </c>
      <c r="D3" s="12">
        <v>75</v>
      </c>
      <c r="E3">
        <v>4</v>
      </c>
      <c r="F3" s="11">
        <v>0.5</v>
      </c>
    </row>
    <row r="4" spans="1:6" x14ac:dyDescent="0.35">
      <c r="A4" s="12">
        <v>65</v>
      </c>
      <c r="B4" s="12">
        <v>76</v>
      </c>
      <c r="C4" s="11">
        <v>3.5</v>
      </c>
      <c r="D4" s="12">
        <v>100</v>
      </c>
      <c r="E4">
        <v>4</v>
      </c>
      <c r="F4" s="11">
        <v>1</v>
      </c>
    </row>
    <row r="5" spans="1:6" x14ac:dyDescent="0.35">
      <c r="A5" s="12">
        <v>80</v>
      </c>
      <c r="B5" s="12">
        <v>89</v>
      </c>
      <c r="C5" s="11">
        <v>3.5</v>
      </c>
      <c r="D5" s="12">
        <v>120</v>
      </c>
      <c r="E5">
        <v>4</v>
      </c>
      <c r="F5" s="11">
        <v>1.4</v>
      </c>
    </row>
    <row r="6" spans="1:6" x14ac:dyDescent="0.35">
      <c r="A6" s="11">
        <v>100</v>
      </c>
      <c r="B6" s="11">
        <v>108</v>
      </c>
      <c r="C6" s="11">
        <v>4</v>
      </c>
      <c r="D6" s="11">
        <v>150</v>
      </c>
      <c r="E6">
        <v>4</v>
      </c>
      <c r="F6" s="11">
        <v>2.5</v>
      </c>
    </row>
    <row r="7" spans="1:6" x14ac:dyDescent="0.35">
      <c r="A7" s="12">
        <v>125</v>
      </c>
      <c r="B7" s="12">
        <v>133</v>
      </c>
      <c r="C7" s="11">
        <v>4</v>
      </c>
      <c r="D7" s="12">
        <v>190</v>
      </c>
      <c r="E7">
        <v>4</v>
      </c>
      <c r="F7" s="11">
        <v>3.8</v>
      </c>
    </row>
    <row r="8" spans="1:6" x14ac:dyDescent="0.35">
      <c r="A8" s="12">
        <v>150</v>
      </c>
      <c r="B8" s="12">
        <v>159</v>
      </c>
      <c r="C8" s="11">
        <v>6</v>
      </c>
      <c r="D8" s="12">
        <v>225</v>
      </c>
      <c r="E8">
        <v>4</v>
      </c>
      <c r="F8" s="11">
        <v>8.4</v>
      </c>
    </row>
    <row r="9" spans="1:6" x14ac:dyDescent="0.35">
      <c r="A9" s="12">
        <v>200</v>
      </c>
      <c r="B9" s="12">
        <v>219</v>
      </c>
      <c r="C9" s="11">
        <v>8</v>
      </c>
      <c r="D9" s="12">
        <v>300</v>
      </c>
      <c r="E9">
        <v>4</v>
      </c>
      <c r="F9" s="11">
        <v>19.899999999999999</v>
      </c>
    </row>
    <row r="10" spans="1:6" x14ac:dyDescent="0.35">
      <c r="A10" s="12">
        <v>250</v>
      </c>
      <c r="B10" s="12">
        <v>273</v>
      </c>
      <c r="C10" s="11">
        <v>10</v>
      </c>
      <c r="D10" s="12">
        <v>375</v>
      </c>
      <c r="E10">
        <v>4</v>
      </c>
      <c r="F10" s="11">
        <v>39.4</v>
      </c>
    </row>
    <row r="11" spans="1:6" x14ac:dyDescent="0.35">
      <c r="A11" s="11">
        <v>300</v>
      </c>
      <c r="B11" s="11">
        <v>325</v>
      </c>
      <c r="C11" s="11">
        <v>10</v>
      </c>
      <c r="D11" s="11">
        <v>450</v>
      </c>
      <c r="E11">
        <v>4</v>
      </c>
      <c r="F11" s="11">
        <v>54.9</v>
      </c>
    </row>
    <row r="12" spans="1:6" x14ac:dyDescent="0.35">
      <c r="A12" s="12">
        <v>350</v>
      </c>
      <c r="B12" s="12">
        <v>377</v>
      </c>
      <c r="C12" s="11">
        <v>10</v>
      </c>
      <c r="D12" s="12">
        <v>525</v>
      </c>
      <c r="E12">
        <v>4</v>
      </c>
      <c r="F12" s="11">
        <v>74.599999999999994</v>
      </c>
    </row>
    <row r="13" spans="1:6" x14ac:dyDescent="0.35">
      <c r="A13" s="12">
        <v>400</v>
      </c>
      <c r="B13" s="12">
        <v>426</v>
      </c>
      <c r="C13" s="11">
        <v>10</v>
      </c>
      <c r="D13" s="12">
        <v>600</v>
      </c>
      <c r="E13" s="12">
        <v>4</v>
      </c>
      <c r="F13" s="11">
        <v>121</v>
      </c>
    </row>
    <row r="14" spans="1:6" x14ac:dyDescent="0.35">
      <c r="A14" s="12">
        <v>500</v>
      </c>
      <c r="B14" s="12">
        <v>530</v>
      </c>
      <c r="C14" s="11">
        <v>12</v>
      </c>
      <c r="D14" s="12">
        <v>500</v>
      </c>
      <c r="E14">
        <v>2.5</v>
      </c>
      <c r="F14" s="11">
        <v>130</v>
      </c>
    </row>
    <row r="15" spans="1:6" x14ac:dyDescent="0.35">
      <c r="A15" s="12">
        <v>500</v>
      </c>
      <c r="B15" s="12">
        <v>530</v>
      </c>
      <c r="C15" s="11">
        <v>10</v>
      </c>
      <c r="D15" s="12">
        <v>500</v>
      </c>
      <c r="E15">
        <v>1.6</v>
      </c>
      <c r="F15" s="11">
        <v>120</v>
      </c>
    </row>
    <row r="16" spans="1:6" x14ac:dyDescent="0.35">
      <c r="A16" s="12">
        <v>600</v>
      </c>
      <c r="B16" s="12">
        <v>630</v>
      </c>
      <c r="C16" s="11">
        <v>12</v>
      </c>
      <c r="D16" s="12">
        <v>600</v>
      </c>
      <c r="E16">
        <v>2.5</v>
      </c>
      <c r="F16" s="11">
        <v>195.5</v>
      </c>
    </row>
    <row r="17" spans="1:6" x14ac:dyDescent="0.35">
      <c r="A17" s="12"/>
      <c r="B17" s="12"/>
      <c r="C17" s="11"/>
      <c r="D17" s="12"/>
      <c r="F17" s="11"/>
    </row>
    <row r="18" spans="1:6" x14ac:dyDescent="0.35">
      <c r="A18" s="12"/>
      <c r="B18" s="12"/>
      <c r="C18" s="11"/>
      <c r="D18" s="12"/>
      <c r="F18" s="11"/>
    </row>
    <row r="19" spans="1:6" x14ac:dyDescent="0.35">
      <c r="A19" s="12"/>
      <c r="B19" s="12"/>
      <c r="C19" s="11"/>
      <c r="D19" s="12"/>
      <c r="F19" s="11"/>
    </row>
    <row r="20" spans="1:6" x14ac:dyDescent="0.35">
      <c r="A20" s="12"/>
      <c r="B20" s="12"/>
      <c r="C20" s="11"/>
      <c r="D20" s="12"/>
      <c r="F20" s="11"/>
    </row>
    <row r="21" spans="1:6" x14ac:dyDescent="0.35">
      <c r="A21" s="12"/>
      <c r="B21" s="12"/>
      <c r="C21" s="11"/>
      <c r="D21" s="12"/>
      <c r="F21" s="11"/>
    </row>
    <row r="22" spans="1:6" x14ac:dyDescent="0.35">
      <c r="A22" s="12"/>
      <c r="B22" s="12"/>
      <c r="C22" s="11"/>
      <c r="D22" s="12"/>
      <c r="F22" s="11"/>
    </row>
    <row r="23" spans="1:6" x14ac:dyDescent="0.35">
      <c r="A23" s="12"/>
      <c r="B23" s="12"/>
      <c r="C23" s="11"/>
      <c r="D23" s="12"/>
      <c r="F23" s="11"/>
    </row>
    <row r="24" spans="1:6" x14ac:dyDescent="0.35">
      <c r="A24" s="11"/>
      <c r="B24" s="11"/>
      <c r="C24" s="11"/>
      <c r="D24" s="11"/>
      <c r="F24" s="11"/>
    </row>
    <row r="25" spans="1:6" x14ac:dyDescent="0.35">
      <c r="A25" s="12"/>
      <c r="B25" s="12"/>
      <c r="C25" s="11"/>
      <c r="D25" s="12"/>
      <c r="F25" s="11"/>
    </row>
    <row r="26" spans="1:6" x14ac:dyDescent="0.35">
      <c r="A26" s="12"/>
      <c r="B26" s="12"/>
      <c r="C26" s="11"/>
      <c r="D26" s="12"/>
      <c r="F26" s="11"/>
    </row>
    <row r="27" spans="1:6" x14ac:dyDescent="0.35">
      <c r="A27" s="12"/>
      <c r="B27" s="12"/>
      <c r="C27" s="11"/>
      <c r="D27" s="12"/>
      <c r="F27" s="11"/>
    </row>
    <row r="28" spans="1:6" x14ac:dyDescent="0.35">
      <c r="A28" s="12"/>
      <c r="B28" s="12"/>
      <c r="C28" s="11"/>
      <c r="D28" s="12"/>
      <c r="F28" s="11"/>
    </row>
    <row r="29" spans="1:6" x14ac:dyDescent="0.35">
      <c r="A29" s="12"/>
      <c r="B29" s="12"/>
      <c r="C29" s="11"/>
      <c r="D29" s="12"/>
      <c r="F29" s="11"/>
    </row>
    <row r="30" spans="1:6" x14ac:dyDescent="0.35">
      <c r="A30" s="12"/>
      <c r="B30" s="12"/>
      <c r="C30" s="11"/>
      <c r="D30" s="12"/>
      <c r="F30" s="11"/>
    </row>
    <row r="31" spans="1:6" x14ac:dyDescent="0.35">
      <c r="A31" s="12"/>
      <c r="B31" s="12"/>
      <c r="C31" s="11"/>
      <c r="D31" s="12"/>
      <c r="F31" s="11"/>
    </row>
    <row r="32" spans="1:6" x14ac:dyDescent="0.35">
      <c r="A32" s="12"/>
      <c r="B32" s="12"/>
      <c r="C32" s="11"/>
      <c r="D32" s="12"/>
      <c r="F32" s="11"/>
    </row>
    <row r="33" spans="1:6" x14ac:dyDescent="0.35">
      <c r="A33" s="11"/>
      <c r="B33" s="11"/>
      <c r="C33" s="11"/>
      <c r="D33" s="11"/>
      <c r="F33" s="11"/>
    </row>
    <row r="34" spans="1:6" x14ac:dyDescent="0.35">
      <c r="A34" s="12"/>
      <c r="B34" s="12"/>
      <c r="C34" s="11"/>
      <c r="D34" s="12"/>
      <c r="F34" s="11"/>
    </row>
    <row r="35" spans="1:6" x14ac:dyDescent="0.35">
      <c r="A35" s="12"/>
      <c r="B35" s="12"/>
      <c r="C35" s="11"/>
      <c r="D35" s="12"/>
      <c r="F35" s="11"/>
    </row>
    <row r="36" spans="1:6" x14ac:dyDescent="0.35">
      <c r="A36" s="12"/>
      <c r="B36" s="12"/>
      <c r="C36" s="11"/>
      <c r="D36" s="12"/>
      <c r="F36" s="11"/>
    </row>
    <row r="37" spans="1:6" x14ac:dyDescent="0.35">
      <c r="A37" s="12"/>
      <c r="B37" s="12"/>
      <c r="C37" s="11"/>
      <c r="D37" s="12"/>
      <c r="F37" s="11"/>
    </row>
    <row r="38" spans="1:6" x14ac:dyDescent="0.35">
      <c r="A38" s="12"/>
      <c r="B38" s="12"/>
      <c r="C38" s="11"/>
      <c r="D38" s="12"/>
      <c r="F38" s="11"/>
    </row>
    <row r="39" spans="1:6" x14ac:dyDescent="0.35">
      <c r="A39" s="12"/>
      <c r="B39" s="12"/>
      <c r="C39" s="11"/>
      <c r="D39" s="12"/>
      <c r="F39" s="11"/>
    </row>
    <row r="40" spans="1:6" x14ac:dyDescent="0.35">
      <c r="A40" s="12"/>
      <c r="B40" s="12"/>
      <c r="C40" s="11"/>
      <c r="D40" s="12"/>
      <c r="F40" s="11"/>
    </row>
    <row r="41" spans="1:6" x14ac:dyDescent="0.35">
      <c r="A41" s="12"/>
      <c r="B41" s="12"/>
      <c r="C41" s="11"/>
      <c r="D41" s="12"/>
      <c r="F41" s="11"/>
    </row>
    <row r="42" spans="1:6" x14ac:dyDescent="0.35">
      <c r="A42" s="11"/>
      <c r="B42" s="11"/>
      <c r="C42" s="11"/>
      <c r="D42" s="11"/>
      <c r="F42" s="11"/>
    </row>
    <row r="43" spans="1:6" x14ac:dyDescent="0.35">
      <c r="A43" s="12"/>
      <c r="B43" s="12"/>
      <c r="C43" s="11"/>
      <c r="D43" s="12"/>
      <c r="F43" s="11"/>
    </row>
    <row r="44" spans="1:6" x14ac:dyDescent="0.35">
      <c r="A44" s="12"/>
      <c r="B44" s="12"/>
      <c r="C44" s="11"/>
      <c r="D44" s="12"/>
      <c r="F44" s="11"/>
    </row>
    <row r="45" spans="1:6" x14ac:dyDescent="0.35">
      <c r="A45" s="12"/>
      <c r="B45" s="12"/>
      <c r="C45" s="11"/>
      <c r="D45" s="12"/>
      <c r="F45" s="11"/>
    </row>
    <row r="46" spans="1:6" x14ac:dyDescent="0.35">
      <c r="A46" s="12"/>
      <c r="B46" s="12"/>
      <c r="C46" s="11"/>
      <c r="D46" s="12"/>
      <c r="F46" s="11"/>
    </row>
    <row r="47" spans="1:6" x14ac:dyDescent="0.35">
      <c r="A47" s="12"/>
      <c r="B47" s="12"/>
      <c r="C47" s="11"/>
      <c r="D47" s="12"/>
      <c r="F47" s="11"/>
    </row>
    <row r="48" spans="1:6" x14ac:dyDescent="0.35">
      <c r="A48" s="12"/>
      <c r="B48" s="12"/>
      <c r="C48" s="11"/>
      <c r="D48" s="12"/>
      <c r="F48" s="11"/>
    </row>
    <row r="49" spans="1:6" x14ac:dyDescent="0.35">
      <c r="A49" s="12"/>
      <c r="B49" s="12"/>
      <c r="C49" s="11"/>
      <c r="D49" s="12"/>
      <c r="F49" s="11"/>
    </row>
    <row r="50" spans="1:6" x14ac:dyDescent="0.35">
      <c r="A50" s="12"/>
      <c r="B50" s="12"/>
      <c r="C50" s="11"/>
      <c r="D50" s="12"/>
      <c r="F50" s="11"/>
    </row>
    <row r="51" spans="1:6" x14ac:dyDescent="0.35">
      <c r="A51" s="12"/>
      <c r="B51" s="11"/>
      <c r="C51" s="11"/>
      <c r="D51" s="12"/>
      <c r="F51" s="11"/>
    </row>
    <row r="52" spans="1:6" x14ac:dyDescent="0.35">
      <c r="A52" s="12"/>
      <c r="B52" s="12"/>
      <c r="C52" s="11"/>
      <c r="D52" s="12"/>
      <c r="F52" s="11"/>
    </row>
    <row r="53" spans="1:6" x14ac:dyDescent="0.35">
      <c r="A53" s="12"/>
      <c r="B53" s="12"/>
      <c r="C53" s="11"/>
      <c r="D53" s="12"/>
      <c r="F53" s="11"/>
    </row>
    <row r="54" spans="1:6" x14ac:dyDescent="0.35">
      <c r="A54" s="12"/>
      <c r="B54" s="12"/>
      <c r="C54" s="11"/>
      <c r="D54" s="12"/>
      <c r="F54" s="11"/>
    </row>
    <row r="55" spans="1:6" x14ac:dyDescent="0.35">
      <c r="A55" s="12"/>
      <c r="B55" s="12"/>
      <c r="C55" s="11"/>
      <c r="D55" s="12"/>
      <c r="F55" s="11"/>
    </row>
    <row r="56" spans="1:6" x14ac:dyDescent="0.35">
      <c r="A56" s="12"/>
      <c r="B56" s="12"/>
      <c r="C56" s="11"/>
      <c r="D56" s="12"/>
      <c r="F56" s="11"/>
    </row>
    <row r="57" spans="1:6" x14ac:dyDescent="0.35">
      <c r="A57" s="12"/>
      <c r="B57" s="12"/>
      <c r="C57" s="11"/>
      <c r="D57" s="12"/>
      <c r="F57" s="11"/>
    </row>
    <row r="58" spans="1:6" x14ac:dyDescent="0.35">
      <c r="A58" s="12"/>
      <c r="B58" s="12"/>
      <c r="C58" s="11"/>
      <c r="D58" s="12"/>
      <c r="F58" s="11"/>
    </row>
    <row r="59" spans="1:6" x14ac:dyDescent="0.35">
      <c r="A59" s="12"/>
      <c r="B59" s="12"/>
      <c r="C59" s="11"/>
      <c r="D59" s="12"/>
      <c r="F59" s="11"/>
    </row>
    <row r="60" spans="1:6" x14ac:dyDescent="0.35">
      <c r="A60" s="12"/>
      <c r="B60" s="11"/>
      <c r="C60" s="11"/>
      <c r="D60" s="12"/>
      <c r="F60" s="11"/>
    </row>
    <row r="61" spans="1:6" x14ac:dyDescent="0.35">
      <c r="A61" s="12"/>
      <c r="B61" s="12"/>
      <c r="C61" s="11"/>
      <c r="D61" s="12"/>
      <c r="F61" s="11"/>
    </row>
    <row r="62" spans="1:6" x14ac:dyDescent="0.35">
      <c r="A62" s="12"/>
      <c r="B62" s="12"/>
      <c r="C62" s="11"/>
      <c r="D62" s="12"/>
      <c r="F62" s="11"/>
    </row>
    <row r="63" spans="1:6" x14ac:dyDescent="0.35">
      <c r="A63" s="12"/>
      <c r="B63" s="12"/>
      <c r="C63" s="11"/>
      <c r="D63" s="12"/>
      <c r="F63" s="11"/>
    </row>
    <row r="64" spans="1:6" x14ac:dyDescent="0.35">
      <c r="A64" s="12"/>
      <c r="B64" s="12"/>
      <c r="C64" s="11"/>
      <c r="D64" s="12"/>
      <c r="F64" s="11"/>
    </row>
    <row r="65" spans="1:6" x14ac:dyDescent="0.35">
      <c r="A65" s="12"/>
      <c r="B65" s="12"/>
      <c r="C65" s="11"/>
      <c r="D65" s="12"/>
      <c r="F65" s="11"/>
    </row>
    <row r="66" spans="1:6" x14ac:dyDescent="0.35">
      <c r="A66" s="12"/>
      <c r="B66" s="12"/>
      <c r="C66" s="11"/>
      <c r="D66" s="12"/>
      <c r="F66" s="11"/>
    </row>
    <row r="67" spans="1:6" x14ac:dyDescent="0.35">
      <c r="A67" s="12"/>
      <c r="B67" s="12"/>
      <c r="C67" s="11"/>
      <c r="D67" s="12"/>
      <c r="F67" s="11"/>
    </row>
    <row r="68" spans="1:6" x14ac:dyDescent="0.35">
      <c r="A68" s="12"/>
      <c r="B68" s="12"/>
      <c r="C68" s="11"/>
      <c r="D68" s="12"/>
      <c r="F68" s="11"/>
    </row>
    <row r="69" spans="1:6" x14ac:dyDescent="0.35">
      <c r="A69" s="11"/>
      <c r="B69" s="11"/>
      <c r="C69" s="11"/>
      <c r="D69" s="11"/>
      <c r="F69" s="11"/>
    </row>
    <row r="70" spans="1:6" x14ac:dyDescent="0.35">
      <c r="A70" s="12"/>
      <c r="B70" s="12"/>
      <c r="C70" s="11"/>
      <c r="D70" s="12"/>
      <c r="F70" s="11"/>
    </row>
    <row r="71" spans="1:6" x14ac:dyDescent="0.35">
      <c r="A71" s="12"/>
      <c r="B71" s="12"/>
      <c r="C71" s="11"/>
      <c r="D71" s="12"/>
      <c r="F71" s="11"/>
    </row>
    <row r="72" spans="1:6" x14ac:dyDescent="0.35">
      <c r="A72" s="12"/>
      <c r="B72" s="12"/>
      <c r="C72" s="11"/>
      <c r="D72" s="12"/>
      <c r="F72" s="11"/>
    </row>
    <row r="73" spans="1:6" x14ac:dyDescent="0.35">
      <c r="A73" s="12"/>
      <c r="B73" s="12"/>
      <c r="C73" s="11"/>
      <c r="D73" s="12"/>
      <c r="F73" s="11"/>
    </row>
    <row r="74" spans="1:6" x14ac:dyDescent="0.35">
      <c r="A74" s="12"/>
      <c r="B74" s="12"/>
      <c r="C74" s="11"/>
      <c r="D74" s="12"/>
      <c r="F74" s="11"/>
    </row>
    <row r="75" spans="1:6" x14ac:dyDescent="0.35">
      <c r="A75" s="12"/>
      <c r="B75" s="12"/>
      <c r="C75" s="11"/>
      <c r="D75" s="12"/>
      <c r="F75" s="11"/>
    </row>
    <row r="76" spans="1:6" x14ac:dyDescent="0.35">
      <c r="A76" s="12"/>
      <c r="B76" s="12"/>
      <c r="C76" s="11"/>
      <c r="D76" s="12"/>
      <c r="F76" s="11"/>
    </row>
    <row r="77" spans="1:6" x14ac:dyDescent="0.35">
      <c r="A77" s="12"/>
      <c r="B77" s="12"/>
      <c r="C77" s="11"/>
      <c r="D77" s="12"/>
      <c r="F77" s="11"/>
    </row>
    <row r="78" spans="1:6" x14ac:dyDescent="0.35">
      <c r="A78" s="12"/>
      <c r="B78" s="12"/>
      <c r="C78" s="11"/>
      <c r="D78" s="12"/>
      <c r="F78" s="11"/>
    </row>
    <row r="79" spans="1:6" x14ac:dyDescent="0.35">
      <c r="A79" s="12"/>
      <c r="B79" s="12"/>
      <c r="C79" s="11"/>
      <c r="D79" s="12"/>
      <c r="F79" s="11"/>
    </row>
    <row r="80" spans="1:6" x14ac:dyDescent="0.35">
      <c r="A80" s="11"/>
      <c r="B80" s="11"/>
      <c r="C80" s="11"/>
      <c r="D80" s="11"/>
      <c r="F80" s="11"/>
    </row>
    <row r="81" spans="1:6" x14ac:dyDescent="0.35">
      <c r="A81" s="12"/>
      <c r="B81" s="12"/>
      <c r="C81" s="11"/>
      <c r="D81" s="12"/>
      <c r="F81" s="11"/>
    </row>
    <row r="82" spans="1:6" x14ac:dyDescent="0.35">
      <c r="A82" s="12"/>
      <c r="B82" s="12"/>
      <c r="C82" s="11"/>
      <c r="D82" s="12"/>
      <c r="F82" s="11"/>
    </row>
    <row r="83" spans="1:6" x14ac:dyDescent="0.35">
      <c r="A83" s="12"/>
      <c r="B83" s="12"/>
      <c r="C83" s="11"/>
      <c r="D83" s="12"/>
      <c r="F83" s="11"/>
    </row>
    <row r="84" spans="1:6" x14ac:dyDescent="0.35">
      <c r="A84" s="12"/>
      <c r="B84" s="12"/>
      <c r="C84" s="11"/>
      <c r="D84" s="12"/>
      <c r="F84" s="11"/>
    </row>
    <row r="85" spans="1:6" x14ac:dyDescent="0.35">
      <c r="A85" s="12"/>
      <c r="B85" s="12"/>
      <c r="C85" s="11"/>
      <c r="D85" s="12"/>
      <c r="F85" s="11"/>
    </row>
    <row r="86" spans="1:6" x14ac:dyDescent="0.35">
      <c r="A86" s="12"/>
      <c r="B86" s="12"/>
      <c r="C86" s="11"/>
      <c r="D86" s="12"/>
      <c r="F86" s="11"/>
    </row>
    <row r="87" spans="1:6" x14ac:dyDescent="0.35">
      <c r="A87" s="12"/>
      <c r="B87" s="12"/>
      <c r="C87" s="11"/>
      <c r="D87" s="12"/>
      <c r="F87" s="11"/>
    </row>
    <row r="88" spans="1:6" x14ac:dyDescent="0.35">
      <c r="A88" s="12"/>
      <c r="B88" s="12"/>
      <c r="C88" s="11"/>
      <c r="D88" s="12"/>
      <c r="F88" s="11"/>
    </row>
    <row r="89" spans="1:6" x14ac:dyDescent="0.35">
      <c r="A89" s="12"/>
      <c r="B89" s="12"/>
      <c r="C89" s="11"/>
      <c r="D89" s="12"/>
      <c r="F89" s="11"/>
    </row>
    <row r="90" spans="1:6" x14ac:dyDescent="0.35">
      <c r="A90" s="12"/>
      <c r="B90" s="12"/>
      <c r="C90" s="11"/>
      <c r="D90" s="12"/>
      <c r="F90" s="11"/>
    </row>
    <row r="91" spans="1:6" x14ac:dyDescent="0.35">
      <c r="A91" s="12"/>
      <c r="B91" s="12"/>
      <c r="C91" s="11"/>
      <c r="D91" s="12"/>
      <c r="F91" s="11"/>
    </row>
    <row r="92" spans="1:6" x14ac:dyDescent="0.35">
      <c r="A92" s="12"/>
      <c r="B92" s="11"/>
      <c r="C92" s="11"/>
      <c r="D92" s="12"/>
      <c r="F92" s="11"/>
    </row>
    <row r="93" spans="1:6" x14ac:dyDescent="0.35">
      <c r="A93" s="12"/>
      <c r="B93" s="12"/>
      <c r="C93" s="11"/>
      <c r="D93" s="12"/>
      <c r="F93" s="11"/>
    </row>
    <row r="94" spans="1:6" x14ac:dyDescent="0.35">
      <c r="A94" s="12"/>
      <c r="B94" s="12"/>
      <c r="C94" s="11"/>
      <c r="D94" s="12"/>
      <c r="F94" s="11"/>
    </row>
    <row r="95" spans="1:6" x14ac:dyDescent="0.35">
      <c r="A95" s="12"/>
      <c r="B95" s="12"/>
      <c r="C95" s="11"/>
      <c r="D95" s="12"/>
      <c r="F95" s="11"/>
    </row>
    <row r="96" spans="1:6" x14ac:dyDescent="0.35">
      <c r="A96" s="12"/>
      <c r="B96" s="12"/>
      <c r="C96" s="11"/>
      <c r="D96" s="12"/>
      <c r="F96" s="11"/>
    </row>
    <row r="97" spans="1:6" x14ac:dyDescent="0.35">
      <c r="A97" s="12"/>
      <c r="B97" s="12"/>
      <c r="C97" s="11"/>
      <c r="D97" s="12"/>
      <c r="F97" s="11"/>
    </row>
    <row r="98" spans="1:6" x14ac:dyDescent="0.35">
      <c r="A98" s="12"/>
      <c r="B98" s="12"/>
      <c r="C98" s="11"/>
      <c r="D98" s="12"/>
      <c r="F98" s="11"/>
    </row>
    <row r="99" spans="1:6" x14ac:dyDescent="0.35">
      <c r="A99" s="12"/>
      <c r="B99" s="12"/>
      <c r="C99" s="11"/>
      <c r="D99" s="12"/>
      <c r="F99" s="11"/>
    </row>
    <row r="100" spans="1:6" x14ac:dyDescent="0.35">
      <c r="A100" s="12"/>
      <c r="B100" s="12"/>
      <c r="C100" s="11"/>
      <c r="D100" s="12"/>
      <c r="F100" s="11"/>
    </row>
    <row r="101" spans="1:6" x14ac:dyDescent="0.35">
      <c r="A101" s="12"/>
      <c r="B101" s="12"/>
      <c r="C101" s="11"/>
      <c r="D101" s="12"/>
      <c r="F101" s="11"/>
    </row>
    <row r="102" spans="1:6" x14ac:dyDescent="0.35">
      <c r="A102" s="12"/>
      <c r="B102" s="12"/>
      <c r="C102" s="11"/>
      <c r="D102" s="12"/>
      <c r="F102" s="11"/>
    </row>
    <row r="103" spans="1:6" x14ac:dyDescent="0.35">
      <c r="A103" s="12"/>
      <c r="B103" s="12"/>
      <c r="C103" s="11"/>
      <c r="D103" s="12"/>
      <c r="F103" s="11"/>
    </row>
    <row r="104" spans="1:6" x14ac:dyDescent="0.35">
      <c r="A104" s="11"/>
      <c r="B104" s="11"/>
      <c r="C104" s="11"/>
      <c r="D104" s="11"/>
      <c r="F104" s="11"/>
    </row>
    <row r="105" spans="1:6" x14ac:dyDescent="0.35">
      <c r="A105" s="12"/>
      <c r="B105" s="12"/>
      <c r="C105" s="11"/>
      <c r="D105" s="12"/>
      <c r="F105" s="11"/>
    </row>
    <row r="106" spans="1:6" x14ac:dyDescent="0.35">
      <c r="A106" s="12"/>
      <c r="B106" s="12"/>
      <c r="C106" s="11"/>
      <c r="D106" s="12"/>
      <c r="F106" s="11"/>
    </row>
    <row r="107" spans="1:6" x14ac:dyDescent="0.35">
      <c r="A107" s="12"/>
      <c r="B107" s="12"/>
      <c r="C107" s="11"/>
      <c r="D107" s="12"/>
      <c r="F107" s="11"/>
    </row>
    <row r="108" spans="1:6" x14ac:dyDescent="0.35">
      <c r="A108" s="12"/>
      <c r="B108" s="12"/>
      <c r="C108" s="11"/>
      <c r="D108" s="12"/>
      <c r="F108" s="11"/>
    </row>
    <row r="109" spans="1:6" x14ac:dyDescent="0.35">
      <c r="A109" s="12"/>
      <c r="B109" s="12"/>
      <c r="C109" s="11"/>
      <c r="D109" s="12"/>
      <c r="F109" s="11"/>
    </row>
    <row r="110" spans="1:6" x14ac:dyDescent="0.35">
      <c r="A110" s="12"/>
      <c r="B110" s="12"/>
      <c r="C110" s="11"/>
      <c r="D110" s="12"/>
      <c r="F110" s="11"/>
    </row>
    <row r="111" spans="1:6" x14ac:dyDescent="0.35">
      <c r="A111" s="12"/>
      <c r="B111" s="12"/>
      <c r="C111" s="11"/>
      <c r="D111" s="12"/>
      <c r="F111" s="11"/>
    </row>
    <row r="112" spans="1:6" x14ac:dyDescent="0.35">
      <c r="A112" s="12"/>
      <c r="B112" s="12"/>
      <c r="C112" s="11"/>
      <c r="D112" s="12"/>
      <c r="F112" s="11"/>
    </row>
    <row r="113" spans="1:6" x14ac:dyDescent="0.35">
      <c r="A113" s="12"/>
      <c r="B113" s="12"/>
      <c r="C113" s="11"/>
      <c r="D113" s="12"/>
      <c r="F113" s="11"/>
    </row>
    <row r="114" spans="1:6" x14ac:dyDescent="0.35">
      <c r="A114" s="12"/>
      <c r="B114" s="12"/>
      <c r="C114" s="11"/>
      <c r="D114" s="12"/>
      <c r="F114" s="11"/>
    </row>
    <row r="115" spans="1:6" x14ac:dyDescent="0.35">
      <c r="A115" s="12"/>
      <c r="B115" s="12"/>
      <c r="C115" s="11"/>
      <c r="D115" s="12"/>
      <c r="F115" s="11"/>
    </row>
    <row r="116" spans="1:6" x14ac:dyDescent="0.35">
      <c r="A116" s="12"/>
      <c r="B116" s="12"/>
      <c r="C116" s="11"/>
      <c r="D116" s="12"/>
      <c r="F116" s="11"/>
    </row>
    <row r="117" spans="1:6" x14ac:dyDescent="0.35">
      <c r="A117" s="12"/>
      <c r="B117" s="12"/>
      <c r="C117" s="11"/>
      <c r="D117" s="12"/>
      <c r="F117" s="11"/>
    </row>
    <row r="118" spans="1:6" x14ac:dyDescent="0.35">
      <c r="A118" s="11"/>
      <c r="B118" s="11"/>
      <c r="C118" s="11"/>
      <c r="D118" s="11"/>
      <c r="F118" s="11"/>
    </row>
    <row r="119" spans="1:6" x14ac:dyDescent="0.35">
      <c r="A119" s="12"/>
      <c r="B119" s="12"/>
      <c r="C119" s="11"/>
      <c r="D119" s="12"/>
      <c r="F119" s="11"/>
    </row>
    <row r="120" spans="1:6" x14ac:dyDescent="0.35">
      <c r="A120" s="12"/>
      <c r="B120" s="12"/>
      <c r="C120" s="11"/>
      <c r="D120" s="12"/>
      <c r="F120" s="11"/>
    </row>
    <row r="121" spans="1:6" x14ac:dyDescent="0.35">
      <c r="A121" s="12"/>
      <c r="B121" s="12"/>
      <c r="C121" s="11"/>
      <c r="D121" s="12"/>
      <c r="F121" s="11"/>
    </row>
    <row r="122" spans="1:6" x14ac:dyDescent="0.35">
      <c r="A122" s="12"/>
      <c r="B122" s="12"/>
      <c r="C122" s="11"/>
      <c r="D122" s="12"/>
      <c r="F122" s="11"/>
    </row>
    <row r="123" spans="1:6" x14ac:dyDescent="0.35">
      <c r="A123" s="12"/>
      <c r="B123" s="12"/>
      <c r="C123" s="11"/>
      <c r="D123" s="12"/>
      <c r="F123" s="11"/>
    </row>
    <row r="124" spans="1:6" x14ac:dyDescent="0.35">
      <c r="A124" s="12"/>
      <c r="B124" s="12"/>
      <c r="C124" s="11"/>
      <c r="D124" s="12"/>
      <c r="F124" s="11"/>
    </row>
    <row r="125" spans="1:6" x14ac:dyDescent="0.35">
      <c r="A125" s="12"/>
      <c r="B125" s="12"/>
      <c r="C125" s="11"/>
      <c r="D125" s="12"/>
      <c r="F125" s="11"/>
    </row>
    <row r="126" spans="1:6" x14ac:dyDescent="0.35">
      <c r="A126" s="12"/>
      <c r="B126" s="12"/>
      <c r="C126" s="11"/>
      <c r="D126" s="12"/>
      <c r="F126" s="11"/>
    </row>
    <row r="127" spans="1:6" x14ac:dyDescent="0.35">
      <c r="A127" s="12"/>
      <c r="B127" s="12"/>
      <c r="C127" s="11"/>
      <c r="D127" s="12"/>
      <c r="F127" s="11"/>
    </row>
    <row r="128" spans="1:6" x14ac:dyDescent="0.35">
      <c r="A128" s="12"/>
      <c r="B128" s="12"/>
      <c r="C128" s="11"/>
      <c r="D128" s="12"/>
      <c r="F128" s="11"/>
    </row>
    <row r="129" spans="1:6" x14ac:dyDescent="0.35">
      <c r="A129" s="12"/>
      <c r="B129" s="12"/>
      <c r="C129" s="11"/>
      <c r="D129" s="12"/>
      <c r="F129" s="11"/>
    </row>
    <row r="130" spans="1:6" x14ac:dyDescent="0.35">
      <c r="A130" s="12"/>
      <c r="B130" s="12"/>
      <c r="C130" s="11"/>
      <c r="D130" s="12"/>
      <c r="F130" s="11"/>
    </row>
    <row r="131" spans="1:6" x14ac:dyDescent="0.35">
      <c r="A131" s="12"/>
      <c r="B131" s="12"/>
      <c r="C131" s="11"/>
      <c r="D131" s="12"/>
      <c r="F131" s="11"/>
    </row>
    <row r="132" spans="1:6" x14ac:dyDescent="0.35">
      <c r="A132" s="12"/>
      <c r="B132" s="12"/>
      <c r="C132" s="11"/>
      <c r="D132" s="12"/>
      <c r="F132" s="11"/>
    </row>
    <row r="133" spans="1:6" x14ac:dyDescent="0.35">
      <c r="A133" s="11"/>
      <c r="B133" s="11"/>
      <c r="C133" s="11"/>
      <c r="D133" s="11"/>
      <c r="F133" s="11"/>
    </row>
    <row r="134" spans="1:6" x14ac:dyDescent="0.35">
      <c r="A134" s="12"/>
      <c r="B134" s="12"/>
      <c r="C134" s="11"/>
      <c r="D134" s="12"/>
      <c r="F134" s="11"/>
    </row>
    <row r="135" spans="1:6" x14ac:dyDescent="0.35">
      <c r="A135" s="12"/>
      <c r="B135" s="12"/>
      <c r="C135" s="11"/>
      <c r="D135" s="12"/>
      <c r="F135" s="11"/>
    </row>
    <row r="136" spans="1:6" x14ac:dyDescent="0.35">
      <c r="A136" s="12"/>
      <c r="B136" s="12"/>
      <c r="C136" s="11"/>
      <c r="D136" s="12"/>
      <c r="F136" s="11"/>
    </row>
    <row r="137" spans="1:6" x14ac:dyDescent="0.35">
      <c r="A137" s="12"/>
      <c r="B137" s="12"/>
      <c r="C137" s="11"/>
      <c r="D137" s="12"/>
      <c r="F137" s="11"/>
    </row>
    <row r="138" spans="1:6" x14ac:dyDescent="0.35">
      <c r="A138" s="12"/>
      <c r="B138" s="12"/>
      <c r="C138" s="11"/>
      <c r="D138" s="12"/>
      <c r="F138" s="11"/>
    </row>
    <row r="139" spans="1:6" x14ac:dyDescent="0.35">
      <c r="A139" s="12"/>
      <c r="B139" s="12"/>
      <c r="C139" s="11"/>
      <c r="D139" s="12"/>
      <c r="F139" s="11"/>
    </row>
    <row r="140" spans="1:6" x14ac:dyDescent="0.35">
      <c r="A140" s="12"/>
      <c r="B140" s="12"/>
      <c r="C140" s="11"/>
      <c r="D140" s="12"/>
      <c r="F140" s="11"/>
    </row>
    <row r="141" spans="1:6" x14ac:dyDescent="0.35">
      <c r="A141" s="12"/>
      <c r="B141" s="12"/>
      <c r="C141" s="11"/>
      <c r="D141" s="12"/>
      <c r="F141" s="11"/>
    </row>
    <row r="142" spans="1:6" x14ac:dyDescent="0.35">
      <c r="A142" s="12"/>
      <c r="B142" s="12"/>
      <c r="C142" s="11"/>
      <c r="D142" s="12"/>
      <c r="F142" s="11"/>
    </row>
    <row r="143" spans="1:6" x14ac:dyDescent="0.35">
      <c r="A143" s="12"/>
      <c r="B143" s="12"/>
      <c r="C143" s="11"/>
      <c r="D143" s="12"/>
      <c r="F143" s="11"/>
    </row>
    <row r="144" spans="1:6" x14ac:dyDescent="0.35">
      <c r="A144" s="12"/>
      <c r="B144" s="12"/>
      <c r="C144" s="11"/>
      <c r="D144" s="12"/>
      <c r="F144" s="11"/>
    </row>
    <row r="145" spans="1:6" x14ac:dyDescent="0.35">
      <c r="A145" s="12"/>
      <c r="B145" s="12"/>
      <c r="C145" s="11"/>
      <c r="D145" s="12"/>
      <c r="F145" s="11"/>
    </row>
    <row r="146" spans="1:6" x14ac:dyDescent="0.35">
      <c r="A146" s="12"/>
      <c r="B146" s="12"/>
      <c r="C146" s="11"/>
      <c r="D146" s="12"/>
      <c r="F146" s="11"/>
    </row>
    <row r="147" spans="1:6" x14ac:dyDescent="0.35">
      <c r="A147" s="12"/>
      <c r="B147" s="12"/>
      <c r="C147" s="11"/>
      <c r="D147" s="12"/>
      <c r="F147" s="11"/>
    </row>
    <row r="148" spans="1:6" x14ac:dyDescent="0.35">
      <c r="A148" s="12"/>
      <c r="B148" s="12"/>
      <c r="C148" s="11"/>
      <c r="D148" s="12"/>
      <c r="F148" s="11"/>
    </row>
    <row r="149" spans="1:6" x14ac:dyDescent="0.35">
      <c r="A149" s="12"/>
      <c r="B149" s="12"/>
      <c r="C149" s="11"/>
      <c r="D149" s="12"/>
      <c r="F149" s="11"/>
    </row>
    <row r="150" spans="1:6" x14ac:dyDescent="0.35">
      <c r="A150" s="11"/>
      <c r="B150" s="11"/>
      <c r="C150" s="11"/>
      <c r="D150" s="11"/>
      <c r="F150" s="11"/>
    </row>
    <row r="151" spans="1:6" x14ac:dyDescent="0.35">
      <c r="A151" s="12"/>
      <c r="B151" s="12"/>
      <c r="C151" s="11"/>
      <c r="D151" s="12"/>
      <c r="F151" s="11"/>
    </row>
    <row r="152" spans="1:6" x14ac:dyDescent="0.35">
      <c r="A152" s="12"/>
      <c r="B152" s="12"/>
      <c r="C152" s="11"/>
      <c r="D152" s="12"/>
      <c r="F152" s="11"/>
    </row>
    <row r="153" spans="1:6" x14ac:dyDescent="0.35">
      <c r="A153" s="12"/>
      <c r="B153" s="12"/>
      <c r="C153" s="11"/>
      <c r="D153" s="12"/>
      <c r="F153" s="11"/>
    </row>
    <row r="154" spans="1:6" x14ac:dyDescent="0.35">
      <c r="A154" s="12"/>
      <c r="B154" s="12"/>
      <c r="C154" s="11"/>
      <c r="D154" s="12"/>
      <c r="F154" s="11"/>
    </row>
    <row r="155" spans="1:6" x14ac:dyDescent="0.35">
      <c r="A155" s="12"/>
      <c r="B155" s="12"/>
      <c r="C155" s="11"/>
      <c r="D155" s="12"/>
      <c r="F155" s="11"/>
    </row>
    <row r="156" spans="1:6" x14ac:dyDescent="0.35">
      <c r="A156" s="12"/>
      <c r="B156" s="12"/>
      <c r="C156" s="11"/>
      <c r="D156" s="12"/>
      <c r="F156" s="11"/>
    </row>
    <row r="157" spans="1:6" x14ac:dyDescent="0.35">
      <c r="A157" s="12"/>
      <c r="B157" s="12"/>
      <c r="C157" s="11"/>
      <c r="D157" s="12"/>
      <c r="F157" s="11"/>
    </row>
    <row r="158" spans="1:6" x14ac:dyDescent="0.35">
      <c r="A158" s="12"/>
      <c r="B158" s="12"/>
      <c r="C158" s="11"/>
      <c r="D158" s="12"/>
      <c r="F158" s="11"/>
    </row>
    <row r="159" spans="1:6" x14ac:dyDescent="0.35">
      <c r="A159" s="12"/>
      <c r="B159" s="12"/>
      <c r="C159" s="11"/>
      <c r="D159" s="12"/>
      <c r="F159" s="11"/>
    </row>
    <row r="160" spans="1:6" x14ac:dyDescent="0.35">
      <c r="A160" s="12"/>
      <c r="B160" s="12"/>
      <c r="C160" s="11"/>
      <c r="D160" s="12"/>
      <c r="F160" s="11"/>
    </row>
    <row r="161" spans="1:6" x14ac:dyDescent="0.35">
      <c r="A161" s="12"/>
      <c r="B161" s="12"/>
      <c r="C161" s="11"/>
      <c r="D161" s="12"/>
      <c r="F161" s="11"/>
    </row>
    <row r="162" spans="1:6" x14ac:dyDescent="0.35">
      <c r="A162" s="12"/>
      <c r="B162" s="12"/>
      <c r="C162" s="11"/>
      <c r="D162" s="12"/>
      <c r="F162" s="11"/>
    </row>
    <row r="163" spans="1:6" x14ac:dyDescent="0.35">
      <c r="A163" s="12"/>
      <c r="B163" s="12"/>
      <c r="C163" s="11"/>
      <c r="D163" s="12"/>
      <c r="F163" s="11"/>
    </row>
    <row r="164" spans="1:6" x14ac:dyDescent="0.35">
      <c r="A164" s="12"/>
      <c r="B164" s="12"/>
      <c r="C164" s="11"/>
      <c r="D164" s="12"/>
      <c r="F164" s="11"/>
    </row>
    <row r="165" spans="1:6" x14ac:dyDescent="0.35">
      <c r="A165" s="12"/>
      <c r="B165" s="12"/>
      <c r="C165" s="11"/>
      <c r="D165" s="12"/>
      <c r="F165" s="11"/>
    </row>
    <row r="166" spans="1:6" x14ac:dyDescent="0.35">
      <c r="A166" s="11"/>
      <c r="B166" s="11"/>
      <c r="C166" s="11"/>
      <c r="D166" s="11"/>
      <c r="F166" s="11"/>
    </row>
    <row r="167" spans="1:6" x14ac:dyDescent="0.35">
      <c r="A167" s="12"/>
      <c r="B167" s="12"/>
      <c r="C167" s="11"/>
      <c r="D167" s="12"/>
      <c r="F167" s="11"/>
    </row>
    <row r="168" spans="1:6" x14ac:dyDescent="0.35">
      <c r="A168" s="12"/>
      <c r="B168" s="12"/>
      <c r="C168" s="11"/>
      <c r="D168" s="12"/>
      <c r="F168" s="11"/>
    </row>
    <row r="169" spans="1:6" x14ac:dyDescent="0.35">
      <c r="A169" s="12"/>
      <c r="B169" s="12"/>
      <c r="C169" s="11"/>
      <c r="D169" s="12"/>
      <c r="F169" s="11"/>
    </row>
    <row r="170" spans="1:6" x14ac:dyDescent="0.35">
      <c r="A170" s="12"/>
      <c r="B170" s="12"/>
      <c r="C170" s="11"/>
      <c r="D170" s="12"/>
      <c r="F170" s="11"/>
    </row>
    <row r="171" spans="1:6" x14ac:dyDescent="0.35">
      <c r="A171" s="12"/>
      <c r="B171" s="12"/>
      <c r="C171" s="11"/>
      <c r="D171" s="12"/>
      <c r="F171" s="11"/>
    </row>
    <row r="172" spans="1:6" x14ac:dyDescent="0.35">
      <c r="A172" s="12"/>
      <c r="B172" s="12"/>
      <c r="C172" s="11"/>
      <c r="D172" s="12"/>
      <c r="F172" s="11"/>
    </row>
    <row r="173" spans="1:6" x14ac:dyDescent="0.35">
      <c r="A173" s="12"/>
      <c r="B173" s="12"/>
      <c r="C173" s="11"/>
      <c r="D173" s="12"/>
      <c r="F173" s="11"/>
    </row>
    <row r="174" spans="1:6" x14ac:dyDescent="0.35">
      <c r="A174" s="12"/>
      <c r="B174" s="12"/>
      <c r="C174" s="11"/>
      <c r="D174" s="12"/>
      <c r="F174" s="11"/>
    </row>
    <row r="175" spans="1:6" x14ac:dyDescent="0.35">
      <c r="A175" s="12"/>
      <c r="B175" s="12"/>
      <c r="C175" s="11"/>
      <c r="D175" s="12"/>
      <c r="F175" s="11"/>
    </row>
    <row r="176" spans="1:6" x14ac:dyDescent="0.35">
      <c r="A176" s="12"/>
      <c r="B176" s="12"/>
      <c r="C176" s="11"/>
      <c r="D176" s="12"/>
      <c r="F176" s="11"/>
    </row>
    <row r="177" spans="1:6" x14ac:dyDescent="0.35">
      <c r="A177" s="12"/>
      <c r="B177" s="12"/>
      <c r="C177" s="11"/>
      <c r="D177" s="12"/>
      <c r="F177" s="11"/>
    </row>
    <row r="178" spans="1:6" x14ac:dyDescent="0.35">
      <c r="A178" s="12"/>
      <c r="B178" s="12"/>
      <c r="C178" s="11"/>
      <c r="D178" s="12"/>
      <c r="F178" s="11"/>
    </row>
    <row r="179" spans="1:6" x14ac:dyDescent="0.35">
      <c r="A179" s="12"/>
      <c r="B179" s="12"/>
      <c r="C179" s="11"/>
      <c r="D179" s="12"/>
      <c r="F179" s="11"/>
    </row>
    <row r="180" spans="1:6" x14ac:dyDescent="0.35">
      <c r="A180" s="12"/>
      <c r="B180" s="12"/>
      <c r="C180" s="11"/>
      <c r="D180" s="12"/>
      <c r="F180" s="11"/>
    </row>
    <row r="181" spans="1:6" x14ac:dyDescent="0.35">
      <c r="A181" s="12"/>
      <c r="B181" s="12"/>
      <c r="C181" s="11"/>
      <c r="D181" s="12"/>
      <c r="F181" s="11"/>
    </row>
    <row r="182" spans="1:6" x14ac:dyDescent="0.35">
      <c r="A182" s="12"/>
      <c r="B182" s="12"/>
      <c r="C182" s="11"/>
      <c r="D182" s="12"/>
      <c r="F182" s="11"/>
    </row>
    <row r="183" spans="1:6" x14ac:dyDescent="0.35">
      <c r="A183" s="12"/>
      <c r="B183" s="12"/>
      <c r="C183" s="11"/>
      <c r="D183" s="12"/>
      <c r="F183" s="11"/>
    </row>
    <row r="184" spans="1:6" x14ac:dyDescent="0.35">
      <c r="A184" s="12"/>
      <c r="B184" s="12"/>
      <c r="C184" s="11"/>
      <c r="D184" s="12"/>
      <c r="F184" s="11"/>
    </row>
    <row r="185" spans="1:6" x14ac:dyDescent="0.35">
      <c r="A185" s="11"/>
      <c r="B185" s="11"/>
      <c r="C185" s="11"/>
      <c r="D185" s="11"/>
      <c r="F185" s="11"/>
    </row>
    <row r="186" spans="1:6" x14ac:dyDescent="0.35">
      <c r="A186" s="12"/>
      <c r="B186" s="12"/>
      <c r="C186" s="11"/>
      <c r="D186" s="12"/>
      <c r="F186" s="11"/>
    </row>
    <row r="187" spans="1:6" x14ac:dyDescent="0.35">
      <c r="A187" s="12"/>
      <c r="B187" s="12"/>
      <c r="C187" s="11"/>
      <c r="D187" s="12"/>
      <c r="F187" s="11"/>
    </row>
    <row r="188" spans="1:6" x14ac:dyDescent="0.35">
      <c r="A188" s="12"/>
      <c r="B188" s="12"/>
      <c r="C188" s="11"/>
      <c r="D188" s="12"/>
      <c r="F188" s="11"/>
    </row>
    <row r="189" spans="1:6" x14ac:dyDescent="0.35">
      <c r="A189" s="12"/>
      <c r="B189" s="12"/>
      <c r="C189" s="11"/>
      <c r="D189" s="12"/>
      <c r="F189" s="11"/>
    </row>
    <row r="190" spans="1:6" x14ac:dyDescent="0.35">
      <c r="A190" s="12"/>
      <c r="B190" s="12"/>
      <c r="C190" s="11"/>
      <c r="D190" s="12"/>
      <c r="F190" s="11"/>
    </row>
    <row r="191" spans="1:6" x14ac:dyDescent="0.35">
      <c r="A191" s="12"/>
      <c r="B191" s="12"/>
      <c r="C191" s="11"/>
      <c r="D191" s="12"/>
      <c r="F191" s="11"/>
    </row>
    <row r="192" spans="1:6" x14ac:dyDescent="0.35">
      <c r="A192" s="12"/>
      <c r="B192" s="12"/>
      <c r="C192" s="11"/>
      <c r="D192" s="12"/>
      <c r="F192" s="11"/>
    </row>
    <row r="193" spans="1:6" x14ac:dyDescent="0.35">
      <c r="A193" s="12"/>
      <c r="B193" s="12"/>
      <c r="C193" s="11"/>
      <c r="D193" s="12"/>
      <c r="F193" s="11"/>
    </row>
    <row r="194" spans="1:6" x14ac:dyDescent="0.35">
      <c r="A194" s="12"/>
      <c r="B194" s="12"/>
      <c r="C194" s="11"/>
      <c r="D194" s="12"/>
      <c r="F194" s="11"/>
    </row>
    <row r="195" spans="1:6" x14ac:dyDescent="0.35">
      <c r="A195" s="12"/>
      <c r="B195" s="12"/>
      <c r="C195" s="11"/>
      <c r="D195" s="12"/>
      <c r="F195" s="11"/>
    </row>
    <row r="196" spans="1:6" x14ac:dyDescent="0.35">
      <c r="A196" s="12"/>
      <c r="B196" s="12"/>
      <c r="C196" s="11"/>
      <c r="D196" s="12"/>
      <c r="F196" s="11"/>
    </row>
    <row r="197" spans="1:6" x14ac:dyDescent="0.35">
      <c r="A197" s="12"/>
      <c r="B197" s="12"/>
      <c r="C197" s="11"/>
      <c r="D197" s="12"/>
      <c r="F197" s="11"/>
    </row>
    <row r="198" spans="1:6" x14ac:dyDescent="0.35">
      <c r="A198" s="12"/>
      <c r="B198" s="12"/>
      <c r="C198" s="11"/>
      <c r="D198" s="12"/>
      <c r="F198" s="11"/>
    </row>
    <row r="199" spans="1:6" x14ac:dyDescent="0.35">
      <c r="A199" s="12"/>
      <c r="B199" s="12"/>
      <c r="C199" s="11"/>
      <c r="D199" s="12"/>
      <c r="F199" s="11"/>
    </row>
    <row r="200" spans="1:6" x14ac:dyDescent="0.35">
      <c r="A200" s="12"/>
      <c r="B200" s="12"/>
      <c r="C200" s="11"/>
      <c r="D200" s="12"/>
      <c r="F200" s="11"/>
    </row>
    <row r="201" spans="1:6" x14ac:dyDescent="0.35">
      <c r="A201" s="12"/>
      <c r="B201" s="12"/>
      <c r="C201" s="11"/>
      <c r="D201" s="12"/>
      <c r="F201" s="11"/>
    </row>
    <row r="202" spans="1:6" x14ac:dyDescent="0.35">
      <c r="A202" s="12"/>
      <c r="B202" s="12"/>
      <c r="C202" s="11"/>
      <c r="D202" s="12"/>
      <c r="F202" s="11"/>
    </row>
    <row r="203" spans="1:6" x14ac:dyDescent="0.35">
      <c r="A203" s="12"/>
      <c r="B203" s="12"/>
      <c r="C203" s="11"/>
      <c r="D203" s="12"/>
      <c r="F203" s="11"/>
    </row>
    <row r="204" spans="1:6" x14ac:dyDescent="0.35">
      <c r="A204" s="11"/>
      <c r="B204" s="11"/>
      <c r="C204" s="11"/>
      <c r="D204" s="11"/>
      <c r="F204" s="11"/>
    </row>
    <row r="205" spans="1:6" x14ac:dyDescent="0.35">
      <c r="A205" s="12"/>
      <c r="B205" s="12"/>
      <c r="C205" s="11"/>
      <c r="D205" s="12"/>
      <c r="F205" s="11"/>
    </row>
    <row r="206" spans="1:6" x14ac:dyDescent="0.35">
      <c r="A206" s="12"/>
      <c r="B206" s="12"/>
      <c r="C206" s="11"/>
      <c r="D206" s="12"/>
      <c r="F206" s="11"/>
    </row>
    <row r="207" spans="1:6" x14ac:dyDescent="0.35">
      <c r="A207" s="12"/>
      <c r="B207" s="12"/>
      <c r="C207" s="11"/>
      <c r="D207" s="12"/>
      <c r="F207" s="11"/>
    </row>
    <row r="208" spans="1:6" x14ac:dyDescent="0.35">
      <c r="A208" s="12"/>
      <c r="B208" s="12"/>
      <c r="C208" s="11"/>
      <c r="D208" s="12"/>
      <c r="F208" s="11"/>
    </row>
    <row r="209" spans="1:6" x14ac:dyDescent="0.35">
      <c r="A209" s="12"/>
      <c r="B209" s="12"/>
      <c r="C209" s="11"/>
      <c r="D209" s="12"/>
      <c r="F209" s="11"/>
    </row>
    <row r="210" spans="1:6" x14ac:dyDescent="0.35">
      <c r="A210" s="12"/>
      <c r="B210" s="12"/>
      <c r="C210" s="11"/>
      <c r="D210" s="12"/>
      <c r="F210" s="11"/>
    </row>
    <row r="211" spans="1:6" x14ac:dyDescent="0.35">
      <c r="A211" s="12"/>
      <c r="B211" s="12"/>
      <c r="C211" s="11"/>
      <c r="D211" s="12"/>
      <c r="F211" s="11"/>
    </row>
    <row r="212" spans="1:6" x14ac:dyDescent="0.35">
      <c r="A212" s="12"/>
      <c r="B212" s="12"/>
      <c r="C212" s="11"/>
      <c r="D212" s="12"/>
      <c r="F212" s="11"/>
    </row>
    <row r="213" spans="1:6" x14ac:dyDescent="0.35">
      <c r="A213" s="12"/>
      <c r="B213" s="12"/>
      <c r="C213" s="11"/>
      <c r="D213" s="12"/>
      <c r="F213" s="11"/>
    </row>
    <row r="214" spans="1:6" x14ac:dyDescent="0.35">
      <c r="A214" s="12"/>
      <c r="B214" s="12"/>
      <c r="C214" s="11"/>
      <c r="D214" s="12"/>
      <c r="F214" s="11"/>
    </row>
    <row r="215" spans="1:6" x14ac:dyDescent="0.35">
      <c r="A215" s="12"/>
      <c r="B215" s="12"/>
      <c r="C215" s="11"/>
      <c r="D215" s="12"/>
      <c r="F215" s="11"/>
    </row>
    <row r="216" spans="1:6" x14ac:dyDescent="0.35">
      <c r="A216" s="12"/>
      <c r="B216" s="12"/>
      <c r="C216" s="11"/>
      <c r="D216" s="12"/>
      <c r="F216" s="11"/>
    </row>
    <row r="217" spans="1:6" x14ac:dyDescent="0.35">
      <c r="A217" s="12"/>
      <c r="B217" s="12"/>
      <c r="C217" s="11"/>
      <c r="D217" s="12"/>
      <c r="F217" s="11"/>
    </row>
    <row r="218" spans="1:6" x14ac:dyDescent="0.35">
      <c r="A218" s="12"/>
      <c r="B218" s="12"/>
      <c r="C218" s="11"/>
      <c r="D218" s="12"/>
      <c r="F218" s="11"/>
    </row>
    <row r="219" spans="1:6" x14ac:dyDescent="0.35">
      <c r="A219" s="12"/>
      <c r="B219" s="12"/>
      <c r="C219" s="11"/>
      <c r="D219" s="12"/>
      <c r="F219" s="11"/>
    </row>
    <row r="220" spans="1:6" x14ac:dyDescent="0.35">
      <c r="A220" s="12"/>
      <c r="B220" s="12"/>
      <c r="C220" s="11"/>
      <c r="D220" s="12"/>
      <c r="F220" s="11"/>
    </row>
    <row r="221" spans="1:6" x14ac:dyDescent="0.35">
      <c r="A221" s="11"/>
      <c r="B221" s="11"/>
      <c r="C221" s="11"/>
      <c r="D221" s="11"/>
      <c r="F221" s="11"/>
    </row>
    <row r="222" spans="1:6" x14ac:dyDescent="0.35">
      <c r="A222" s="12"/>
      <c r="B222" s="12"/>
      <c r="C222" s="11"/>
      <c r="D222" s="12"/>
      <c r="F222" s="11"/>
    </row>
    <row r="223" spans="1:6" x14ac:dyDescent="0.35">
      <c r="A223" s="12"/>
      <c r="B223" s="12"/>
      <c r="C223" s="11"/>
      <c r="D223" s="12"/>
      <c r="F223" s="11"/>
    </row>
    <row r="224" spans="1:6" x14ac:dyDescent="0.35">
      <c r="A224" s="12"/>
      <c r="B224" s="12"/>
      <c r="C224" s="11"/>
      <c r="D224" s="12"/>
      <c r="F224" s="11"/>
    </row>
    <row r="225" spans="1:6" x14ac:dyDescent="0.35">
      <c r="A225" s="12"/>
      <c r="B225" s="12"/>
      <c r="C225" s="11"/>
      <c r="D225" s="12"/>
      <c r="F225" s="11"/>
    </row>
    <row r="226" spans="1:6" x14ac:dyDescent="0.35">
      <c r="A226" s="12"/>
      <c r="B226" s="12"/>
      <c r="C226" s="11"/>
      <c r="D226" s="12"/>
      <c r="F226" s="11"/>
    </row>
    <row r="227" spans="1:6" x14ac:dyDescent="0.35">
      <c r="A227" s="12"/>
      <c r="B227" s="12"/>
      <c r="C227" s="11"/>
      <c r="D227" s="12"/>
      <c r="F227" s="11"/>
    </row>
    <row r="228" spans="1:6" x14ac:dyDescent="0.35">
      <c r="A228" s="12"/>
      <c r="B228" s="12"/>
      <c r="C228" s="11"/>
      <c r="D228" s="12"/>
      <c r="F228" s="11"/>
    </row>
    <row r="229" spans="1:6" x14ac:dyDescent="0.35">
      <c r="A229" s="12"/>
      <c r="B229" s="12"/>
      <c r="C229" s="11"/>
      <c r="D229" s="12"/>
      <c r="F229" s="11"/>
    </row>
    <row r="230" spans="1:6" x14ac:dyDescent="0.35">
      <c r="A230" s="12"/>
      <c r="B230" s="12"/>
      <c r="C230" s="11"/>
      <c r="D230" s="12"/>
      <c r="F230" s="11"/>
    </row>
    <row r="231" spans="1:6" x14ac:dyDescent="0.35">
      <c r="A231" s="12"/>
      <c r="B231" s="12"/>
      <c r="C231" s="11"/>
      <c r="D231" s="12"/>
      <c r="F231" s="11"/>
    </row>
    <row r="232" spans="1:6" x14ac:dyDescent="0.35">
      <c r="A232" s="12"/>
      <c r="B232" s="12"/>
      <c r="C232" s="11"/>
      <c r="D232" s="12"/>
      <c r="F232" s="11"/>
    </row>
    <row r="233" spans="1:6" x14ac:dyDescent="0.35">
      <c r="A233" s="12"/>
      <c r="B233" s="12"/>
      <c r="C233" s="11"/>
      <c r="D233" s="12"/>
      <c r="F233" s="11"/>
    </row>
    <row r="234" spans="1:6" x14ac:dyDescent="0.35">
      <c r="A234" s="12"/>
      <c r="B234" s="12"/>
      <c r="C234" s="11"/>
      <c r="D234" s="12"/>
      <c r="F234" s="11"/>
    </row>
    <row r="235" spans="1:6" x14ac:dyDescent="0.35">
      <c r="A235" s="12"/>
      <c r="B235" s="12"/>
      <c r="C235" s="11"/>
      <c r="D235" s="12"/>
      <c r="F235" s="11"/>
    </row>
    <row r="236" spans="1:6" x14ac:dyDescent="0.35">
      <c r="A236" s="12"/>
      <c r="B236" s="12"/>
      <c r="C236" s="11"/>
      <c r="D236" s="12"/>
      <c r="F236" s="11"/>
    </row>
    <row r="237" spans="1:6" x14ac:dyDescent="0.35">
      <c r="A237" s="12"/>
      <c r="B237" s="12"/>
      <c r="C237" s="11"/>
      <c r="D237" s="12"/>
      <c r="F237" s="11"/>
    </row>
    <row r="238" spans="1:6" x14ac:dyDescent="0.35">
      <c r="A238" s="11"/>
      <c r="B238" s="11"/>
      <c r="C238" s="11"/>
      <c r="D238" s="11"/>
      <c r="F238" s="11"/>
    </row>
    <row r="239" spans="1:6" x14ac:dyDescent="0.35">
      <c r="A239" s="12"/>
      <c r="B239" s="12"/>
      <c r="C239" s="11"/>
      <c r="D239" s="12"/>
      <c r="F239" s="11"/>
    </row>
    <row r="240" spans="1:6" x14ac:dyDescent="0.35">
      <c r="A240" s="12"/>
      <c r="B240" s="12"/>
      <c r="C240" s="11"/>
      <c r="D240" s="12"/>
      <c r="F240" s="11"/>
    </row>
    <row r="241" spans="1:6" x14ac:dyDescent="0.35">
      <c r="A241" s="12"/>
      <c r="B241" s="12"/>
      <c r="C241" s="11"/>
      <c r="D241" s="12"/>
      <c r="F241" s="11"/>
    </row>
    <row r="242" spans="1:6" x14ac:dyDescent="0.35">
      <c r="A242" s="12"/>
      <c r="B242" s="12"/>
      <c r="C242" s="11"/>
      <c r="D242" s="12"/>
      <c r="F242" s="11"/>
    </row>
    <row r="243" spans="1:6" x14ac:dyDescent="0.35">
      <c r="A243" s="12"/>
      <c r="B243" s="12"/>
      <c r="C243" s="11"/>
      <c r="D243" s="12"/>
      <c r="F243" s="11"/>
    </row>
    <row r="244" spans="1:6" x14ac:dyDescent="0.35">
      <c r="A244" s="12"/>
      <c r="B244" s="12"/>
      <c r="C244" s="11"/>
      <c r="D244" s="12"/>
      <c r="F244" s="11"/>
    </row>
    <row r="245" spans="1:6" x14ac:dyDescent="0.35">
      <c r="A245" s="12"/>
      <c r="B245" s="12"/>
      <c r="C245" s="11"/>
      <c r="D245" s="12"/>
      <c r="F245" s="11"/>
    </row>
    <row r="246" spans="1:6" x14ac:dyDescent="0.35">
      <c r="A246" s="12"/>
      <c r="B246" s="12"/>
      <c r="C246" s="11"/>
      <c r="D246" s="12"/>
      <c r="F246" s="11"/>
    </row>
    <row r="247" spans="1:6" x14ac:dyDescent="0.35">
      <c r="A247" s="12"/>
      <c r="B247" s="12"/>
      <c r="C247" s="11"/>
      <c r="D247" s="12"/>
      <c r="F247" s="11"/>
    </row>
    <row r="248" spans="1:6" x14ac:dyDescent="0.35">
      <c r="A248" s="12"/>
      <c r="B248" s="12"/>
      <c r="C248" s="11"/>
      <c r="D248" s="12"/>
      <c r="F248" s="11"/>
    </row>
    <row r="249" spans="1:6" x14ac:dyDescent="0.35">
      <c r="A249" s="12"/>
      <c r="B249" s="12"/>
      <c r="C249" s="11"/>
      <c r="D249" s="12"/>
      <c r="F249" s="11"/>
    </row>
    <row r="250" spans="1:6" x14ac:dyDescent="0.35">
      <c r="A250" s="12"/>
      <c r="B250" s="12"/>
      <c r="C250" s="11"/>
      <c r="D250" s="12"/>
      <c r="F250" s="11"/>
    </row>
    <row r="251" spans="1:6" x14ac:dyDescent="0.35">
      <c r="A251" s="12"/>
      <c r="B251" s="12"/>
      <c r="C251" s="11"/>
      <c r="D251" s="12"/>
      <c r="F251" s="11"/>
    </row>
    <row r="252" spans="1:6" x14ac:dyDescent="0.35">
      <c r="A252" s="12"/>
      <c r="B252" s="12"/>
      <c r="C252" s="11"/>
      <c r="D252" s="12"/>
      <c r="F252" s="11"/>
    </row>
    <row r="253" spans="1:6" x14ac:dyDescent="0.35">
      <c r="A253" s="12"/>
      <c r="B253" s="12"/>
      <c r="C253" s="11"/>
      <c r="D253" s="12"/>
      <c r="F253" s="11"/>
    </row>
    <row r="254" spans="1:6" x14ac:dyDescent="0.35">
      <c r="A254" s="12"/>
      <c r="B254" s="12"/>
      <c r="C254" s="11"/>
      <c r="D254" s="12"/>
      <c r="F254" s="11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sheetPr codeName="Лист30"/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4.5" x14ac:dyDescent="0.35"/>
  <cols>
    <col min="12" max="13" width="9.1796875" style="20"/>
  </cols>
  <sheetData>
    <row r="1" spans="1:15" x14ac:dyDescent="0.35">
      <c r="A1" t="s">
        <v>3151</v>
      </c>
      <c r="B1" t="s">
        <v>3152</v>
      </c>
      <c r="C1" t="s">
        <v>3153</v>
      </c>
      <c r="D1" t="s">
        <v>3154</v>
      </c>
      <c r="E1" t="s">
        <v>3155</v>
      </c>
      <c r="F1" t="s">
        <v>3156</v>
      </c>
      <c r="G1" t="s">
        <v>3157</v>
      </c>
      <c r="H1" t="s">
        <v>3158</v>
      </c>
      <c r="I1" t="s">
        <v>3159</v>
      </c>
      <c r="J1" t="s">
        <v>3160</v>
      </c>
      <c r="K1" t="s">
        <v>2387</v>
      </c>
      <c r="L1" s="20" t="s">
        <v>3161</v>
      </c>
      <c r="M1" s="20" t="s">
        <v>3162</v>
      </c>
      <c r="N1" t="s">
        <v>3163</v>
      </c>
      <c r="O1" t="s">
        <v>3168</v>
      </c>
    </row>
    <row r="2" spans="1:15" x14ac:dyDescent="0.35">
      <c r="A2" s="11">
        <v>315723110102</v>
      </c>
      <c r="B2" s="11">
        <v>3</v>
      </c>
      <c r="C2" s="11" t="s">
        <v>2397</v>
      </c>
      <c r="D2" s="11">
        <v>600</v>
      </c>
      <c r="E2" s="11">
        <v>1260</v>
      </c>
      <c r="F2" s="11">
        <v>630</v>
      </c>
      <c r="G2" s="11">
        <v>1200</v>
      </c>
      <c r="H2" s="11">
        <v>350</v>
      </c>
      <c r="I2" s="11" t="s">
        <v>2487</v>
      </c>
      <c r="J2" s="11" t="s">
        <v>2458</v>
      </c>
      <c r="K2" s="11" t="s">
        <v>3169</v>
      </c>
      <c r="L2" s="20">
        <v>1</v>
      </c>
      <c r="M2" s="20">
        <v>6</v>
      </c>
      <c r="N2" s="11">
        <v>1</v>
      </c>
      <c r="O2" s="11">
        <v>4</v>
      </c>
    </row>
    <row r="3" spans="1:15" x14ac:dyDescent="0.35">
      <c r="A3" s="11">
        <v>315723110201</v>
      </c>
      <c r="B3" s="12">
        <v>3</v>
      </c>
      <c r="C3" s="11" t="s">
        <v>2400</v>
      </c>
      <c r="D3" s="12">
        <v>600</v>
      </c>
      <c r="E3" s="12">
        <v>1260</v>
      </c>
      <c r="F3" s="12">
        <v>630</v>
      </c>
      <c r="G3" s="12">
        <v>1200</v>
      </c>
      <c r="H3" s="12">
        <v>350</v>
      </c>
      <c r="I3" s="12" t="s">
        <v>2487</v>
      </c>
      <c r="J3" s="12" t="s">
        <v>2458</v>
      </c>
      <c r="K3" s="12" t="s">
        <v>3169</v>
      </c>
      <c r="L3" s="20">
        <v>1</v>
      </c>
      <c r="M3" s="20">
        <v>6</v>
      </c>
      <c r="N3">
        <v>1</v>
      </c>
      <c r="O3">
        <v>4</v>
      </c>
    </row>
    <row r="4" spans="1:15" x14ac:dyDescent="0.35">
      <c r="A4" s="11">
        <v>315723110300</v>
      </c>
      <c r="B4" s="11" t="s">
        <v>3170</v>
      </c>
      <c r="C4" s="11" t="s">
        <v>2397</v>
      </c>
      <c r="D4" s="12">
        <v>600</v>
      </c>
      <c r="E4" s="12">
        <v>1260</v>
      </c>
      <c r="F4" s="12">
        <v>630</v>
      </c>
      <c r="G4" s="12">
        <v>1200</v>
      </c>
      <c r="H4" s="12">
        <v>350</v>
      </c>
      <c r="I4" s="12" t="s">
        <v>2487</v>
      </c>
      <c r="J4" s="12" t="s">
        <v>2458</v>
      </c>
      <c r="K4" s="12" t="s">
        <v>3169</v>
      </c>
      <c r="L4" s="20">
        <v>1</v>
      </c>
      <c r="M4" s="20">
        <v>6</v>
      </c>
      <c r="N4">
        <v>1</v>
      </c>
      <c r="O4">
        <v>4</v>
      </c>
    </row>
    <row r="5" spans="1:15" x14ac:dyDescent="0.35">
      <c r="A5" s="11">
        <v>315723110410</v>
      </c>
      <c r="B5" s="12" t="s">
        <v>3170</v>
      </c>
      <c r="C5" s="11" t="s">
        <v>2400</v>
      </c>
      <c r="D5" s="12">
        <v>600</v>
      </c>
      <c r="E5" s="12">
        <v>1260</v>
      </c>
      <c r="F5" s="12">
        <v>630</v>
      </c>
      <c r="G5" s="12">
        <v>1200</v>
      </c>
      <c r="H5" s="12">
        <v>350</v>
      </c>
      <c r="I5" s="12" t="s">
        <v>2487</v>
      </c>
      <c r="J5" s="12" t="s">
        <v>2458</v>
      </c>
      <c r="K5" s="12" t="s">
        <v>3169</v>
      </c>
      <c r="L5" s="20">
        <v>1</v>
      </c>
      <c r="M5" s="20">
        <v>6</v>
      </c>
      <c r="N5">
        <v>1</v>
      </c>
      <c r="O5">
        <v>4</v>
      </c>
    </row>
    <row r="6" spans="1:15" x14ac:dyDescent="0.35">
      <c r="A6" s="11">
        <v>315723110509</v>
      </c>
      <c r="B6" s="11">
        <v>6</v>
      </c>
      <c r="C6" s="11" t="s">
        <v>2397</v>
      </c>
      <c r="D6" s="12">
        <v>600</v>
      </c>
      <c r="E6" s="11">
        <v>1460</v>
      </c>
      <c r="F6" s="11">
        <v>730</v>
      </c>
      <c r="G6" s="12">
        <v>1200</v>
      </c>
      <c r="H6" s="12">
        <v>350</v>
      </c>
      <c r="I6" s="11" t="s">
        <v>2466</v>
      </c>
      <c r="J6" s="11" t="s">
        <v>2412</v>
      </c>
      <c r="K6" s="11" t="s">
        <v>2512</v>
      </c>
      <c r="L6" s="20">
        <v>1</v>
      </c>
      <c r="M6" s="20">
        <v>6</v>
      </c>
      <c r="N6">
        <v>1</v>
      </c>
      <c r="O6">
        <v>4</v>
      </c>
    </row>
    <row r="7" spans="1:15" x14ac:dyDescent="0.35">
      <c r="A7" s="11">
        <v>315723110608</v>
      </c>
      <c r="B7" s="12">
        <v>6</v>
      </c>
      <c r="C7" s="11" t="s">
        <v>2400</v>
      </c>
      <c r="D7" s="12">
        <v>600</v>
      </c>
      <c r="E7" s="12">
        <v>1460</v>
      </c>
      <c r="F7" s="12">
        <v>730</v>
      </c>
      <c r="G7" s="12">
        <v>1200</v>
      </c>
      <c r="H7" s="12">
        <v>350</v>
      </c>
      <c r="I7" s="12" t="s">
        <v>2466</v>
      </c>
      <c r="J7" s="12" t="s">
        <v>2412</v>
      </c>
      <c r="K7" s="12" t="s">
        <v>2512</v>
      </c>
      <c r="L7" s="20">
        <v>1</v>
      </c>
      <c r="M7" s="20">
        <v>6</v>
      </c>
      <c r="N7">
        <v>1</v>
      </c>
      <c r="O7">
        <v>4</v>
      </c>
    </row>
    <row r="8" spans="1:15" x14ac:dyDescent="0.35">
      <c r="A8" s="11">
        <v>315723110707</v>
      </c>
      <c r="B8" s="12">
        <v>6</v>
      </c>
      <c r="C8" s="11" t="s">
        <v>2444</v>
      </c>
      <c r="D8" s="12">
        <v>600</v>
      </c>
      <c r="E8" s="12">
        <v>1460</v>
      </c>
      <c r="F8" s="12">
        <v>730</v>
      </c>
      <c r="G8" s="12">
        <v>1200</v>
      </c>
      <c r="H8" s="12">
        <v>350</v>
      </c>
      <c r="I8" s="12" t="s">
        <v>2466</v>
      </c>
      <c r="J8" s="12" t="s">
        <v>2412</v>
      </c>
      <c r="K8" s="12" t="s">
        <v>2512</v>
      </c>
      <c r="L8" s="20">
        <v>1</v>
      </c>
      <c r="M8" s="20">
        <v>6</v>
      </c>
      <c r="N8">
        <v>1</v>
      </c>
      <c r="O8">
        <v>4</v>
      </c>
    </row>
    <row r="9" spans="1:15" x14ac:dyDescent="0.35">
      <c r="A9" s="11">
        <v>315723110905</v>
      </c>
      <c r="B9" s="11">
        <v>9</v>
      </c>
      <c r="C9" s="11" t="s">
        <v>2400</v>
      </c>
      <c r="D9" s="12">
        <v>600</v>
      </c>
      <c r="E9" s="12">
        <v>1460</v>
      </c>
      <c r="F9" s="12">
        <v>730</v>
      </c>
      <c r="G9" s="12">
        <v>1200</v>
      </c>
      <c r="H9" s="12">
        <v>350</v>
      </c>
      <c r="I9" s="11" t="s">
        <v>3171</v>
      </c>
      <c r="J9" s="11" t="s">
        <v>2455</v>
      </c>
      <c r="K9" s="11" t="s">
        <v>3172</v>
      </c>
      <c r="L9" s="20">
        <v>1</v>
      </c>
      <c r="M9" s="20">
        <v>6</v>
      </c>
      <c r="N9">
        <v>1</v>
      </c>
      <c r="O9">
        <v>4</v>
      </c>
    </row>
    <row r="10" spans="1:15" x14ac:dyDescent="0.35">
      <c r="A10" s="11">
        <v>315723111100</v>
      </c>
      <c r="B10" s="12">
        <v>9</v>
      </c>
      <c r="C10" s="11" t="s">
        <v>2444</v>
      </c>
      <c r="D10" s="12">
        <v>600</v>
      </c>
      <c r="E10" s="12">
        <v>1460</v>
      </c>
      <c r="F10" s="12">
        <v>730</v>
      </c>
      <c r="G10" s="12">
        <v>1200</v>
      </c>
      <c r="H10" s="12">
        <v>350</v>
      </c>
      <c r="I10" s="12" t="s">
        <v>3171</v>
      </c>
      <c r="J10" s="12" t="s">
        <v>2455</v>
      </c>
      <c r="K10" s="12" t="s">
        <v>3172</v>
      </c>
      <c r="L10" s="20">
        <v>1</v>
      </c>
      <c r="M10" s="20">
        <v>6</v>
      </c>
      <c r="N10">
        <v>1</v>
      </c>
      <c r="O10">
        <v>4</v>
      </c>
    </row>
    <row r="11" spans="1:15" x14ac:dyDescent="0.35">
      <c r="A11" s="11">
        <v>315723111210</v>
      </c>
      <c r="B11" s="12">
        <v>9</v>
      </c>
      <c r="C11" s="11" t="s">
        <v>2448</v>
      </c>
      <c r="D11" s="12">
        <v>600</v>
      </c>
      <c r="E11" s="12">
        <v>1460</v>
      </c>
      <c r="F11" s="12">
        <v>730</v>
      </c>
      <c r="G11" s="12">
        <v>1200</v>
      </c>
      <c r="H11" s="12">
        <v>350</v>
      </c>
      <c r="I11" s="12" t="s">
        <v>3171</v>
      </c>
      <c r="J11" s="12" t="s">
        <v>2455</v>
      </c>
      <c r="K11" s="12" t="s">
        <v>3172</v>
      </c>
      <c r="L11" s="20">
        <v>1</v>
      </c>
      <c r="M11" s="20">
        <v>6</v>
      </c>
      <c r="N11">
        <v>1</v>
      </c>
      <c r="O11">
        <v>4</v>
      </c>
    </row>
    <row r="12" spans="1:15" x14ac:dyDescent="0.35">
      <c r="A12" s="11">
        <v>315723111309</v>
      </c>
      <c r="B12" s="12">
        <v>9</v>
      </c>
      <c r="C12" s="11" t="s">
        <v>2406</v>
      </c>
      <c r="D12" s="12">
        <v>600</v>
      </c>
      <c r="E12" s="12">
        <v>1460</v>
      </c>
      <c r="F12" s="12">
        <v>730</v>
      </c>
      <c r="G12" s="12">
        <v>1200</v>
      </c>
      <c r="H12" s="12">
        <v>350</v>
      </c>
      <c r="I12" s="12" t="s">
        <v>3171</v>
      </c>
      <c r="J12" s="12" t="s">
        <v>2455</v>
      </c>
      <c r="K12" s="12" t="s">
        <v>3172</v>
      </c>
      <c r="L12" s="20">
        <v>1</v>
      </c>
      <c r="M12" s="20">
        <v>6</v>
      </c>
      <c r="N12">
        <v>1</v>
      </c>
      <c r="O12">
        <v>4</v>
      </c>
    </row>
    <row r="13" spans="1:15" x14ac:dyDescent="0.35">
      <c r="A13" s="11">
        <v>315723111408</v>
      </c>
      <c r="B13" s="11">
        <v>12</v>
      </c>
      <c r="C13" s="11" t="s">
        <v>2400</v>
      </c>
      <c r="D13" s="12">
        <v>600</v>
      </c>
      <c r="E13" s="11">
        <v>1710</v>
      </c>
      <c r="F13" s="11">
        <v>855</v>
      </c>
      <c r="G13" s="11">
        <v>1280</v>
      </c>
      <c r="H13" s="11">
        <v>430</v>
      </c>
      <c r="I13" s="11" t="s">
        <v>2476</v>
      </c>
      <c r="J13" s="11" t="s">
        <v>2594</v>
      </c>
      <c r="K13" s="11" t="s">
        <v>2546</v>
      </c>
      <c r="L13" s="20">
        <v>1</v>
      </c>
      <c r="M13" s="20">
        <v>6</v>
      </c>
      <c r="N13">
        <v>1</v>
      </c>
      <c r="O13">
        <v>4</v>
      </c>
    </row>
    <row r="14" spans="1:15" x14ac:dyDescent="0.35">
      <c r="A14" s="11">
        <v>315723111507</v>
      </c>
      <c r="B14" s="12">
        <v>12</v>
      </c>
      <c r="C14" s="11" t="s">
        <v>2444</v>
      </c>
      <c r="D14" s="12">
        <v>600</v>
      </c>
      <c r="E14" s="12">
        <v>1710</v>
      </c>
      <c r="F14" s="12">
        <v>855</v>
      </c>
      <c r="G14" s="12">
        <v>1280</v>
      </c>
      <c r="H14" s="12">
        <v>430</v>
      </c>
      <c r="I14" s="12" t="s">
        <v>2476</v>
      </c>
      <c r="J14" s="12" t="s">
        <v>2594</v>
      </c>
      <c r="K14" s="12" t="s">
        <v>2546</v>
      </c>
      <c r="L14" s="20">
        <v>1</v>
      </c>
      <c r="M14" s="20">
        <v>6</v>
      </c>
      <c r="N14">
        <v>1</v>
      </c>
      <c r="O14">
        <v>4</v>
      </c>
    </row>
    <row r="15" spans="1:15" x14ac:dyDescent="0.35">
      <c r="A15" s="11">
        <v>315723111606</v>
      </c>
      <c r="B15" s="12">
        <v>12</v>
      </c>
      <c r="C15" s="11" t="s">
        <v>2448</v>
      </c>
      <c r="D15" s="12">
        <v>600</v>
      </c>
      <c r="E15" s="12">
        <v>1710</v>
      </c>
      <c r="F15" s="12">
        <v>855</v>
      </c>
      <c r="G15" s="12">
        <v>1280</v>
      </c>
      <c r="H15" s="12">
        <v>430</v>
      </c>
      <c r="I15" s="12" t="s">
        <v>2476</v>
      </c>
      <c r="J15" s="12" t="s">
        <v>2594</v>
      </c>
      <c r="K15" s="12" t="s">
        <v>2546</v>
      </c>
      <c r="L15" s="20">
        <v>1</v>
      </c>
      <c r="M15" s="20">
        <v>6</v>
      </c>
      <c r="N15">
        <v>1</v>
      </c>
      <c r="O15">
        <v>4</v>
      </c>
    </row>
    <row r="16" spans="1:15" x14ac:dyDescent="0.35">
      <c r="A16" s="11">
        <v>315723111705</v>
      </c>
      <c r="B16" s="12">
        <v>12</v>
      </c>
      <c r="C16" s="11" t="s">
        <v>2406</v>
      </c>
      <c r="D16" s="12">
        <v>600</v>
      </c>
      <c r="E16" s="12">
        <v>1710</v>
      </c>
      <c r="F16" s="12">
        <v>855</v>
      </c>
      <c r="G16" s="12">
        <v>1280</v>
      </c>
      <c r="H16" s="12">
        <v>430</v>
      </c>
      <c r="I16" s="12" t="s">
        <v>2476</v>
      </c>
      <c r="J16" s="12" t="s">
        <v>2594</v>
      </c>
      <c r="K16" s="12" t="s">
        <v>2546</v>
      </c>
      <c r="L16" s="20">
        <v>1</v>
      </c>
      <c r="M16" s="20">
        <v>6</v>
      </c>
      <c r="N16">
        <v>1</v>
      </c>
      <c r="O16">
        <v>4</v>
      </c>
    </row>
    <row r="17" spans="1:15" x14ac:dyDescent="0.35">
      <c r="A17" s="11">
        <v>315723111804</v>
      </c>
      <c r="B17" s="11">
        <v>15</v>
      </c>
      <c r="C17" s="11" t="s">
        <v>2400</v>
      </c>
      <c r="D17" s="12">
        <v>600</v>
      </c>
      <c r="E17" s="12">
        <v>1710</v>
      </c>
      <c r="F17" s="12">
        <v>855</v>
      </c>
      <c r="G17" s="11">
        <v>1360</v>
      </c>
      <c r="H17" s="11">
        <v>510</v>
      </c>
      <c r="I17" s="11" t="s">
        <v>3173</v>
      </c>
      <c r="J17" s="11" t="s">
        <v>2485</v>
      </c>
      <c r="K17" s="11" t="s">
        <v>3174</v>
      </c>
      <c r="L17" s="20">
        <v>1</v>
      </c>
      <c r="M17" s="20">
        <v>6</v>
      </c>
      <c r="N17">
        <v>1</v>
      </c>
      <c r="O17">
        <v>4</v>
      </c>
    </row>
    <row r="18" spans="1:15" x14ac:dyDescent="0.35">
      <c r="A18" s="11">
        <v>315723111903</v>
      </c>
      <c r="B18" s="12">
        <v>15</v>
      </c>
      <c r="C18" s="11" t="s">
        <v>2444</v>
      </c>
      <c r="D18" s="12">
        <v>600</v>
      </c>
      <c r="E18" s="12">
        <v>1710</v>
      </c>
      <c r="F18" s="12">
        <v>855</v>
      </c>
      <c r="G18" s="12">
        <v>1360</v>
      </c>
      <c r="H18" s="12">
        <v>510</v>
      </c>
      <c r="I18" s="12" t="s">
        <v>3173</v>
      </c>
      <c r="J18" s="12" t="s">
        <v>2485</v>
      </c>
      <c r="K18" s="12" t="s">
        <v>3174</v>
      </c>
      <c r="L18" s="20">
        <v>1</v>
      </c>
      <c r="M18" s="20">
        <v>6</v>
      </c>
      <c r="N18">
        <v>1</v>
      </c>
      <c r="O18">
        <v>4</v>
      </c>
    </row>
    <row r="19" spans="1:15" x14ac:dyDescent="0.35">
      <c r="A19" s="11">
        <v>315723112109</v>
      </c>
      <c r="B19" s="12">
        <v>15</v>
      </c>
      <c r="C19" s="11" t="s">
        <v>2448</v>
      </c>
      <c r="D19" s="12">
        <v>600</v>
      </c>
      <c r="E19" s="12">
        <v>1710</v>
      </c>
      <c r="F19" s="12">
        <v>855</v>
      </c>
      <c r="G19" s="12">
        <v>1360</v>
      </c>
      <c r="H19" s="12">
        <v>510</v>
      </c>
      <c r="I19" s="12" t="s">
        <v>3173</v>
      </c>
      <c r="J19" s="12" t="s">
        <v>2485</v>
      </c>
      <c r="K19" s="12" t="s">
        <v>3174</v>
      </c>
      <c r="L19" s="20">
        <v>1</v>
      </c>
      <c r="M19" s="20">
        <v>6</v>
      </c>
      <c r="N19">
        <v>1</v>
      </c>
      <c r="O19">
        <v>4</v>
      </c>
    </row>
    <row r="20" spans="1:15" x14ac:dyDescent="0.35">
      <c r="A20" s="11">
        <v>315723112208</v>
      </c>
      <c r="B20" s="12">
        <v>15</v>
      </c>
      <c r="C20" s="11" t="s">
        <v>2406</v>
      </c>
      <c r="D20" s="12">
        <v>600</v>
      </c>
      <c r="E20" s="12">
        <v>1710</v>
      </c>
      <c r="F20" s="12">
        <v>855</v>
      </c>
      <c r="G20" s="12">
        <v>1360</v>
      </c>
      <c r="H20" s="12">
        <v>510</v>
      </c>
      <c r="I20" s="12" t="s">
        <v>3173</v>
      </c>
      <c r="J20" s="12" t="s">
        <v>2485</v>
      </c>
      <c r="K20" s="12" t="s">
        <v>3174</v>
      </c>
      <c r="L20" s="20">
        <v>1</v>
      </c>
      <c r="M20" s="20">
        <v>6</v>
      </c>
      <c r="N20">
        <v>1</v>
      </c>
      <c r="O20">
        <v>4</v>
      </c>
    </row>
    <row r="21" spans="1:15" x14ac:dyDescent="0.35">
      <c r="A21">
        <v>315724110108</v>
      </c>
      <c r="B21">
        <v>3</v>
      </c>
      <c r="C21" t="s">
        <v>2397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2795</v>
      </c>
      <c r="J21" t="s">
        <v>3175</v>
      </c>
      <c r="K21" s="20" t="s">
        <v>3176</v>
      </c>
      <c r="L21" s="20">
        <v>2</v>
      </c>
      <c r="M21" s="20">
        <v>6</v>
      </c>
      <c r="N21">
        <v>1</v>
      </c>
      <c r="O21">
        <v>4</v>
      </c>
    </row>
    <row r="22" spans="1:15" x14ac:dyDescent="0.35">
      <c r="A22">
        <v>315724110207</v>
      </c>
      <c r="B22">
        <v>3</v>
      </c>
      <c r="C22" t="s">
        <v>2400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2795</v>
      </c>
      <c r="J22" t="s">
        <v>3175</v>
      </c>
      <c r="K22" s="20" t="s">
        <v>3176</v>
      </c>
      <c r="L22" s="20">
        <v>2</v>
      </c>
      <c r="M22" s="20">
        <v>6</v>
      </c>
      <c r="N22">
        <v>1</v>
      </c>
      <c r="O22">
        <v>4</v>
      </c>
    </row>
    <row r="23" spans="1:15" x14ac:dyDescent="0.35">
      <c r="A23">
        <v>315724110306</v>
      </c>
      <c r="B23" t="s">
        <v>3170</v>
      </c>
      <c r="C23" t="s">
        <v>2397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2795</v>
      </c>
      <c r="J23" t="s">
        <v>3175</v>
      </c>
      <c r="K23" s="20" t="s">
        <v>3176</v>
      </c>
      <c r="L23" s="20">
        <v>2</v>
      </c>
      <c r="M23" s="20">
        <v>6</v>
      </c>
      <c r="N23">
        <v>1</v>
      </c>
      <c r="O23">
        <v>4</v>
      </c>
    </row>
    <row r="24" spans="1:15" x14ac:dyDescent="0.35">
      <c r="A24">
        <v>315724110405</v>
      </c>
      <c r="B24" t="s">
        <v>3170</v>
      </c>
      <c r="C24" t="s">
        <v>2400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2795</v>
      </c>
      <c r="J24" t="s">
        <v>3175</v>
      </c>
      <c r="K24" s="20" t="s">
        <v>3176</v>
      </c>
      <c r="L24" s="20">
        <v>2</v>
      </c>
      <c r="M24" s="20">
        <v>6</v>
      </c>
      <c r="N24">
        <v>1</v>
      </c>
      <c r="O24">
        <v>4</v>
      </c>
    </row>
    <row r="25" spans="1:15" x14ac:dyDescent="0.35">
      <c r="A25">
        <v>315724110504</v>
      </c>
      <c r="B25">
        <v>6</v>
      </c>
      <c r="C25" t="s">
        <v>2397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3177</v>
      </c>
      <c r="J25" t="s">
        <v>3178</v>
      </c>
      <c r="K25" s="20" t="s">
        <v>2531</v>
      </c>
      <c r="L25" s="20">
        <v>2</v>
      </c>
      <c r="M25" s="20">
        <v>6</v>
      </c>
      <c r="N25">
        <v>1</v>
      </c>
      <c r="O25">
        <v>4</v>
      </c>
    </row>
    <row r="26" spans="1:15" x14ac:dyDescent="0.35">
      <c r="A26">
        <v>315724110603</v>
      </c>
      <c r="B26">
        <v>6</v>
      </c>
      <c r="C26" t="s">
        <v>2400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3177</v>
      </c>
      <c r="J26" t="s">
        <v>3178</v>
      </c>
      <c r="K26" s="20" t="s">
        <v>2531</v>
      </c>
      <c r="L26" s="20">
        <v>2</v>
      </c>
      <c r="M26" s="20">
        <v>6</v>
      </c>
      <c r="N26">
        <v>1</v>
      </c>
      <c r="O26">
        <v>4</v>
      </c>
    </row>
    <row r="27" spans="1:15" x14ac:dyDescent="0.35">
      <c r="A27">
        <v>315724110702</v>
      </c>
      <c r="B27">
        <v>6</v>
      </c>
      <c r="C27" t="s">
        <v>2444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3177</v>
      </c>
      <c r="J27" t="s">
        <v>3178</v>
      </c>
      <c r="K27" s="20" t="s">
        <v>2531</v>
      </c>
      <c r="L27" s="20">
        <v>2</v>
      </c>
      <c r="M27" s="20">
        <v>6</v>
      </c>
      <c r="N27">
        <v>1</v>
      </c>
      <c r="O27">
        <v>4</v>
      </c>
    </row>
    <row r="28" spans="1:15" x14ac:dyDescent="0.35">
      <c r="A28">
        <v>315724110900</v>
      </c>
      <c r="B28">
        <v>9</v>
      </c>
      <c r="C28" t="s">
        <v>2400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2424</v>
      </c>
      <c r="J28" t="s">
        <v>3179</v>
      </c>
      <c r="K28" s="20" t="s">
        <v>3180</v>
      </c>
      <c r="L28" s="20">
        <v>2</v>
      </c>
      <c r="M28" s="20">
        <v>6</v>
      </c>
      <c r="N28">
        <v>1</v>
      </c>
      <c r="O28">
        <v>4</v>
      </c>
    </row>
    <row r="29" spans="1:15" x14ac:dyDescent="0.35">
      <c r="A29">
        <v>315724111106</v>
      </c>
      <c r="B29">
        <v>9</v>
      </c>
      <c r="C29" t="s">
        <v>2444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2424</v>
      </c>
      <c r="J29" t="s">
        <v>3179</v>
      </c>
      <c r="K29" s="20" t="s">
        <v>3180</v>
      </c>
      <c r="L29" s="20">
        <v>2</v>
      </c>
      <c r="M29" s="20">
        <v>6</v>
      </c>
      <c r="N29">
        <v>1</v>
      </c>
      <c r="O29">
        <v>4</v>
      </c>
    </row>
    <row r="30" spans="1:15" x14ac:dyDescent="0.35">
      <c r="A30">
        <v>315724111205</v>
      </c>
      <c r="B30">
        <v>9</v>
      </c>
      <c r="C30" t="s">
        <v>2448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2424</v>
      </c>
      <c r="J30" t="s">
        <v>3179</v>
      </c>
      <c r="K30" s="20" t="s">
        <v>3180</v>
      </c>
      <c r="L30" s="20">
        <v>2</v>
      </c>
      <c r="M30" s="20">
        <v>6</v>
      </c>
      <c r="N30">
        <v>1</v>
      </c>
      <c r="O30">
        <v>4</v>
      </c>
    </row>
    <row r="31" spans="1:15" x14ac:dyDescent="0.35">
      <c r="A31">
        <v>315724111304</v>
      </c>
      <c r="B31">
        <v>9</v>
      </c>
      <c r="C31" t="s">
        <v>2406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2424</v>
      </c>
      <c r="J31" t="s">
        <v>3179</v>
      </c>
      <c r="K31" s="20" t="s">
        <v>3180</v>
      </c>
      <c r="L31" s="20">
        <v>2</v>
      </c>
      <c r="M31" s="20">
        <v>6</v>
      </c>
      <c r="N31">
        <v>1</v>
      </c>
      <c r="O31">
        <v>4</v>
      </c>
    </row>
    <row r="32" spans="1:15" x14ac:dyDescent="0.35">
      <c r="A32">
        <v>315724111403</v>
      </c>
      <c r="B32">
        <v>12</v>
      </c>
      <c r="C32" t="s">
        <v>2400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2654</v>
      </c>
      <c r="J32" t="s">
        <v>3181</v>
      </c>
      <c r="K32" s="20" t="s">
        <v>3182</v>
      </c>
      <c r="L32" s="20">
        <v>2</v>
      </c>
      <c r="M32" s="20">
        <v>6</v>
      </c>
      <c r="N32">
        <v>1</v>
      </c>
      <c r="O32">
        <v>4</v>
      </c>
    </row>
    <row r="33" spans="1:15" x14ac:dyDescent="0.35">
      <c r="A33">
        <v>315724111502</v>
      </c>
      <c r="B33">
        <v>12</v>
      </c>
      <c r="C33" t="s">
        <v>2444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2654</v>
      </c>
      <c r="J33" t="s">
        <v>3181</v>
      </c>
      <c r="K33" s="20" t="s">
        <v>3182</v>
      </c>
      <c r="L33" s="20">
        <v>2</v>
      </c>
      <c r="M33" s="20">
        <v>6</v>
      </c>
      <c r="N33">
        <v>1</v>
      </c>
      <c r="O33">
        <v>4</v>
      </c>
    </row>
    <row r="34" spans="1:15" x14ac:dyDescent="0.35">
      <c r="A34">
        <v>315724111601</v>
      </c>
      <c r="B34">
        <v>12</v>
      </c>
      <c r="C34" t="s">
        <v>2448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2654</v>
      </c>
      <c r="J34" t="s">
        <v>3181</v>
      </c>
      <c r="K34" s="20" t="s">
        <v>3182</v>
      </c>
      <c r="L34" s="20">
        <v>2</v>
      </c>
      <c r="M34" s="20">
        <v>6</v>
      </c>
      <c r="N34">
        <v>1</v>
      </c>
      <c r="O34">
        <v>4</v>
      </c>
    </row>
    <row r="35" spans="1:15" x14ac:dyDescent="0.35">
      <c r="A35">
        <v>315724111700</v>
      </c>
      <c r="B35">
        <v>12</v>
      </c>
      <c r="C35" t="s">
        <v>2406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2654</v>
      </c>
      <c r="J35" t="s">
        <v>3181</v>
      </c>
      <c r="K35" s="20" t="s">
        <v>3182</v>
      </c>
      <c r="L35" s="20">
        <v>2</v>
      </c>
      <c r="M35" s="20">
        <v>6</v>
      </c>
      <c r="N35">
        <v>1</v>
      </c>
      <c r="O35">
        <v>4</v>
      </c>
    </row>
    <row r="36" spans="1:15" x14ac:dyDescent="0.35">
      <c r="A36">
        <v>315724111810</v>
      </c>
      <c r="B36">
        <v>15</v>
      </c>
      <c r="C36" t="s">
        <v>2400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3183</v>
      </c>
      <c r="J36" t="s">
        <v>3184</v>
      </c>
      <c r="K36" s="20" t="s">
        <v>3185</v>
      </c>
      <c r="L36" s="20">
        <v>2</v>
      </c>
      <c r="M36" s="20">
        <v>6</v>
      </c>
      <c r="N36">
        <v>1</v>
      </c>
      <c r="O36">
        <v>4</v>
      </c>
    </row>
    <row r="37" spans="1:15" x14ac:dyDescent="0.35">
      <c r="A37">
        <v>315724111909</v>
      </c>
      <c r="B37">
        <v>15</v>
      </c>
      <c r="C37" t="s">
        <v>2444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3183</v>
      </c>
      <c r="J37" t="s">
        <v>3184</v>
      </c>
      <c r="K37" t="s">
        <v>3185</v>
      </c>
      <c r="L37" s="20">
        <v>2</v>
      </c>
      <c r="M37" s="20">
        <v>6</v>
      </c>
      <c r="N37">
        <v>1</v>
      </c>
      <c r="O37">
        <v>4</v>
      </c>
    </row>
    <row r="38" spans="1:15" x14ac:dyDescent="0.35">
      <c r="A38">
        <v>315724112104</v>
      </c>
      <c r="B38">
        <v>15</v>
      </c>
      <c r="C38" t="s">
        <v>2448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3183</v>
      </c>
      <c r="J38" t="s">
        <v>3184</v>
      </c>
      <c r="K38" t="s">
        <v>3185</v>
      </c>
      <c r="L38" s="20">
        <v>2</v>
      </c>
      <c r="M38" s="20">
        <v>6</v>
      </c>
      <c r="N38">
        <v>1</v>
      </c>
      <c r="O38">
        <v>4</v>
      </c>
    </row>
    <row r="39" spans="1:15" x14ac:dyDescent="0.35">
      <c r="A39">
        <v>315724112203</v>
      </c>
      <c r="B39">
        <v>15</v>
      </c>
      <c r="C39" t="s">
        <v>2406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3183</v>
      </c>
      <c r="J39" t="s">
        <v>3184</v>
      </c>
      <c r="K39" t="s">
        <v>3185</v>
      </c>
      <c r="L39" s="20">
        <v>2</v>
      </c>
      <c r="M39" s="20">
        <v>6</v>
      </c>
      <c r="N39">
        <v>1</v>
      </c>
      <c r="O39">
        <v>4</v>
      </c>
    </row>
    <row r="40" spans="1:15" x14ac:dyDescent="0.35">
      <c r="A40">
        <v>315725110103</v>
      </c>
      <c r="B40">
        <v>3</v>
      </c>
      <c r="C40" t="s">
        <v>2397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3186</v>
      </c>
      <c r="J40" t="s">
        <v>2806</v>
      </c>
      <c r="K40" t="s">
        <v>2535</v>
      </c>
      <c r="L40" s="20" t="s">
        <v>2481</v>
      </c>
      <c r="M40" s="20">
        <v>6</v>
      </c>
      <c r="N40">
        <v>1</v>
      </c>
      <c r="O40">
        <v>4</v>
      </c>
    </row>
    <row r="41" spans="1:15" x14ac:dyDescent="0.35">
      <c r="A41">
        <v>315725110202</v>
      </c>
      <c r="B41">
        <v>3</v>
      </c>
      <c r="C41" t="s">
        <v>2400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3186</v>
      </c>
      <c r="J41" t="s">
        <v>2806</v>
      </c>
      <c r="K41" t="s">
        <v>2535</v>
      </c>
      <c r="L41" s="20" t="s">
        <v>2481</v>
      </c>
      <c r="M41" s="20">
        <v>6</v>
      </c>
      <c r="N41">
        <v>1</v>
      </c>
      <c r="O41">
        <v>4</v>
      </c>
    </row>
    <row r="42" spans="1:15" x14ac:dyDescent="0.35">
      <c r="A42">
        <v>315725110301</v>
      </c>
      <c r="B42" t="s">
        <v>3170</v>
      </c>
      <c r="C42" t="s">
        <v>2397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3186</v>
      </c>
      <c r="J42" t="s">
        <v>2806</v>
      </c>
      <c r="K42" t="s">
        <v>2535</v>
      </c>
      <c r="L42" s="20" t="s">
        <v>2481</v>
      </c>
      <c r="M42" s="20">
        <v>6</v>
      </c>
      <c r="N42">
        <v>1</v>
      </c>
      <c r="O42">
        <v>4</v>
      </c>
    </row>
    <row r="43" spans="1:15" x14ac:dyDescent="0.35">
      <c r="A43">
        <v>315725110400</v>
      </c>
      <c r="B43" t="s">
        <v>3170</v>
      </c>
      <c r="C43" t="s">
        <v>2400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3186</v>
      </c>
      <c r="J43" t="s">
        <v>2806</v>
      </c>
      <c r="K43" t="s">
        <v>2535</v>
      </c>
      <c r="L43" s="20" t="s">
        <v>2481</v>
      </c>
      <c r="M43" s="20">
        <v>6</v>
      </c>
      <c r="N43">
        <v>1</v>
      </c>
      <c r="O43">
        <v>4</v>
      </c>
    </row>
    <row r="44" spans="1:15" x14ac:dyDescent="0.35">
      <c r="A44">
        <v>315725110510</v>
      </c>
      <c r="B44">
        <v>6</v>
      </c>
      <c r="C44" t="s">
        <v>2397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2812</v>
      </c>
      <c r="J44" t="s">
        <v>3187</v>
      </c>
      <c r="K44" t="s">
        <v>3188</v>
      </c>
      <c r="L44" s="20" t="s">
        <v>2481</v>
      </c>
      <c r="M44" s="20">
        <v>6</v>
      </c>
      <c r="N44">
        <v>1</v>
      </c>
      <c r="O44">
        <v>4</v>
      </c>
    </row>
    <row r="45" spans="1:15" x14ac:dyDescent="0.35">
      <c r="A45">
        <v>315725110609</v>
      </c>
      <c r="B45">
        <v>6</v>
      </c>
      <c r="C45" t="s">
        <v>2400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2812</v>
      </c>
      <c r="J45" t="s">
        <v>3187</v>
      </c>
      <c r="K45" t="s">
        <v>3188</v>
      </c>
      <c r="L45" s="20" t="s">
        <v>2481</v>
      </c>
      <c r="M45" s="20">
        <v>6</v>
      </c>
      <c r="N45">
        <v>1</v>
      </c>
      <c r="O45">
        <v>4</v>
      </c>
    </row>
    <row r="46" spans="1:15" x14ac:dyDescent="0.35">
      <c r="A46">
        <v>315725110708</v>
      </c>
      <c r="B46">
        <v>6</v>
      </c>
      <c r="C46" t="s">
        <v>2444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2812</v>
      </c>
      <c r="J46" t="s">
        <v>3187</v>
      </c>
      <c r="K46" t="s">
        <v>3188</v>
      </c>
      <c r="L46" s="20" t="s">
        <v>2481</v>
      </c>
      <c r="M46" s="20">
        <v>6</v>
      </c>
      <c r="N46">
        <v>1</v>
      </c>
      <c r="O46">
        <v>4</v>
      </c>
    </row>
    <row r="47" spans="1:15" x14ac:dyDescent="0.35">
      <c r="A47">
        <v>315725110906</v>
      </c>
      <c r="B47">
        <v>9</v>
      </c>
      <c r="C47" t="s">
        <v>2400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2713</v>
      </c>
      <c r="J47" t="s">
        <v>2615</v>
      </c>
      <c r="K47" t="s">
        <v>3189</v>
      </c>
      <c r="L47" s="20" t="s">
        <v>2481</v>
      </c>
      <c r="M47" s="20">
        <v>6</v>
      </c>
      <c r="N47">
        <v>1</v>
      </c>
      <c r="O47">
        <v>4</v>
      </c>
    </row>
    <row r="48" spans="1:15" x14ac:dyDescent="0.35">
      <c r="A48">
        <v>315725111101</v>
      </c>
      <c r="B48">
        <v>9</v>
      </c>
      <c r="C48" t="s">
        <v>2444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2713</v>
      </c>
      <c r="J48" t="s">
        <v>2615</v>
      </c>
      <c r="K48" t="s">
        <v>3189</v>
      </c>
      <c r="L48" s="20" t="s">
        <v>2481</v>
      </c>
      <c r="M48" s="20">
        <v>6</v>
      </c>
      <c r="N48">
        <v>1</v>
      </c>
      <c r="O48">
        <v>4</v>
      </c>
    </row>
    <row r="49" spans="1:15" x14ac:dyDescent="0.35">
      <c r="A49">
        <v>315725111200</v>
      </c>
      <c r="B49">
        <v>9</v>
      </c>
      <c r="C49" t="s">
        <v>2448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2713</v>
      </c>
      <c r="J49" t="s">
        <v>2615</v>
      </c>
      <c r="K49" t="s">
        <v>3189</v>
      </c>
      <c r="L49" s="20" t="s">
        <v>2481</v>
      </c>
      <c r="M49" s="20">
        <v>6</v>
      </c>
      <c r="N49">
        <v>1</v>
      </c>
      <c r="O49">
        <v>4</v>
      </c>
    </row>
    <row r="50" spans="1:15" x14ac:dyDescent="0.35">
      <c r="A50">
        <v>315725111310</v>
      </c>
      <c r="B50">
        <v>9</v>
      </c>
      <c r="C50" t="s">
        <v>2406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2713</v>
      </c>
      <c r="J50" t="s">
        <v>2615</v>
      </c>
      <c r="K50" t="s">
        <v>3189</v>
      </c>
      <c r="L50" s="20" t="s">
        <v>2481</v>
      </c>
      <c r="M50" s="20">
        <v>6</v>
      </c>
      <c r="N50">
        <v>1</v>
      </c>
      <c r="O50">
        <v>4</v>
      </c>
    </row>
    <row r="51" spans="1:15" x14ac:dyDescent="0.35">
      <c r="A51">
        <v>315725111409</v>
      </c>
      <c r="B51">
        <v>12</v>
      </c>
      <c r="C51" t="s">
        <v>2400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3190</v>
      </c>
      <c r="L51" s="20" t="s">
        <v>2481</v>
      </c>
      <c r="M51" s="20">
        <v>6</v>
      </c>
      <c r="N51">
        <v>1</v>
      </c>
      <c r="O51">
        <v>4</v>
      </c>
    </row>
    <row r="52" spans="1:15" x14ac:dyDescent="0.35">
      <c r="A52">
        <v>315725111508</v>
      </c>
      <c r="B52">
        <v>12</v>
      </c>
      <c r="C52" t="s">
        <v>2444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3190</v>
      </c>
      <c r="L52" s="20" t="s">
        <v>2481</v>
      </c>
      <c r="M52" s="20">
        <v>6</v>
      </c>
      <c r="N52">
        <v>1</v>
      </c>
      <c r="O52">
        <v>4</v>
      </c>
    </row>
    <row r="53" spans="1:15" x14ac:dyDescent="0.35">
      <c r="A53">
        <v>315725111607</v>
      </c>
      <c r="B53">
        <v>12</v>
      </c>
      <c r="C53" t="s">
        <v>2448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3190</v>
      </c>
      <c r="L53" s="20" t="s">
        <v>2481</v>
      </c>
      <c r="M53" s="20">
        <v>6</v>
      </c>
      <c r="N53">
        <v>1</v>
      </c>
      <c r="O53">
        <v>4</v>
      </c>
    </row>
    <row r="54" spans="1:15" x14ac:dyDescent="0.35">
      <c r="A54">
        <v>315725111706</v>
      </c>
      <c r="B54">
        <v>12</v>
      </c>
      <c r="C54" t="s">
        <v>2406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3190</v>
      </c>
      <c r="L54" s="20" t="s">
        <v>2481</v>
      </c>
      <c r="M54" s="20">
        <v>6</v>
      </c>
      <c r="N54">
        <v>1</v>
      </c>
      <c r="O54">
        <v>4</v>
      </c>
    </row>
    <row r="55" spans="1:15" x14ac:dyDescent="0.35">
      <c r="A55">
        <v>315725111805</v>
      </c>
      <c r="B55">
        <v>15</v>
      </c>
      <c r="C55" t="s">
        <v>2400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3191</v>
      </c>
      <c r="J55" t="s">
        <v>3192</v>
      </c>
      <c r="K55" t="s">
        <v>3193</v>
      </c>
      <c r="L55" s="20" t="s">
        <v>2481</v>
      </c>
      <c r="M55" s="20">
        <v>6</v>
      </c>
      <c r="N55">
        <v>1</v>
      </c>
      <c r="O55">
        <v>4</v>
      </c>
    </row>
    <row r="56" spans="1:15" x14ac:dyDescent="0.35">
      <c r="A56">
        <v>315725111904</v>
      </c>
      <c r="B56">
        <v>15</v>
      </c>
      <c r="C56" t="s">
        <v>2444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3191</v>
      </c>
      <c r="J56" t="s">
        <v>3192</v>
      </c>
      <c r="K56" t="s">
        <v>3193</v>
      </c>
      <c r="L56" s="20" t="s">
        <v>2481</v>
      </c>
      <c r="M56" s="20">
        <v>6</v>
      </c>
      <c r="N56">
        <v>1</v>
      </c>
      <c r="O56">
        <v>4</v>
      </c>
    </row>
    <row r="57" spans="1:15" x14ac:dyDescent="0.35">
      <c r="A57">
        <v>315725112110</v>
      </c>
      <c r="B57">
        <v>15</v>
      </c>
      <c r="C57" t="s">
        <v>2448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3191</v>
      </c>
      <c r="J57" t="s">
        <v>3192</v>
      </c>
      <c r="K57" t="s">
        <v>3193</v>
      </c>
      <c r="L57" s="20" t="s">
        <v>2481</v>
      </c>
      <c r="M57" s="20">
        <v>6</v>
      </c>
      <c r="N57">
        <v>1</v>
      </c>
      <c r="O57">
        <v>4</v>
      </c>
    </row>
    <row r="58" spans="1:15" x14ac:dyDescent="0.35">
      <c r="A58">
        <v>315725112209</v>
      </c>
      <c r="B58">
        <v>15</v>
      </c>
      <c r="C58" t="s">
        <v>2406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3191</v>
      </c>
      <c r="J58" t="s">
        <v>3192</v>
      </c>
      <c r="K58" t="s">
        <v>3193</v>
      </c>
      <c r="L58" s="20" t="s">
        <v>2481</v>
      </c>
      <c r="M58" s="20">
        <v>6</v>
      </c>
      <c r="N58">
        <v>1</v>
      </c>
      <c r="O58">
        <v>4</v>
      </c>
    </row>
    <row r="59" spans="1:15" x14ac:dyDescent="0.35">
      <c r="A59">
        <v>315726110109</v>
      </c>
      <c r="B59">
        <v>3</v>
      </c>
      <c r="C59" t="s">
        <v>2397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3147</v>
      </c>
      <c r="J59" t="s">
        <v>3194</v>
      </c>
      <c r="K59" s="20" t="s">
        <v>3195</v>
      </c>
      <c r="L59" s="20">
        <v>5</v>
      </c>
      <c r="M59" s="20">
        <v>6</v>
      </c>
      <c r="N59">
        <v>1</v>
      </c>
      <c r="O59">
        <v>4</v>
      </c>
    </row>
    <row r="60" spans="1:15" x14ac:dyDescent="0.35">
      <c r="A60">
        <v>315726110208</v>
      </c>
      <c r="B60">
        <v>3</v>
      </c>
      <c r="C60" t="s">
        <v>2400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3147</v>
      </c>
      <c r="J60" t="s">
        <v>3194</v>
      </c>
      <c r="K60" s="20" t="s">
        <v>3195</v>
      </c>
      <c r="L60" s="20">
        <v>5</v>
      </c>
      <c r="M60" s="20">
        <v>6</v>
      </c>
      <c r="N60">
        <v>1</v>
      </c>
      <c r="O60">
        <v>4</v>
      </c>
    </row>
    <row r="61" spans="1:15" x14ac:dyDescent="0.35">
      <c r="A61">
        <v>315726110307</v>
      </c>
      <c r="B61" t="s">
        <v>3170</v>
      </c>
      <c r="C61" t="s">
        <v>2397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3147</v>
      </c>
      <c r="J61" t="s">
        <v>3194</v>
      </c>
      <c r="K61" s="20" t="s">
        <v>3195</v>
      </c>
      <c r="L61" s="20">
        <v>5</v>
      </c>
      <c r="M61" s="20">
        <v>6</v>
      </c>
      <c r="N61">
        <v>1</v>
      </c>
      <c r="O61">
        <v>4</v>
      </c>
    </row>
    <row r="62" spans="1:15" x14ac:dyDescent="0.35">
      <c r="A62">
        <v>315726110406</v>
      </c>
      <c r="B62" t="s">
        <v>3170</v>
      </c>
      <c r="C62" t="s">
        <v>2400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3147</v>
      </c>
      <c r="J62" t="s">
        <v>3194</v>
      </c>
      <c r="K62" s="20" t="s">
        <v>3195</v>
      </c>
      <c r="L62" s="20">
        <v>5</v>
      </c>
      <c r="M62" s="20">
        <v>6</v>
      </c>
      <c r="N62">
        <v>1</v>
      </c>
      <c r="O62">
        <v>4</v>
      </c>
    </row>
    <row r="63" spans="1:15" x14ac:dyDescent="0.35">
      <c r="A63">
        <v>315726110505</v>
      </c>
      <c r="B63">
        <v>6</v>
      </c>
      <c r="C63" t="s">
        <v>2397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2794</v>
      </c>
      <c r="J63" t="s">
        <v>2467</v>
      </c>
      <c r="K63" s="20" t="s">
        <v>2561</v>
      </c>
      <c r="L63" s="20">
        <v>5</v>
      </c>
      <c r="M63" s="20">
        <v>6</v>
      </c>
      <c r="N63">
        <v>1</v>
      </c>
      <c r="O63">
        <v>4</v>
      </c>
    </row>
    <row r="64" spans="1:15" x14ac:dyDescent="0.35">
      <c r="A64">
        <v>315726110604</v>
      </c>
      <c r="B64">
        <v>6</v>
      </c>
      <c r="C64" t="s">
        <v>2400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2794</v>
      </c>
      <c r="J64" t="s">
        <v>2467</v>
      </c>
      <c r="K64" s="20" t="s">
        <v>2561</v>
      </c>
      <c r="L64" s="20">
        <v>5</v>
      </c>
      <c r="M64" s="20">
        <v>6</v>
      </c>
      <c r="N64">
        <v>1</v>
      </c>
      <c r="O64">
        <v>4</v>
      </c>
    </row>
    <row r="65" spans="1:15" x14ac:dyDescent="0.35">
      <c r="A65">
        <v>315726110703</v>
      </c>
      <c r="B65">
        <v>6</v>
      </c>
      <c r="C65" t="s">
        <v>2444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2794</v>
      </c>
      <c r="J65" t="s">
        <v>2467</v>
      </c>
      <c r="K65" s="20" t="s">
        <v>2561</v>
      </c>
      <c r="L65" s="20">
        <v>5</v>
      </c>
      <c r="M65" s="20">
        <v>6</v>
      </c>
      <c r="N65">
        <v>1</v>
      </c>
      <c r="O65">
        <v>4</v>
      </c>
    </row>
    <row r="66" spans="1:15" x14ac:dyDescent="0.35">
      <c r="A66">
        <v>315726110901</v>
      </c>
      <c r="B66">
        <v>9</v>
      </c>
      <c r="C66" t="s">
        <v>2400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3196</v>
      </c>
      <c r="J66" t="s">
        <v>3197</v>
      </c>
      <c r="K66" s="20" t="s">
        <v>3198</v>
      </c>
      <c r="L66" s="20">
        <v>5</v>
      </c>
      <c r="M66" s="20">
        <v>6</v>
      </c>
      <c r="N66">
        <v>1</v>
      </c>
      <c r="O66">
        <v>4</v>
      </c>
    </row>
    <row r="67" spans="1:15" x14ac:dyDescent="0.35">
      <c r="A67">
        <v>315726111107</v>
      </c>
      <c r="B67">
        <v>9</v>
      </c>
      <c r="C67" t="s">
        <v>2444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3196</v>
      </c>
      <c r="J67" t="s">
        <v>3197</v>
      </c>
      <c r="K67" s="20" t="s">
        <v>3198</v>
      </c>
      <c r="L67" s="20">
        <v>5</v>
      </c>
      <c r="M67" s="20">
        <v>6</v>
      </c>
      <c r="N67">
        <v>1</v>
      </c>
      <c r="O67">
        <v>4</v>
      </c>
    </row>
    <row r="68" spans="1:15" x14ac:dyDescent="0.35">
      <c r="A68">
        <v>315726111206</v>
      </c>
      <c r="B68">
        <v>9</v>
      </c>
      <c r="C68" t="s">
        <v>2448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3196</v>
      </c>
      <c r="J68" t="s">
        <v>3197</v>
      </c>
      <c r="K68" s="20" t="s">
        <v>3198</v>
      </c>
      <c r="L68" s="20">
        <v>5</v>
      </c>
      <c r="M68" s="20">
        <v>6</v>
      </c>
      <c r="N68">
        <v>1</v>
      </c>
      <c r="O68">
        <v>4</v>
      </c>
    </row>
    <row r="69" spans="1:15" x14ac:dyDescent="0.35">
      <c r="A69">
        <v>315726111305</v>
      </c>
      <c r="B69">
        <v>9</v>
      </c>
      <c r="C69" t="s">
        <v>2406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3196</v>
      </c>
      <c r="J69" t="s">
        <v>3197</v>
      </c>
      <c r="K69" s="20" t="s">
        <v>3198</v>
      </c>
      <c r="L69" s="20">
        <v>5</v>
      </c>
      <c r="M69" s="20">
        <v>6</v>
      </c>
      <c r="N69">
        <v>1</v>
      </c>
      <c r="O69">
        <v>4</v>
      </c>
    </row>
    <row r="70" spans="1:15" x14ac:dyDescent="0.35">
      <c r="A70">
        <v>315726111404</v>
      </c>
      <c r="B70">
        <v>12</v>
      </c>
      <c r="C70" t="s">
        <v>2400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2649</v>
      </c>
      <c r="J70" t="s">
        <v>3199</v>
      </c>
      <c r="K70" s="20" t="s">
        <v>2571</v>
      </c>
      <c r="L70" s="20">
        <v>5</v>
      </c>
      <c r="M70" s="20">
        <v>6</v>
      </c>
      <c r="N70">
        <v>1</v>
      </c>
      <c r="O70">
        <v>4</v>
      </c>
    </row>
    <row r="71" spans="1:15" x14ac:dyDescent="0.35">
      <c r="A71">
        <v>315726111503</v>
      </c>
      <c r="B71">
        <v>12</v>
      </c>
      <c r="C71" t="s">
        <v>2444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2649</v>
      </c>
      <c r="J71" t="s">
        <v>3199</v>
      </c>
      <c r="K71" s="20" t="s">
        <v>2571</v>
      </c>
      <c r="L71" s="20">
        <v>5</v>
      </c>
      <c r="M71" s="20">
        <v>6</v>
      </c>
      <c r="N71">
        <v>1</v>
      </c>
      <c r="O71">
        <v>4</v>
      </c>
    </row>
    <row r="72" spans="1:15" x14ac:dyDescent="0.35">
      <c r="A72">
        <v>315726111602</v>
      </c>
      <c r="B72">
        <v>12</v>
      </c>
      <c r="C72" t="s">
        <v>2448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2649</v>
      </c>
      <c r="J72" t="s">
        <v>3199</v>
      </c>
      <c r="K72" s="20" t="s">
        <v>2571</v>
      </c>
      <c r="L72" s="20">
        <v>5</v>
      </c>
      <c r="M72" s="20">
        <v>6</v>
      </c>
      <c r="N72">
        <v>1</v>
      </c>
      <c r="O72">
        <v>4</v>
      </c>
    </row>
    <row r="73" spans="1:15" x14ac:dyDescent="0.35">
      <c r="A73">
        <v>315726111701</v>
      </c>
      <c r="B73">
        <v>12</v>
      </c>
      <c r="C73" t="s">
        <v>2406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2649</v>
      </c>
      <c r="J73" t="s">
        <v>3199</v>
      </c>
      <c r="K73" s="20" t="s">
        <v>2571</v>
      </c>
      <c r="L73" s="20">
        <v>5</v>
      </c>
      <c r="M73" s="20">
        <v>6</v>
      </c>
      <c r="N73">
        <v>1</v>
      </c>
      <c r="O73">
        <v>4</v>
      </c>
    </row>
    <row r="74" spans="1:15" x14ac:dyDescent="0.35">
      <c r="A74">
        <v>315726111800</v>
      </c>
      <c r="B74">
        <v>15</v>
      </c>
      <c r="C74" t="s">
        <v>2400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2669</v>
      </c>
      <c r="J74" t="s">
        <v>3200</v>
      </c>
      <c r="K74" s="20" t="s">
        <v>3201</v>
      </c>
      <c r="L74" s="20">
        <v>5</v>
      </c>
      <c r="M74" s="20">
        <v>6</v>
      </c>
      <c r="N74">
        <v>1</v>
      </c>
      <c r="O74">
        <v>4</v>
      </c>
    </row>
    <row r="75" spans="1:15" x14ac:dyDescent="0.35">
      <c r="A75">
        <v>315726111910</v>
      </c>
      <c r="B75">
        <v>15</v>
      </c>
      <c r="C75" t="s">
        <v>2444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2669</v>
      </c>
      <c r="J75" t="s">
        <v>3200</v>
      </c>
      <c r="K75" s="20" t="s">
        <v>3201</v>
      </c>
      <c r="L75" s="20">
        <v>5</v>
      </c>
      <c r="M75" s="20">
        <v>6</v>
      </c>
      <c r="N75">
        <v>1</v>
      </c>
      <c r="O75">
        <v>4</v>
      </c>
    </row>
    <row r="76" spans="1:15" x14ac:dyDescent="0.35">
      <c r="A76">
        <v>315726112105</v>
      </c>
      <c r="B76">
        <v>15</v>
      </c>
      <c r="C76" t="s">
        <v>2448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2669</v>
      </c>
      <c r="J76" t="s">
        <v>3200</v>
      </c>
      <c r="K76" s="20" t="s">
        <v>3201</v>
      </c>
      <c r="L76" s="20">
        <v>5</v>
      </c>
      <c r="M76" s="20">
        <v>6</v>
      </c>
      <c r="N76">
        <v>1</v>
      </c>
      <c r="O76">
        <v>4</v>
      </c>
    </row>
    <row r="77" spans="1:15" x14ac:dyDescent="0.35">
      <c r="A77">
        <v>315726112204</v>
      </c>
      <c r="B77">
        <v>15</v>
      </c>
      <c r="C77" t="s">
        <v>2406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2669</v>
      </c>
      <c r="J77" t="s">
        <v>3200</v>
      </c>
      <c r="K77" s="20" t="s">
        <v>3201</v>
      </c>
      <c r="L77" s="20">
        <v>5</v>
      </c>
      <c r="M77" s="20">
        <v>6</v>
      </c>
      <c r="N77">
        <v>1</v>
      </c>
      <c r="O77">
        <v>4</v>
      </c>
    </row>
    <row r="78" spans="1:15" x14ac:dyDescent="0.35">
      <c r="A78">
        <v>315728110110</v>
      </c>
      <c r="B78">
        <v>3</v>
      </c>
      <c r="C78" t="s">
        <v>2397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2451</v>
      </c>
      <c r="L78" s="20">
        <v>8</v>
      </c>
      <c r="M78" s="20">
        <v>12</v>
      </c>
      <c r="N78">
        <v>1</v>
      </c>
      <c r="O78">
        <v>4</v>
      </c>
    </row>
    <row r="79" spans="1:15" x14ac:dyDescent="0.35">
      <c r="A79">
        <v>315728110110</v>
      </c>
      <c r="B79">
        <v>3</v>
      </c>
      <c r="C79" t="s">
        <v>2400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2451</v>
      </c>
      <c r="L79" s="20">
        <v>8</v>
      </c>
      <c r="M79" s="20">
        <v>12</v>
      </c>
      <c r="N79">
        <v>1</v>
      </c>
      <c r="O79">
        <v>4</v>
      </c>
    </row>
    <row r="80" spans="1:15" x14ac:dyDescent="0.35">
      <c r="A80">
        <v>315728110308</v>
      </c>
      <c r="B80" t="s">
        <v>3170</v>
      </c>
      <c r="C80" t="s">
        <v>2397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3202</v>
      </c>
      <c r="J80" t="s">
        <v>3203</v>
      </c>
      <c r="K80" t="s">
        <v>2399</v>
      </c>
      <c r="L80" s="20">
        <v>8</v>
      </c>
      <c r="M80" s="20">
        <v>12</v>
      </c>
      <c r="N80">
        <v>1</v>
      </c>
      <c r="O80">
        <v>4</v>
      </c>
    </row>
    <row r="81" spans="1:15" x14ac:dyDescent="0.35">
      <c r="A81">
        <v>315728110308</v>
      </c>
      <c r="B81" t="s">
        <v>3170</v>
      </c>
      <c r="C81" t="s">
        <v>2400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3202</v>
      </c>
      <c r="J81" t="s">
        <v>3203</v>
      </c>
      <c r="K81" t="s">
        <v>2399</v>
      </c>
      <c r="L81" s="20">
        <v>8</v>
      </c>
      <c r="M81" s="20">
        <v>12</v>
      </c>
      <c r="N81">
        <v>1</v>
      </c>
      <c r="O81">
        <v>4</v>
      </c>
    </row>
    <row r="82" spans="1:15" x14ac:dyDescent="0.35">
      <c r="A82">
        <v>315728110605</v>
      </c>
      <c r="B82">
        <v>6</v>
      </c>
      <c r="C82" t="s">
        <v>2397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3204</v>
      </c>
      <c r="J82" t="s">
        <v>2659</v>
      </c>
      <c r="K82" t="s">
        <v>2415</v>
      </c>
      <c r="L82" s="20">
        <v>8</v>
      </c>
      <c r="M82" s="20">
        <v>12</v>
      </c>
      <c r="N82">
        <v>1</v>
      </c>
      <c r="O82">
        <v>4</v>
      </c>
    </row>
    <row r="83" spans="1:15" x14ac:dyDescent="0.35">
      <c r="A83">
        <v>315728110803</v>
      </c>
      <c r="B83">
        <v>6</v>
      </c>
      <c r="C83" t="s">
        <v>2400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3204</v>
      </c>
      <c r="J83" t="s">
        <v>2659</v>
      </c>
      <c r="K83" t="s">
        <v>2415</v>
      </c>
      <c r="L83" s="20">
        <v>8</v>
      </c>
      <c r="M83" s="20">
        <v>12</v>
      </c>
      <c r="N83">
        <v>1</v>
      </c>
      <c r="O83">
        <v>4</v>
      </c>
    </row>
    <row r="84" spans="1:15" x14ac:dyDescent="0.35">
      <c r="A84">
        <v>315728111108</v>
      </c>
      <c r="B84">
        <v>6</v>
      </c>
      <c r="C84" t="s">
        <v>2444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3204</v>
      </c>
      <c r="J84" t="s">
        <v>2659</v>
      </c>
      <c r="K84" t="s">
        <v>2415</v>
      </c>
      <c r="L84" s="20">
        <v>8</v>
      </c>
      <c r="M84" s="20">
        <v>12</v>
      </c>
      <c r="N84">
        <v>1</v>
      </c>
      <c r="O84">
        <v>4</v>
      </c>
    </row>
    <row r="85" spans="1:15" x14ac:dyDescent="0.35">
      <c r="A85">
        <v>315728111306</v>
      </c>
      <c r="B85">
        <v>6</v>
      </c>
      <c r="C85" t="s">
        <v>2448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3204</v>
      </c>
      <c r="J85" t="s">
        <v>2659</v>
      </c>
      <c r="K85" t="s">
        <v>2415</v>
      </c>
      <c r="L85" s="20">
        <v>8</v>
      </c>
      <c r="M85" s="20">
        <v>12</v>
      </c>
      <c r="N85">
        <v>1</v>
      </c>
      <c r="O85">
        <v>4</v>
      </c>
    </row>
    <row r="86" spans="1:15" x14ac:dyDescent="0.35">
      <c r="A86">
        <v>315728111702</v>
      </c>
      <c r="B86">
        <v>9</v>
      </c>
      <c r="C86" t="s">
        <v>2397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2409</v>
      </c>
      <c r="L86" s="20">
        <v>8</v>
      </c>
      <c r="M86" s="20">
        <v>12</v>
      </c>
      <c r="N86">
        <v>1</v>
      </c>
      <c r="O86">
        <v>4</v>
      </c>
    </row>
    <row r="87" spans="1:15" x14ac:dyDescent="0.35">
      <c r="A87">
        <v>315728111900</v>
      </c>
      <c r="B87">
        <v>9</v>
      </c>
      <c r="C87" t="s">
        <v>2400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2409</v>
      </c>
      <c r="L87" s="20">
        <v>8</v>
      </c>
      <c r="M87" s="20">
        <v>12</v>
      </c>
      <c r="N87">
        <v>1</v>
      </c>
      <c r="O87">
        <v>4</v>
      </c>
    </row>
    <row r="88" spans="1:15" x14ac:dyDescent="0.35">
      <c r="A88">
        <v>315728112106</v>
      </c>
      <c r="B88">
        <v>9</v>
      </c>
      <c r="C88" t="s">
        <v>2444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2409</v>
      </c>
      <c r="L88" s="20">
        <v>8</v>
      </c>
      <c r="M88" s="20">
        <v>12</v>
      </c>
      <c r="N88">
        <v>1</v>
      </c>
      <c r="O88">
        <v>4</v>
      </c>
    </row>
    <row r="89" spans="1:15" x14ac:dyDescent="0.35">
      <c r="A89">
        <v>315728112205</v>
      </c>
      <c r="B89">
        <v>9</v>
      </c>
      <c r="C89" t="s">
        <v>2448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2409</v>
      </c>
      <c r="L89" s="20">
        <v>8</v>
      </c>
      <c r="M89" s="20">
        <v>12</v>
      </c>
      <c r="N89">
        <v>1</v>
      </c>
      <c r="O89">
        <v>4</v>
      </c>
    </row>
    <row r="90" spans="1:15" x14ac:dyDescent="0.35">
      <c r="A90">
        <v>315728116703</v>
      </c>
      <c r="B90">
        <v>9</v>
      </c>
      <c r="C90" t="s">
        <v>2406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2409</v>
      </c>
      <c r="L90" s="20">
        <v>8</v>
      </c>
      <c r="M90" s="20">
        <v>12</v>
      </c>
      <c r="N90">
        <v>1</v>
      </c>
      <c r="O90">
        <v>4</v>
      </c>
    </row>
    <row r="91" spans="1:15" x14ac:dyDescent="0.35">
      <c r="A91">
        <v>315727112101</v>
      </c>
      <c r="B91">
        <v>3</v>
      </c>
      <c r="C91" t="s">
        <v>2444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3205</v>
      </c>
      <c r="J91" t="s">
        <v>2655</v>
      </c>
      <c r="K91" t="s">
        <v>2419</v>
      </c>
      <c r="L91">
        <v>10</v>
      </c>
      <c r="M91">
        <v>18</v>
      </c>
      <c r="N91">
        <v>1</v>
      </c>
      <c r="O91">
        <v>4</v>
      </c>
    </row>
    <row r="92" spans="1:15" x14ac:dyDescent="0.35">
      <c r="A92">
        <v>315727112210</v>
      </c>
      <c r="B92" t="s">
        <v>3170</v>
      </c>
      <c r="C92" t="s">
        <v>2444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3205</v>
      </c>
      <c r="J92" t="s">
        <v>2655</v>
      </c>
      <c r="K92" t="s">
        <v>2419</v>
      </c>
      <c r="L92">
        <v>10</v>
      </c>
      <c r="M92">
        <v>18</v>
      </c>
      <c r="N92">
        <v>1</v>
      </c>
      <c r="O92">
        <v>4</v>
      </c>
    </row>
    <row r="93" spans="1:15" x14ac:dyDescent="0.35">
      <c r="A93">
        <v>315727112408</v>
      </c>
      <c r="B93">
        <v>6</v>
      </c>
      <c r="C93" t="s">
        <v>2444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3206</v>
      </c>
      <c r="J93" t="s">
        <v>2426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35">
      <c r="A94">
        <v>315727112408</v>
      </c>
      <c r="B94">
        <v>6</v>
      </c>
      <c r="C94" t="s">
        <v>2448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3206</v>
      </c>
      <c r="J94" t="s">
        <v>2426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35">
      <c r="A95">
        <v>315727112507</v>
      </c>
      <c r="B95">
        <v>9</v>
      </c>
      <c r="C95" t="s">
        <v>2448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3207</v>
      </c>
      <c r="J95" t="s">
        <v>3208</v>
      </c>
      <c r="K95" t="s">
        <v>2463</v>
      </c>
      <c r="L95">
        <v>10</v>
      </c>
      <c r="M95">
        <v>18</v>
      </c>
      <c r="N95">
        <v>1</v>
      </c>
      <c r="O95">
        <v>4</v>
      </c>
    </row>
    <row r="96" spans="1:15" x14ac:dyDescent="0.35">
      <c r="A96">
        <v>315727112507</v>
      </c>
      <c r="B96">
        <v>9</v>
      </c>
      <c r="C96" t="s">
        <v>2406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3207</v>
      </c>
      <c r="J96" t="s">
        <v>3208</v>
      </c>
      <c r="K96" t="s">
        <v>2463</v>
      </c>
      <c r="L96">
        <v>10</v>
      </c>
      <c r="M96">
        <v>18</v>
      </c>
      <c r="N96">
        <v>1</v>
      </c>
      <c r="O96">
        <v>4</v>
      </c>
    </row>
    <row r="97" spans="1:15" x14ac:dyDescent="0.35">
      <c r="A97">
        <v>315727110709</v>
      </c>
      <c r="B97">
        <v>3</v>
      </c>
      <c r="C97" t="s">
        <v>2444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3209</v>
      </c>
      <c r="J97" t="s">
        <v>2673</v>
      </c>
      <c r="K97" t="s">
        <v>2411</v>
      </c>
      <c r="L97">
        <v>10</v>
      </c>
      <c r="M97">
        <v>24</v>
      </c>
      <c r="N97">
        <v>1</v>
      </c>
      <c r="O97">
        <v>4</v>
      </c>
    </row>
    <row r="98" spans="1:15" x14ac:dyDescent="0.35">
      <c r="A98">
        <v>315727110808</v>
      </c>
      <c r="B98" t="s">
        <v>3170</v>
      </c>
      <c r="C98" t="s">
        <v>2444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3209</v>
      </c>
      <c r="J98" t="s">
        <v>2673</v>
      </c>
      <c r="K98" t="s">
        <v>2411</v>
      </c>
      <c r="L98">
        <v>10</v>
      </c>
      <c r="M98">
        <v>24</v>
      </c>
      <c r="N98">
        <v>1</v>
      </c>
      <c r="O98">
        <v>4</v>
      </c>
    </row>
    <row r="99" spans="1:15" x14ac:dyDescent="0.35">
      <c r="A99">
        <v>315727111102</v>
      </c>
      <c r="B99">
        <v>6</v>
      </c>
      <c r="C99" t="s">
        <v>2444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2836</v>
      </c>
      <c r="J99" t="s">
        <v>2812</v>
      </c>
      <c r="K99" t="s">
        <v>2483</v>
      </c>
      <c r="L99">
        <v>10</v>
      </c>
      <c r="M99">
        <v>24</v>
      </c>
      <c r="N99">
        <v>1</v>
      </c>
      <c r="O99">
        <v>4</v>
      </c>
    </row>
    <row r="100" spans="1:15" x14ac:dyDescent="0.35">
      <c r="A100">
        <v>315727111102</v>
      </c>
      <c r="B100">
        <v>6</v>
      </c>
      <c r="C100" t="s">
        <v>2448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2836</v>
      </c>
      <c r="J100" t="s">
        <v>2812</v>
      </c>
      <c r="K100" t="s">
        <v>2483</v>
      </c>
      <c r="L100">
        <v>10</v>
      </c>
      <c r="M100">
        <v>24</v>
      </c>
      <c r="N100">
        <v>1</v>
      </c>
      <c r="O100">
        <v>4</v>
      </c>
    </row>
    <row r="101" spans="1:15" x14ac:dyDescent="0.35">
      <c r="A101">
        <v>315727112804</v>
      </c>
      <c r="B101">
        <v>9</v>
      </c>
      <c r="C101" t="s">
        <v>2448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3210</v>
      </c>
      <c r="J101" t="s">
        <v>3211</v>
      </c>
      <c r="K101" t="s">
        <v>2461</v>
      </c>
      <c r="L101">
        <v>10</v>
      </c>
      <c r="M101">
        <v>24</v>
      </c>
      <c r="N101">
        <v>1</v>
      </c>
      <c r="O101">
        <v>4</v>
      </c>
    </row>
    <row r="102" spans="1:15" x14ac:dyDescent="0.35">
      <c r="A102">
        <v>315727112804</v>
      </c>
      <c r="B102">
        <v>9</v>
      </c>
      <c r="C102" t="s">
        <v>2406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3210</v>
      </c>
      <c r="J102" t="s">
        <v>3211</v>
      </c>
      <c r="K102" t="s">
        <v>2461</v>
      </c>
      <c r="L102">
        <v>10</v>
      </c>
      <c r="M102">
        <v>24</v>
      </c>
      <c r="N102">
        <v>1</v>
      </c>
      <c r="O102">
        <v>4</v>
      </c>
    </row>
    <row r="103" spans="1:15" x14ac:dyDescent="0.35">
      <c r="A103">
        <v>315727111410</v>
      </c>
      <c r="B103">
        <v>3</v>
      </c>
      <c r="C103" t="s">
        <v>2444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3212</v>
      </c>
      <c r="J103" t="s">
        <v>3213</v>
      </c>
      <c r="K103" t="s">
        <v>2483</v>
      </c>
      <c r="L103">
        <v>10</v>
      </c>
      <c r="M103">
        <v>36</v>
      </c>
      <c r="N103">
        <v>1</v>
      </c>
      <c r="O103">
        <v>4</v>
      </c>
    </row>
    <row r="104" spans="1:15" x14ac:dyDescent="0.35">
      <c r="A104">
        <v>315727111509</v>
      </c>
      <c r="B104" t="s">
        <v>3170</v>
      </c>
      <c r="C104" t="s">
        <v>2444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3212</v>
      </c>
      <c r="J104" t="s">
        <v>3213</v>
      </c>
      <c r="K104" t="s">
        <v>2483</v>
      </c>
      <c r="L104">
        <v>10</v>
      </c>
      <c r="M104">
        <v>36</v>
      </c>
      <c r="N104">
        <v>1</v>
      </c>
      <c r="O104">
        <v>4</v>
      </c>
    </row>
    <row r="105" spans="1:15" x14ac:dyDescent="0.35">
      <c r="A105">
        <v>315727111707</v>
      </c>
      <c r="B105">
        <v>6</v>
      </c>
      <c r="C105" t="s">
        <v>2444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2813</v>
      </c>
      <c r="K105" t="s">
        <v>2460</v>
      </c>
      <c r="L105">
        <v>10</v>
      </c>
      <c r="M105">
        <v>36</v>
      </c>
      <c r="N105">
        <v>1</v>
      </c>
      <c r="O105">
        <v>4</v>
      </c>
    </row>
    <row r="106" spans="1:15" x14ac:dyDescent="0.35">
      <c r="A106">
        <v>315727111707</v>
      </c>
      <c r="B106">
        <v>6</v>
      </c>
      <c r="C106" t="s">
        <v>2448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2813</v>
      </c>
      <c r="K106" t="s">
        <v>2460</v>
      </c>
      <c r="L106">
        <v>10</v>
      </c>
      <c r="M106">
        <v>36</v>
      </c>
      <c r="N106">
        <v>1</v>
      </c>
      <c r="O106">
        <v>4</v>
      </c>
    </row>
    <row r="107" spans="1:15" x14ac:dyDescent="0.35">
      <c r="A107">
        <v>315727112903</v>
      </c>
      <c r="B107">
        <v>9</v>
      </c>
      <c r="C107" t="s">
        <v>2448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3214</v>
      </c>
      <c r="J107" t="s">
        <v>3215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35">
      <c r="A108">
        <v>315727112903</v>
      </c>
      <c r="B108">
        <v>9</v>
      </c>
      <c r="C108" t="s">
        <v>2406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3214</v>
      </c>
      <c r="J108" t="s">
        <v>3215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35">
      <c r="A109">
        <v>315723210109</v>
      </c>
      <c r="B109" t="s">
        <v>3164</v>
      </c>
      <c r="C109" t="s">
        <v>2400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3216</v>
      </c>
      <c r="L109" s="20">
        <v>1</v>
      </c>
      <c r="M109" s="20">
        <v>6</v>
      </c>
      <c r="N109">
        <v>2</v>
      </c>
      <c r="O109">
        <v>4</v>
      </c>
    </row>
    <row r="110" spans="1:15" x14ac:dyDescent="0.35">
      <c r="A110">
        <v>315723210208</v>
      </c>
      <c r="B110" t="s">
        <v>3164</v>
      </c>
      <c r="C110" t="s">
        <v>2444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3216</v>
      </c>
      <c r="L110" s="20">
        <v>1</v>
      </c>
      <c r="M110" s="20">
        <v>6</v>
      </c>
      <c r="N110">
        <v>2</v>
      </c>
      <c r="O110">
        <v>4</v>
      </c>
    </row>
    <row r="111" spans="1:15" x14ac:dyDescent="0.35">
      <c r="A111">
        <v>315723210307</v>
      </c>
      <c r="B111" t="s">
        <v>3164</v>
      </c>
      <c r="C111" t="s">
        <v>2448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3216</v>
      </c>
      <c r="L111" s="20">
        <v>1</v>
      </c>
      <c r="M111" s="20">
        <v>6</v>
      </c>
      <c r="N111">
        <v>2</v>
      </c>
      <c r="O111">
        <v>4</v>
      </c>
    </row>
    <row r="112" spans="1:15" x14ac:dyDescent="0.35">
      <c r="A112">
        <v>315723210406</v>
      </c>
      <c r="B112" t="s">
        <v>3165</v>
      </c>
      <c r="C112" t="s">
        <v>2400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3199</v>
      </c>
      <c r="J112" t="s">
        <v>3217</v>
      </c>
      <c r="K112" t="s">
        <v>3218</v>
      </c>
      <c r="L112" s="20">
        <v>1</v>
      </c>
      <c r="M112" s="20">
        <v>6</v>
      </c>
      <c r="N112">
        <v>2</v>
      </c>
      <c r="O112">
        <v>4</v>
      </c>
    </row>
    <row r="113" spans="1:15" x14ac:dyDescent="0.35">
      <c r="A113">
        <v>315723210505</v>
      </c>
      <c r="B113" t="s">
        <v>3165</v>
      </c>
      <c r="C113" t="s">
        <v>2444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3199</v>
      </c>
      <c r="J113" t="s">
        <v>3217</v>
      </c>
      <c r="K113" t="s">
        <v>3218</v>
      </c>
      <c r="L113" s="20">
        <v>1</v>
      </c>
      <c r="M113" s="20">
        <v>6</v>
      </c>
      <c r="N113">
        <v>2</v>
      </c>
      <c r="O113">
        <v>4</v>
      </c>
    </row>
    <row r="114" spans="1:15" x14ac:dyDescent="0.35">
      <c r="A114">
        <v>315723210604</v>
      </c>
      <c r="B114" t="s">
        <v>3165</v>
      </c>
      <c r="C114" t="s">
        <v>2448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3199</v>
      </c>
      <c r="J114" t="s">
        <v>3217</v>
      </c>
      <c r="K114" t="s">
        <v>3218</v>
      </c>
      <c r="L114" s="20">
        <v>1</v>
      </c>
      <c r="M114" s="20">
        <v>6</v>
      </c>
      <c r="N114">
        <v>2</v>
      </c>
      <c r="O114">
        <v>4</v>
      </c>
    </row>
    <row r="115" spans="1:15" x14ac:dyDescent="0.35">
      <c r="A115">
        <v>315723210703</v>
      </c>
      <c r="B115" t="s">
        <v>3165</v>
      </c>
      <c r="C115" t="s">
        <v>2406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3199</v>
      </c>
      <c r="J115" t="s">
        <v>3217</v>
      </c>
      <c r="K115" t="s">
        <v>3218</v>
      </c>
      <c r="L115" s="20">
        <v>1</v>
      </c>
      <c r="M115" s="20">
        <v>6</v>
      </c>
      <c r="N115">
        <v>2</v>
      </c>
      <c r="O115">
        <v>4</v>
      </c>
    </row>
    <row r="116" spans="1:15" x14ac:dyDescent="0.35">
      <c r="A116">
        <v>315723210802</v>
      </c>
      <c r="B116" t="s">
        <v>3166</v>
      </c>
      <c r="C116" t="s">
        <v>2400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2636</v>
      </c>
      <c r="J116" t="s">
        <v>3219</v>
      </c>
      <c r="K116" t="s">
        <v>2526</v>
      </c>
      <c r="L116" s="20">
        <v>1</v>
      </c>
      <c r="M116" s="20">
        <v>6</v>
      </c>
      <c r="N116">
        <v>2</v>
      </c>
      <c r="O116">
        <v>4</v>
      </c>
    </row>
    <row r="117" spans="1:15" x14ac:dyDescent="0.35">
      <c r="A117">
        <v>315723210901</v>
      </c>
      <c r="B117" t="s">
        <v>3166</v>
      </c>
      <c r="C117" t="s">
        <v>2444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2636</v>
      </c>
      <c r="J117" t="s">
        <v>3219</v>
      </c>
      <c r="K117" t="s">
        <v>2526</v>
      </c>
      <c r="L117" s="20">
        <v>1</v>
      </c>
      <c r="M117" s="20">
        <v>6</v>
      </c>
      <c r="N117">
        <v>2</v>
      </c>
      <c r="O117">
        <v>4</v>
      </c>
    </row>
    <row r="118" spans="1:15" x14ac:dyDescent="0.35">
      <c r="A118">
        <v>315723211107</v>
      </c>
      <c r="B118" t="s">
        <v>3166</v>
      </c>
      <c r="C118" t="s">
        <v>2448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2636</v>
      </c>
      <c r="J118" t="s">
        <v>3219</v>
      </c>
      <c r="K118" t="s">
        <v>2526</v>
      </c>
      <c r="L118" s="20">
        <v>1</v>
      </c>
      <c r="M118" s="20">
        <v>6</v>
      </c>
      <c r="N118">
        <v>2</v>
      </c>
      <c r="O118">
        <v>4</v>
      </c>
    </row>
    <row r="119" spans="1:15" x14ac:dyDescent="0.35">
      <c r="A119">
        <v>315723211206</v>
      </c>
      <c r="B119" t="s">
        <v>3166</v>
      </c>
      <c r="C119" t="s">
        <v>2406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2636</v>
      </c>
      <c r="J119" t="s">
        <v>3219</v>
      </c>
      <c r="K119" t="s">
        <v>2526</v>
      </c>
      <c r="L119" s="20">
        <v>1</v>
      </c>
      <c r="M119" s="20">
        <v>6</v>
      </c>
      <c r="N119">
        <v>2</v>
      </c>
      <c r="O119">
        <v>4</v>
      </c>
    </row>
    <row r="120" spans="1:15" x14ac:dyDescent="0.35">
      <c r="A120">
        <v>315723211305</v>
      </c>
      <c r="B120" t="s">
        <v>3167</v>
      </c>
      <c r="C120" t="s">
        <v>2400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3220</v>
      </c>
      <c r="J120" t="s">
        <v>2419</v>
      </c>
      <c r="K120" t="s">
        <v>2549</v>
      </c>
      <c r="L120" s="20">
        <v>1</v>
      </c>
      <c r="M120" s="20">
        <v>6</v>
      </c>
      <c r="N120">
        <v>2</v>
      </c>
      <c r="O120">
        <v>4</v>
      </c>
    </row>
    <row r="121" spans="1:15" x14ac:dyDescent="0.35">
      <c r="A121">
        <v>315723211404</v>
      </c>
      <c r="B121" t="s">
        <v>3167</v>
      </c>
      <c r="C121" t="s">
        <v>2444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3220</v>
      </c>
      <c r="J121" t="s">
        <v>2419</v>
      </c>
      <c r="K121" t="s">
        <v>2549</v>
      </c>
      <c r="L121" s="20">
        <v>1</v>
      </c>
      <c r="M121" s="20">
        <v>6</v>
      </c>
      <c r="N121">
        <v>2</v>
      </c>
      <c r="O121">
        <v>4</v>
      </c>
    </row>
    <row r="122" spans="1:15" x14ac:dyDescent="0.35">
      <c r="A122">
        <v>315723211503</v>
      </c>
      <c r="B122" t="s">
        <v>3167</v>
      </c>
      <c r="C122" t="s">
        <v>2448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3220</v>
      </c>
      <c r="J122" t="s">
        <v>2419</v>
      </c>
      <c r="K122" t="s">
        <v>2549</v>
      </c>
      <c r="L122" s="20">
        <v>1</v>
      </c>
      <c r="M122" s="20">
        <v>6</v>
      </c>
      <c r="N122">
        <v>2</v>
      </c>
      <c r="O122">
        <v>4</v>
      </c>
    </row>
    <row r="123" spans="1:15" x14ac:dyDescent="0.35">
      <c r="A123">
        <v>315723211602</v>
      </c>
      <c r="B123" t="s">
        <v>3167</v>
      </c>
      <c r="C123" t="s">
        <v>2406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3220</v>
      </c>
      <c r="J123" t="s">
        <v>2419</v>
      </c>
      <c r="K123" t="s">
        <v>2549</v>
      </c>
      <c r="L123" s="20">
        <v>1</v>
      </c>
      <c r="M123" s="20">
        <v>6</v>
      </c>
      <c r="N123">
        <v>2</v>
      </c>
      <c r="O123">
        <v>4</v>
      </c>
    </row>
    <row r="124" spans="1:15" x14ac:dyDescent="0.35">
      <c r="A124">
        <v>315724210104</v>
      </c>
      <c r="B124" t="s">
        <v>3164</v>
      </c>
      <c r="C124" t="s">
        <v>2400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3221</v>
      </c>
      <c r="J124" t="s">
        <v>2475</v>
      </c>
      <c r="K124" t="s">
        <v>2447</v>
      </c>
      <c r="L124" s="20">
        <v>2</v>
      </c>
      <c r="M124" s="20">
        <v>6</v>
      </c>
      <c r="N124">
        <v>2</v>
      </c>
      <c r="O124">
        <v>4</v>
      </c>
    </row>
    <row r="125" spans="1:15" x14ac:dyDescent="0.35">
      <c r="A125">
        <v>315724210203</v>
      </c>
      <c r="B125" t="s">
        <v>3164</v>
      </c>
      <c r="C125" t="s">
        <v>2444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3221</v>
      </c>
      <c r="J125" t="s">
        <v>2475</v>
      </c>
      <c r="K125" t="s">
        <v>2447</v>
      </c>
      <c r="L125" s="20">
        <v>2</v>
      </c>
      <c r="M125" s="20">
        <v>6</v>
      </c>
      <c r="N125">
        <v>2</v>
      </c>
      <c r="O125">
        <v>4</v>
      </c>
    </row>
    <row r="126" spans="1:15" x14ac:dyDescent="0.35">
      <c r="A126">
        <v>315724210302</v>
      </c>
      <c r="B126" t="s">
        <v>3164</v>
      </c>
      <c r="C126" t="s">
        <v>2448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3221</v>
      </c>
      <c r="J126" t="s">
        <v>2475</v>
      </c>
      <c r="K126" t="s">
        <v>2447</v>
      </c>
      <c r="L126" s="20">
        <v>2</v>
      </c>
      <c r="M126" s="20">
        <v>6</v>
      </c>
      <c r="N126">
        <v>2</v>
      </c>
      <c r="O126">
        <v>4</v>
      </c>
    </row>
    <row r="127" spans="1:15" x14ac:dyDescent="0.35">
      <c r="A127">
        <v>315724210401</v>
      </c>
      <c r="B127" t="s">
        <v>3165</v>
      </c>
      <c r="C127" t="s">
        <v>2400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2672</v>
      </c>
      <c r="J127" t="s">
        <v>2466</v>
      </c>
      <c r="K127" t="s">
        <v>3222</v>
      </c>
      <c r="L127" s="20">
        <v>2</v>
      </c>
      <c r="M127" s="20">
        <v>6</v>
      </c>
      <c r="N127">
        <v>2</v>
      </c>
      <c r="O127">
        <v>4</v>
      </c>
    </row>
    <row r="128" spans="1:15" x14ac:dyDescent="0.35">
      <c r="A128">
        <v>315724210500</v>
      </c>
      <c r="B128" t="s">
        <v>3165</v>
      </c>
      <c r="C128" t="s">
        <v>2444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2672</v>
      </c>
      <c r="J128" t="s">
        <v>2466</v>
      </c>
      <c r="K128" t="s">
        <v>3222</v>
      </c>
      <c r="L128" s="20">
        <v>2</v>
      </c>
      <c r="M128" s="20">
        <v>6</v>
      </c>
      <c r="N128">
        <v>2</v>
      </c>
      <c r="O128">
        <v>4</v>
      </c>
    </row>
    <row r="129" spans="1:15" x14ac:dyDescent="0.35">
      <c r="A129">
        <v>315724210610</v>
      </c>
      <c r="B129" t="s">
        <v>3165</v>
      </c>
      <c r="C129" t="s">
        <v>2448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2672</v>
      </c>
      <c r="J129" t="s">
        <v>2466</v>
      </c>
      <c r="K129" t="s">
        <v>3222</v>
      </c>
      <c r="L129" s="20">
        <v>2</v>
      </c>
      <c r="M129" s="20">
        <v>6</v>
      </c>
      <c r="N129">
        <v>2</v>
      </c>
      <c r="O129">
        <v>4</v>
      </c>
    </row>
    <row r="130" spans="1:15" x14ac:dyDescent="0.35">
      <c r="A130">
        <v>315724210709</v>
      </c>
      <c r="B130" t="s">
        <v>3165</v>
      </c>
      <c r="C130" t="s">
        <v>2406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2672</v>
      </c>
      <c r="J130" t="s">
        <v>2466</v>
      </c>
      <c r="K130" t="s">
        <v>3222</v>
      </c>
      <c r="L130" s="20">
        <v>2</v>
      </c>
      <c r="M130" s="20">
        <v>6</v>
      </c>
      <c r="N130">
        <v>2</v>
      </c>
      <c r="O130">
        <v>4</v>
      </c>
    </row>
    <row r="131" spans="1:15" x14ac:dyDescent="0.35">
      <c r="A131">
        <v>315724210808</v>
      </c>
      <c r="B131" t="s">
        <v>3166</v>
      </c>
      <c r="C131" t="s">
        <v>2400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3223</v>
      </c>
      <c r="J131" t="s">
        <v>3224</v>
      </c>
      <c r="K131" t="s">
        <v>2568</v>
      </c>
      <c r="L131" s="20">
        <v>2</v>
      </c>
      <c r="M131" s="20">
        <v>6</v>
      </c>
      <c r="N131">
        <v>2</v>
      </c>
      <c r="O131">
        <v>4</v>
      </c>
    </row>
    <row r="132" spans="1:15" x14ac:dyDescent="0.35">
      <c r="A132">
        <v>315724210907</v>
      </c>
      <c r="B132" t="s">
        <v>3166</v>
      </c>
      <c r="C132" t="s">
        <v>2444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3223</v>
      </c>
      <c r="J132" t="s">
        <v>3224</v>
      </c>
      <c r="K132" t="s">
        <v>2568</v>
      </c>
      <c r="L132" s="20">
        <v>2</v>
      </c>
      <c r="M132" s="20">
        <v>6</v>
      </c>
      <c r="N132">
        <v>2</v>
      </c>
      <c r="O132">
        <v>4</v>
      </c>
    </row>
    <row r="133" spans="1:15" x14ac:dyDescent="0.35">
      <c r="A133">
        <v>315724211102</v>
      </c>
      <c r="B133" t="s">
        <v>3166</v>
      </c>
      <c r="C133" t="s">
        <v>2448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3223</v>
      </c>
      <c r="J133" t="s">
        <v>3224</v>
      </c>
      <c r="K133" t="s">
        <v>2568</v>
      </c>
      <c r="L133" s="20">
        <v>2</v>
      </c>
      <c r="M133" s="20">
        <v>6</v>
      </c>
      <c r="N133">
        <v>2</v>
      </c>
      <c r="O133">
        <v>4</v>
      </c>
    </row>
    <row r="134" spans="1:15" x14ac:dyDescent="0.35">
      <c r="A134">
        <v>315724211201</v>
      </c>
      <c r="B134" t="s">
        <v>3166</v>
      </c>
      <c r="C134" t="s">
        <v>2406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3223</v>
      </c>
      <c r="J134" t="s">
        <v>3224</v>
      </c>
      <c r="K134" t="s">
        <v>2568</v>
      </c>
      <c r="L134" s="20">
        <v>2</v>
      </c>
      <c r="M134" s="20">
        <v>6</v>
      </c>
      <c r="N134">
        <v>2</v>
      </c>
      <c r="O134">
        <v>4</v>
      </c>
    </row>
    <row r="135" spans="1:15" x14ac:dyDescent="0.35">
      <c r="A135">
        <v>315724211300</v>
      </c>
      <c r="B135" t="s">
        <v>3167</v>
      </c>
      <c r="C135" t="s">
        <v>2400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3225</v>
      </c>
      <c r="J135" t="s">
        <v>2653</v>
      </c>
      <c r="K135" t="s">
        <v>3226</v>
      </c>
      <c r="L135" s="20">
        <v>2</v>
      </c>
      <c r="M135" s="20">
        <v>6</v>
      </c>
      <c r="N135">
        <v>2</v>
      </c>
      <c r="O135">
        <v>4</v>
      </c>
    </row>
    <row r="136" spans="1:15" x14ac:dyDescent="0.35">
      <c r="A136">
        <v>315724211410</v>
      </c>
      <c r="B136" t="s">
        <v>3167</v>
      </c>
      <c r="C136" t="s">
        <v>2444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3225</v>
      </c>
      <c r="J136" t="s">
        <v>2653</v>
      </c>
      <c r="K136" t="s">
        <v>3226</v>
      </c>
      <c r="L136" s="20">
        <v>2</v>
      </c>
      <c r="M136" s="20">
        <v>6</v>
      </c>
      <c r="N136">
        <v>2</v>
      </c>
      <c r="O136">
        <v>4</v>
      </c>
    </row>
    <row r="137" spans="1:15" x14ac:dyDescent="0.35">
      <c r="A137">
        <v>315724211509</v>
      </c>
      <c r="B137" t="s">
        <v>3167</v>
      </c>
      <c r="C137" t="s">
        <v>2448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3225</v>
      </c>
      <c r="J137" t="s">
        <v>2653</v>
      </c>
      <c r="K137" t="s">
        <v>3226</v>
      </c>
      <c r="L137" s="20">
        <v>2</v>
      </c>
      <c r="M137" s="20">
        <v>6</v>
      </c>
      <c r="N137">
        <v>2</v>
      </c>
      <c r="O137">
        <v>4</v>
      </c>
    </row>
    <row r="138" spans="1:15" x14ac:dyDescent="0.35">
      <c r="A138">
        <v>315724211608</v>
      </c>
      <c r="B138" t="s">
        <v>3167</v>
      </c>
      <c r="C138" t="s">
        <v>2406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3225</v>
      </c>
      <c r="J138" t="s">
        <v>2653</v>
      </c>
      <c r="K138" t="s">
        <v>3226</v>
      </c>
      <c r="L138" s="20">
        <v>2</v>
      </c>
      <c r="M138" s="20">
        <v>6</v>
      </c>
      <c r="N138">
        <v>2</v>
      </c>
      <c r="O138">
        <v>4</v>
      </c>
    </row>
    <row r="139" spans="1:15" x14ac:dyDescent="0.35">
      <c r="A139">
        <v>315725210110</v>
      </c>
      <c r="B139" t="s">
        <v>3164</v>
      </c>
      <c r="C139" t="s">
        <v>2400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3227</v>
      </c>
      <c r="J139" t="s">
        <v>2633</v>
      </c>
      <c r="K139" t="s">
        <v>3228</v>
      </c>
      <c r="L139" s="20" t="s">
        <v>2481</v>
      </c>
      <c r="M139" s="20">
        <v>6</v>
      </c>
      <c r="N139">
        <v>2</v>
      </c>
      <c r="O139">
        <v>4</v>
      </c>
    </row>
    <row r="140" spans="1:15" x14ac:dyDescent="0.35">
      <c r="A140">
        <v>315725210209</v>
      </c>
      <c r="B140" t="s">
        <v>3164</v>
      </c>
      <c r="C140" t="s">
        <v>2444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3227</v>
      </c>
      <c r="J140" t="s">
        <v>2633</v>
      </c>
      <c r="K140" t="s">
        <v>3228</v>
      </c>
      <c r="L140" s="20" t="s">
        <v>2481</v>
      </c>
      <c r="M140" s="20">
        <v>6</v>
      </c>
      <c r="N140">
        <v>2</v>
      </c>
      <c r="O140">
        <v>4</v>
      </c>
    </row>
    <row r="141" spans="1:15" x14ac:dyDescent="0.35">
      <c r="A141">
        <v>315725210308</v>
      </c>
      <c r="B141" t="s">
        <v>3164</v>
      </c>
      <c r="C141" t="s">
        <v>2448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3227</v>
      </c>
      <c r="J141" t="s">
        <v>2633</v>
      </c>
      <c r="K141" t="s">
        <v>3228</v>
      </c>
      <c r="L141" s="20" t="s">
        <v>2481</v>
      </c>
      <c r="M141" s="20">
        <v>6</v>
      </c>
      <c r="N141">
        <v>2</v>
      </c>
      <c r="O141">
        <v>4</v>
      </c>
    </row>
    <row r="142" spans="1:15" x14ac:dyDescent="0.35">
      <c r="A142">
        <v>315725210407</v>
      </c>
      <c r="B142" t="s">
        <v>3165</v>
      </c>
      <c r="C142" t="s">
        <v>2400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2670</v>
      </c>
      <c r="J142" t="s">
        <v>2647</v>
      </c>
      <c r="K142" t="s">
        <v>3229</v>
      </c>
      <c r="L142" s="20" t="s">
        <v>2481</v>
      </c>
      <c r="M142" s="20">
        <v>6</v>
      </c>
      <c r="N142">
        <v>2</v>
      </c>
      <c r="O142">
        <v>4</v>
      </c>
    </row>
    <row r="143" spans="1:15" x14ac:dyDescent="0.35">
      <c r="A143">
        <v>315725210506</v>
      </c>
      <c r="B143" t="s">
        <v>3165</v>
      </c>
      <c r="C143" t="s">
        <v>2444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2670</v>
      </c>
      <c r="J143" t="s">
        <v>2647</v>
      </c>
      <c r="K143" t="s">
        <v>3229</v>
      </c>
      <c r="L143" s="20" t="s">
        <v>2481</v>
      </c>
      <c r="M143" s="20">
        <v>6</v>
      </c>
      <c r="N143">
        <v>2</v>
      </c>
      <c r="O143">
        <v>4</v>
      </c>
    </row>
    <row r="144" spans="1:15" x14ac:dyDescent="0.35">
      <c r="A144">
        <v>315725210605</v>
      </c>
      <c r="B144" t="s">
        <v>3165</v>
      </c>
      <c r="C144" t="s">
        <v>2448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2670</v>
      </c>
      <c r="J144" t="s">
        <v>2647</v>
      </c>
      <c r="K144" t="s">
        <v>3229</v>
      </c>
      <c r="L144" s="20" t="s">
        <v>2481</v>
      </c>
      <c r="M144" s="20">
        <v>6</v>
      </c>
      <c r="N144">
        <v>2</v>
      </c>
      <c r="O144">
        <v>4</v>
      </c>
    </row>
    <row r="145" spans="1:15" x14ac:dyDescent="0.35">
      <c r="A145">
        <v>315725210704</v>
      </c>
      <c r="B145" t="s">
        <v>3165</v>
      </c>
      <c r="C145" t="s">
        <v>2406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2670</v>
      </c>
      <c r="J145" t="s">
        <v>2647</v>
      </c>
      <c r="K145" t="s">
        <v>3229</v>
      </c>
      <c r="L145" s="20" t="s">
        <v>2481</v>
      </c>
      <c r="M145" s="20">
        <v>6</v>
      </c>
      <c r="N145">
        <v>2</v>
      </c>
      <c r="O145">
        <v>4</v>
      </c>
    </row>
    <row r="146" spans="1:15" x14ac:dyDescent="0.35">
      <c r="A146">
        <v>315725210803</v>
      </c>
      <c r="B146" t="s">
        <v>3166</v>
      </c>
      <c r="C146" t="s">
        <v>2400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3230</v>
      </c>
      <c r="J146" t="s">
        <v>2688</v>
      </c>
      <c r="K146" t="s">
        <v>2604</v>
      </c>
      <c r="L146" s="20" t="s">
        <v>2481</v>
      </c>
      <c r="M146" s="20">
        <v>6</v>
      </c>
      <c r="N146">
        <v>2</v>
      </c>
      <c r="O146">
        <v>4</v>
      </c>
    </row>
    <row r="147" spans="1:15" x14ac:dyDescent="0.35">
      <c r="A147">
        <v>315725210902</v>
      </c>
      <c r="B147" t="s">
        <v>3166</v>
      </c>
      <c r="C147" t="s">
        <v>2444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3230</v>
      </c>
      <c r="J147" t="s">
        <v>2688</v>
      </c>
      <c r="K147" t="s">
        <v>2604</v>
      </c>
      <c r="L147" s="20" t="s">
        <v>2481</v>
      </c>
      <c r="M147" s="20">
        <v>6</v>
      </c>
      <c r="N147">
        <v>2</v>
      </c>
      <c r="O147">
        <v>4</v>
      </c>
    </row>
    <row r="148" spans="1:15" x14ac:dyDescent="0.35">
      <c r="A148">
        <v>315725211108</v>
      </c>
      <c r="B148" t="s">
        <v>3166</v>
      </c>
      <c r="C148" t="s">
        <v>2448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3230</v>
      </c>
      <c r="J148" t="s">
        <v>2688</v>
      </c>
      <c r="K148" t="s">
        <v>2604</v>
      </c>
      <c r="L148" s="20" t="s">
        <v>2481</v>
      </c>
      <c r="M148" s="20">
        <v>6</v>
      </c>
      <c r="N148">
        <v>2</v>
      </c>
      <c r="O148">
        <v>4</v>
      </c>
    </row>
    <row r="149" spans="1:15" x14ac:dyDescent="0.35">
      <c r="A149">
        <v>315725211207</v>
      </c>
      <c r="B149" t="s">
        <v>3166</v>
      </c>
      <c r="C149" t="s">
        <v>2406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3230</v>
      </c>
      <c r="J149" t="s">
        <v>2688</v>
      </c>
      <c r="K149" t="s">
        <v>2604</v>
      </c>
      <c r="L149" s="20" t="s">
        <v>2481</v>
      </c>
      <c r="M149" s="20">
        <v>6</v>
      </c>
      <c r="N149">
        <v>2</v>
      </c>
      <c r="O149">
        <v>4</v>
      </c>
    </row>
    <row r="150" spans="1:15" x14ac:dyDescent="0.35">
      <c r="A150">
        <v>315725211306</v>
      </c>
      <c r="B150" t="s">
        <v>3167</v>
      </c>
      <c r="C150" t="s">
        <v>2400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2704</v>
      </c>
      <c r="J150" t="s">
        <v>2648</v>
      </c>
      <c r="K150" t="s">
        <v>2457</v>
      </c>
      <c r="L150" s="20" t="s">
        <v>2481</v>
      </c>
      <c r="M150" s="20">
        <v>6</v>
      </c>
      <c r="N150">
        <v>2</v>
      </c>
      <c r="O150">
        <v>4</v>
      </c>
    </row>
    <row r="151" spans="1:15" x14ac:dyDescent="0.35">
      <c r="A151">
        <v>315725211405</v>
      </c>
      <c r="B151" t="s">
        <v>3167</v>
      </c>
      <c r="C151" t="s">
        <v>2444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2704</v>
      </c>
      <c r="J151" t="s">
        <v>2648</v>
      </c>
      <c r="K151" t="s">
        <v>2457</v>
      </c>
      <c r="L151" s="20" t="s">
        <v>2481</v>
      </c>
      <c r="M151" s="20">
        <v>6</v>
      </c>
      <c r="N151">
        <v>2</v>
      </c>
      <c r="O151">
        <v>4</v>
      </c>
    </row>
    <row r="152" spans="1:15" x14ac:dyDescent="0.35">
      <c r="A152">
        <v>315725211504</v>
      </c>
      <c r="B152" t="s">
        <v>3167</v>
      </c>
      <c r="C152" t="s">
        <v>2448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2704</v>
      </c>
      <c r="J152" t="s">
        <v>2648</v>
      </c>
      <c r="K152" t="s">
        <v>2457</v>
      </c>
      <c r="L152" s="20" t="s">
        <v>2481</v>
      </c>
      <c r="M152" s="20">
        <v>6</v>
      </c>
      <c r="N152">
        <v>2</v>
      </c>
      <c r="O152">
        <v>4</v>
      </c>
    </row>
    <row r="153" spans="1:15" x14ac:dyDescent="0.35">
      <c r="A153">
        <v>315725211603</v>
      </c>
      <c r="B153" t="s">
        <v>3167</v>
      </c>
      <c r="C153" t="s">
        <v>2406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2704</v>
      </c>
      <c r="J153" t="s">
        <v>2648</v>
      </c>
      <c r="K153" t="s">
        <v>2457</v>
      </c>
      <c r="L153" s="20" t="s">
        <v>2481</v>
      </c>
      <c r="M153" s="20">
        <v>6</v>
      </c>
      <c r="N153">
        <v>2</v>
      </c>
      <c r="O153">
        <v>4</v>
      </c>
    </row>
    <row r="154" spans="1:15" x14ac:dyDescent="0.35">
      <c r="A154">
        <v>315726210105</v>
      </c>
      <c r="B154" t="s">
        <v>3164</v>
      </c>
      <c r="C154" t="s">
        <v>2400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2425</v>
      </c>
      <c r="J154" t="s">
        <v>2805</v>
      </c>
      <c r="K154" t="s">
        <v>3231</v>
      </c>
      <c r="L154" s="20">
        <v>5</v>
      </c>
      <c r="M154" s="20">
        <v>6</v>
      </c>
      <c r="N154">
        <v>2</v>
      </c>
      <c r="O154">
        <v>4</v>
      </c>
    </row>
    <row r="155" spans="1:15" x14ac:dyDescent="0.35">
      <c r="A155">
        <v>315726210204</v>
      </c>
      <c r="B155" t="s">
        <v>3164</v>
      </c>
      <c r="C155" t="s">
        <v>2444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2425</v>
      </c>
      <c r="J155" t="s">
        <v>2805</v>
      </c>
      <c r="K155" t="s">
        <v>3231</v>
      </c>
      <c r="L155" s="20">
        <v>5</v>
      </c>
      <c r="M155" s="20">
        <v>6</v>
      </c>
      <c r="N155">
        <v>2</v>
      </c>
      <c r="O155">
        <v>4</v>
      </c>
    </row>
    <row r="156" spans="1:15" x14ac:dyDescent="0.35">
      <c r="A156">
        <v>315726210303</v>
      </c>
      <c r="B156" t="s">
        <v>3164</v>
      </c>
      <c r="C156" t="s">
        <v>2448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2425</v>
      </c>
      <c r="J156" t="s">
        <v>2805</v>
      </c>
      <c r="K156" t="s">
        <v>3231</v>
      </c>
      <c r="L156" s="20">
        <v>5</v>
      </c>
      <c r="M156" s="20">
        <v>6</v>
      </c>
      <c r="N156">
        <v>2</v>
      </c>
      <c r="O156">
        <v>4</v>
      </c>
    </row>
    <row r="157" spans="1:15" x14ac:dyDescent="0.35">
      <c r="A157">
        <v>315726210402</v>
      </c>
      <c r="B157" t="s">
        <v>3165</v>
      </c>
      <c r="C157" t="s">
        <v>2400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3232</v>
      </c>
      <c r="J157" t="s">
        <v>3146</v>
      </c>
      <c r="K157" t="s">
        <v>3233</v>
      </c>
      <c r="L157" s="20">
        <v>5</v>
      </c>
      <c r="M157" s="20">
        <v>6</v>
      </c>
      <c r="N157">
        <v>2</v>
      </c>
      <c r="O157">
        <v>4</v>
      </c>
    </row>
    <row r="158" spans="1:15" x14ac:dyDescent="0.35">
      <c r="A158">
        <v>315726210501</v>
      </c>
      <c r="B158" t="s">
        <v>3165</v>
      </c>
      <c r="C158" t="s">
        <v>2444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3232</v>
      </c>
      <c r="J158" t="s">
        <v>3146</v>
      </c>
      <c r="K158" t="s">
        <v>3233</v>
      </c>
      <c r="L158" s="20">
        <v>5</v>
      </c>
      <c r="M158" s="20">
        <v>6</v>
      </c>
      <c r="N158">
        <v>2</v>
      </c>
      <c r="O158">
        <v>4</v>
      </c>
    </row>
    <row r="159" spans="1:15" x14ac:dyDescent="0.35">
      <c r="A159">
        <v>315726210600</v>
      </c>
      <c r="B159" t="s">
        <v>3165</v>
      </c>
      <c r="C159" t="s">
        <v>2448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3232</v>
      </c>
      <c r="J159" t="s">
        <v>3146</v>
      </c>
      <c r="K159" t="s">
        <v>3233</v>
      </c>
      <c r="L159" s="20">
        <v>5</v>
      </c>
      <c r="M159" s="20">
        <v>6</v>
      </c>
      <c r="N159">
        <v>2</v>
      </c>
      <c r="O159">
        <v>4</v>
      </c>
    </row>
    <row r="160" spans="1:15" x14ac:dyDescent="0.35">
      <c r="A160">
        <v>315726210710</v>
      </c>
      <c r="B160" t="s">
        <v>3165</v>
      </c>
      <c r="C160" t="s">
        <v>2406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3232</v>
      </c>
      <c r="J160" t="s">
        <v>3146</v>
      </c>
      <c r="K160" t="s">
        <v>3233</v>
      </c>
      <c r="L160" s="20">
        <v>5</v>
      </c>
      <c r="M160" s="20">
        <v>6</v>
      </c>
      <c r="N160">
        <v>2</v>
      </c>
      <c r="O160">
        <v>4</v>
      </c>
    </row>
    <row r="161" spans="1:15" x14ac:dyDescent="0.35">
      <c r="A161">
        <v>315726210809</v>
      </c>
      <c r="B161" t="s">
        <v>3166</v>
      </c>
      <c r="C161" t="s">
        <v>2400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2649</v>
      </c>
      <c r="J161" t="s">
        <v>3199</v>
      </c>
      <c r="K161" t="s">
        <v>2462</v>
      </c>
      <c r="L161" s="20">
        <v>5</v>
      </c>
      <c r="M161" s="20">
        <v>6</v>
      </c>
      <c r="N161">
        <v>2</v>
      </c>
      <c r="O161">
        <v>4</v>
      </c>
    </row>
    <row r="162" spans="1:15" x14ac:dyDescent="0.35">
      <c r="A162">
        <v>315726210908</v>
      </c>
      <c r="B162" t="s">
        <v>3166</v>
      </c>
      <c r="C162" t="s">
        <v>2444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2649</v>
      </c>
      <c r="J162" t="s">
        <v>3199</v>
      </c>
      <c r="K162" t="s">
        <v>2462</v>
      </c>
      <c r="L162" s="20">
        <v>5</v>
      </c>
      <c r="M162" s="20">
        <v>6</v>
      </c>
      <c r="N162">
        <v>2</v>
      </c>
      <c r="O162">
        <v>4</v>
      </c>
    </row>
    <row r="163" spans="1:15" x14ac:dyDescent="0.35">
      <c r="A163">
        <v>315726211103</v>
      </c>
      <c r="B163" t="s">
        <v>3166</v>
      </c>
      <c r="C163" t="s">
        <v>2448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2649</v>
      </c>
      <c r="J163" t="s">
        <v>3199</v>
      </c>
      <c r="K163" t="s">
        <v>2462</v>
      </c>
      <c r="L163" s="20">
        <v>5</v>
      </c>
      <c r="M163" s="20">
        <v>6</v>
      </c>
      <c r="N163">
        <v>2</v>
      </c>
      <c r="O163">
        <v>4</v>
      </c>
    </row>
    <row r="164" spans="1:15" x14ac:dyDescent="0.35">
      <c r="A164">
        <v>315726211202</v>
      </c>
      <c r="B164" t="s">
        <v>3166</v>
      </c>
      <c r="C164" t="s">
        <v>2406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2649</v>
      </c>
      <c r="J164" t="s">
        <v>3199</v>
      </c>
      <c r="K164" t="s">
        <v>2462</v>
      </c>
      <c r="L164" s="20">
        <v>5</v>
      </c>
      <c r="M164" s="20">
        <v>6</v>
      </c>
      <c r="N164">
        <v>2</v>
      </c>
      <c r="O164">
        <v>4</v>
      </c>
    </row>
    <row r="165" spans="1:15" x14ac:dyDescent="0.35">
      <c r="A165">
        <v>315726211301</v>
      </c>
      <c r="B165" t="s">
        <v>3167</v>
      </c>
      <c r="C165" t="s">
        <v>2400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2667</v>
      </c>
      <c r="J165" t="s">
        <v>2636</v>
      </c>
      <c r="K165" t="s">
        <v>2465</v>
      </c>
      <c r="L165" s="20">
        <v>5</v>
      </c>
      <c r="M165" s="20">
        <v>6</v>
      </c>
      <c r="N165">
        <v>2</v>
      </c>
      <c r="O165">
        <v>4</v>
      </c>
    </row>
    <row r="166" spans="1:15" x14ac:dyDescent="0.35">
      <c r="A166">
        <v>315726211400</v>
      </c>
      <c r="B166" t="s">
        <v>3167</v>
      </c>
      <c r="C166" t="s">
        <v>2444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2667</v>
      </c>
      <c r="J166" t="s">
        <v>2636</v>
      </c>
      <c r="K166" t="s">
        <v>2465</v>
      </c>
      <c r="L166" s="20">
        <v>5</v>
      </c>
      <c r="M166" s="20">
        <v>6</v>
      </c>
      <c r="N166">
        <v>2</v>
      </c>
      <c r="O166">
        <v>4</v>
      </c>
    </row>
    <row r="167" spans="1:15" x14ac:dyDescent="0.35">
      <c r="A167">
        <v>315726211510</v>
      </c>
      <c r="B167" t="s">
        <v>3167</v>
      </c>
      <c r="C167" t="s">
        <v>2448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2667</v>
      </c>
      <c r="J167" t="s">
        <v>2636</v>
      </c>
      <c r="K167" t="s">
        <v>2465</v>
      </c>
      <c r="L167" s="20">
        <v>5</v>
      </c>
      <c r="M167" s="20">
        <v>6</v>
      </c>
      <c r="N167">
        <v>2</v>
      </c>
      <c r="O167">
        <v>4</v>
      </c>
    </row>
    <row r="168" spans="1:15" x14ac:dyDescent="0.35">
      <c r="A168">
        <v>315726211609</v>
      </c>
      <c r="B168" t="s">
        <v>3167</v>
      </c>
      <c r="C168" t="s">
        <v>2406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2667</v>
      </c>
      <c r="J168" t="s">
        <v>2636</v>
      </c>
      <c r="K168" t="s">
        <v>2465</v>
      </c>
      <c r="L168" s="20">
        <v>5</v>
      </c>
      <c r="M168" s="20">
        <v>6</v>
      </c>
      <c r="N168">
        <v>2</v>
      </c>
      <c r="O168">
        <v>4</v>
      </c>
    </row>
    <row r="169" spans="1:15" x14ac:dyDescent="0.35">
      <c r="A169">
        <v>315911215409</v>
      </c>
      <c r="B169">
        <v>3</v>
      </c>
      <c r="C169" t="s">
        <v>2397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2470</v>
      </c>
      <c r="J169" t="s">
        <v>2613</v>
      </c>
      <c r="K169" t="s">
        <v>2497</v>
      </c>
      <c r="L169">
        <v>1</v>
      </c>
      <c r="M169">
        <v>3</v>
      </c>
      <c r="N169">
        <v>1</v>
      </c>
      <c r="O169">
        <v>3</v>
      </c>
    </row>
    <row r="170" spans="1:15" x14ac:dyDescent="0.35">
      <c r="A170">
        <v>315911215508</v>
      </c>
      <c r="B170">
        <v>3</v>
      </c>
      <c r="C170" t="s">
        <v>2400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2470</v>
      </c>
      <c r="J170" t="s">
        <v>2613</v>
      </c>
      <c r="K170" t="s">
        <v>2497</v>
      </c>
      <c r="L170">
        <v>1</v>
      </c>
      <c r="M170">
        <v>3</v>
      </c>
      <c r="N170">
        <v>1</v>
      </c>
      <c r="O170">
        <v>3</v>
      </c>
    </row>
    <row r="171" spans="1:15" x14ac:dyDescent="0.35">
      <c r="A171">
        <v>315911215607</v>
      </c>
      <c r="B171" t="s">
        <v>3170</v>
      </c>
      <c r="C171" t="s">
        <v>2397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2470</v>
      </c>
      <c r="J171" t="s">
        <v>2613</v>
      </c>
      <c r="K171" t="s">
        <v>2505</v>
      </c>
      <c r="L171">
        <v>1</v>
      </c>
      <c r="M171">
        <v>3</v>
      </c>
      <c r="N171">
        <v>1</v>
      </c>
      <c r="O171">
        <v>3</v>
      </c>
    </row>
    <row r="172" spans="1:15" x14ac:dyDescent="0.35">
      <c r="A172">
        <v>315911215706</v>
      </c>
      <c r="B172" t="s">
        <v>3170</v>
      </c>
      <c r="C172" t="s">
        <v>2400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2470</v>
      </c>
      <c r="J172" t="s">
        <v>2613</v>
      </c>
      <c r="K172" t="s">
        <v>2505</v>
      </c>
      <c r="L172">
        <v>1</v>
      </c>
      <c r="M172">
        <v>3</v>
      </c>
      <c r="N172">
        <v>1</v>
      </c>
      <c r="O172">
        <v>3</v>
      </c>
    </row>
    <row r="173" spans="1:15" x14ac:dyDescent="0.35">
      <c r="A173">
        <v>315911215805</v>
      </c>
      <c r="B173">
        <v>6</v>
      </c>
      <c r="C173" t="s">
        <v>2397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2470</v>
      </c>
      <c r="J173" t="s">
        <v>2613</v>
      </c>
      <c r="K173" t="s">
        <v>2398</v>
      </c>
      <c r="L173">
        <v>1</v>
      </c>
      <c r="M173">
        <v>3</v>
      </c>
      <c r="N173">
        <v>1</v>
      </c>
      <c r="O173">
        <v>3</v>
      </c>
    </row>
    <row r="174" spans="1:15" x14ac:dyDescent="0.35">
      <c r="A174">
        <v>315911215904</v>
      </c>
      <c r="B174">
        <v>6</v>
      </c>
      <c r="C174" t="s">
        <v>2400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2470</v>
      </c>
      <c r="J174" t="s">
        <v>2613</v>
      </c>
      <c r="K174" t="s">
        <v>2398</v>
      </c>
      <c r="L174">
        <v>1</v>
      </c>
      <c r="M174">
        <v>3</v>
      </c>
      <c r="N174">
        <v>1</v>
      </c>
      <c r="O174">
        <v>3</v>
      </c>
    </row>
    <row r="175" spans="1:15" x14ac:dyDescent="0.35">
      <c r="A175">
        <v>315911216110</v>
      </c>
      <c r="B175" t="s">
        <v>2804</v>
      </c>
      <c r="C175" t="s">
        <v>2397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3179</v>
      </c>
      <c r="J175" t="s">
        <v>3234</v>
      </c>
      <c r="K175" t="s">
        <v>3235</v>
      </c>
      <c r="L175">
        <v>1</v>
      </c>
      <c r="M175">
        <v>3</v>
      </c>
      <c r="N175">
        <v>1</v>
      </c>
      <c r="O175">
        <v>3</v>
      </c>
    </row>
    <row r="176" spans="1:15" x14ac:dyDescent="0.35">
      <c r="A176">
        <v>315911216209</v>
      </c>
      <c r="B176" t="s">
        <v>2804</v>
      </c>
      <c r="C176" t="s">
        <v>2400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3179</v>
      </c>
      <c r="J176" t="s">
        <v>3234</v>
      </c>
      <c r="K176" t="s">
        <v>3235</v>
      </c>
      <c r="L176">
        <v>1</v>
      </c>
      <c r="M176">
        <v>3</v>
      </c>
      <c r="N176">
        <v>1</v>
      </c>
      <c r="O176">
        <v>3</v>
      </c>
    </row>
    <row r="177" spans="1:15" x14ac:dyDescent="0.35">
      <c r="A177">
        <v>315911216308</v>
      </c>
      <c r="B177" t="s">
        <v>2804</v>
      </c>
      <c r="C177" t="s">
        <v>2444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3179</v>
      </c>
      <c r="J177" t="s">
        <v>3234</v>
      </c>
      <c r="K177" t="s">
        <v>3235</v>
      </c>
      <c r="L177">
        <v>1</v>
      </c>
      <c r="M177">
        <v>3</v>
      </c>
      <c r="N177">
        <v>1</v>
      </c>
      <c r="O177">
        <v>3</v>
      </c>
    </row>
    <row r="178" spans="1:15" x14ac:dyDescent="0.35">
      <c r="A178">
        <v>315911216407</v>
      </c>
      <c r="B178">
        <v>9</v>
      </c>
      <c r="C178" t="s">
        <v>2400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2487</v>
      </c>
      <c r="J178" t="s">
        <v>2458</v>
      </c>
      <c r="K178" t="s">
        <v>2499</v>
      </c>
      <c r="L178">
        <v>1</v>
      </c>
      <c r="M178">
        <v>3</v>
      </c>
      <c r="N178">
        <v>1</v>
      </c>
      <c r="O178">
        <v>3</v>
      </c>
    </row>
    <row r="179" spans="1:15" x14ac:dyDescent="0.35">
      <c r="A179">
        <v>315911216506</v>
      </c>
      <c r="B179">
        <v>9</v>
      </c>
      <c r="C179" t="s">
        <v>2444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2487</v>
      </c>
      <c r="J179" t="s">
        <v>2458</v>
      </c>
      <c r="K179" t="s">
        <v>2499</v>
      </c>
      <c r="L179">
        <v>1</v>
      </c>
      <c r="M179">
        <v>3</v>
      </c>
      <c r="N179">
        <v>1</v>
      </c>
      <c r="O179">
        <v>3</v>
      </c>
    </row>
    <row r="180" spans="1:15" x14ac:dyDescent="0.35">
      <c r="A180">
        <v>315911216605</v>
      </c>
      <c r="B180">
        <v>9</v>
      </c>
      <c r="C180" t="s">
        <v>2448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2487</v>
      </c>
      <c r="J180" t="s">
        <v>2458</v>
      </c>
      <c r="K180" t="s">
        <v>2499</v>
      </c>
      <c r="L180">
        <v>1</v>
      </c>
      <c r="M180">
        <v>3</v>
      </c>
      <c r="N180">
        <v>1</v>
      </c>
      <c r="O180">
        <v>3</v>
      </c>
    </row>
    <row r="181" spans="1:15" x14ac:dyDescent="0.35">
      <c r="A181">
        <v>315911315405</v>
      </c>
      <c r="B181">
        <v>3</v>
      </c>
      <c r="C181" t="s">
        <v>2397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2478</v>
      </c>
      <c r="J181" t="s">
        <v>2473</v>
      </c>
      <c r="K181" t="s">
        <v>2520</v>
      </c>
      <c r="L181">
        <v>2</v>
      </c>
      <c r="M181">
        <v>3</v>
      </c>
      <c r="N181">
        <v>1</v>
      </c>
      <c r="O181">
        <v>3</v>
      </c>
    </row>
    <row r="182" spans="1:15" x14ac:dyDescent="0.35">
      <c r="A182">
        <v>315911315504</v>
      </c>
      <c r="B182">
        <v>3</v>
      </c>
      <c r="C182" t="s">
        <v>2400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2478</v>
      </c>
      <c r="J182" t="s">
        <v>2473</v>
      </c>
      <c r="K182" t="s">
        <v>2520</v>
      </c>
      <c r="L182">
        <v>2</v>
      </c>
      <c r="M182">
        <v>3</v>
      </c>
      <c r="N182">
        <v>1</v>
      </c>
      <c r="O182">
        <v>3</v>
      </c>
    </row>
    <row r="183" spans="1:15" x14ac:dyDescent="0.35">
      <c r="A183">
        <v>315911315603</v>
      </c>
      <c r="B183" t="s">
        <v>3170</v>
      </c>
      <c r="C183" t="s">
        <v>2397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2647</v>
      </c>
      <c r="J183" t="s">
        <v>2463</v>
      </c>
      <c r="K183" t="s">
        <v>2498</v>
      </c>
      <c r="L183">
        <v>2</v>
      </c>
      <c r="M183">
        <v>3</v>
      </c>
      <c r="N183">
        <v>1</v>
      </c>
      <c r="O183">
        <v>3</v>
      </c>
    </row>
    <row r="184" spans="1:15" x14ac:dyDescent="0.35">
      <c r="A184">
        <v>315911315702</v>
      </c>
      <c r="B184" t="s">
        <v>3170</v>
      </c>
      <c r="C184" t="s">
        <v>2400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2647</v>
      </c>
      <c r="J184" t="s">
        <v>2463</v>
      </c>
      <c r="K184" t="s">
        <v>2498</v>
      </c>
      <c r="L184">
        <v>2</v>
      </c>
      <c r="M184">
        <v>3</v>
      </c>
      <c r="N184">
        <v>1</v>
      </c>
      <c r="O184">
        <v>3</v>
      </c>
    </row>
    <row r="185" spans="1:15" x14ac:dyDescent="0.35">
      <c r="A185">
        <v>315911315801</v>
      </c>
      <c r="B185">
        <v>6</v>
      </c>
      <c r="C185" t="s">
        <v>2397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2688</v>
      </c>
      <c r="J185" t="s">
        <v>2461</v>
      </c>
      <c r="K185" t="s">
        <v>2499</v>
      </c>
      <c r="L185">
        <v>2</v>
      </c>
      <c r="M185">
        <v>3</v>
      </c>
      <c r="N185">
        <v>1</v>
      </c>
      <c r="O185">
        <v>3</v>
      </c>
    </row>
    <row r="186" spans="1:15" x14ac:dyDescent="0.35">
      <c r="A186">
        <v>315911315900</v>
      </c>
      <c r="B186">
        <v>6</v>
      </c>
      <c r="C186" t="s">
        <v>2400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2688</v>
      </c>
      <c r="J186" t="s">
        <v>2461</v>
      </c>
      <c r="K186" t="s">
        <v>2499</v>
      </c>
      <c r="L186">
        <v>2</v>
      </c>
      <c r="M186">
        <v>3</v>
      </c>
      <c r="N186">
        <v>1</v>
      </c>
      <c r="O186">
        <v>3</v>
      </c>
    </row>
    <row r="187" spans="1:15" x14ac:dyDescent="0.35">
      <c r="A187">
        <v>315911316106</v>
      </c>
      <c r="B187" t="s">
        <v>2804</v>
      </c>
      <c r="C187" t="s">
        <v>2397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3236</v>
      </c>
      <c r="J187" t="s">
        <v>3237</v>
      </c>
      <c r="K187" t="s">
        <v>2500</v>
      </c>
      <c r="L187">
        <v>2</v>
      </c>
      <c r="M187">
        <v>3</v>
      </c>
      <c r="N187">
        <v>1</v>
      </c>
      <c r="O187">
        <v>3</v>
      </c>
    </row>
    <row r="188" spans="1:15" x14ac:dyDescent="0.35">
      <c r="A188">
        <v>315911316205</v>
      </c>
      <c r="B188" t="s">
        <v>2804</v>
      </c>
      <c r="C188" t="s">
        <v>2400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3236</v>
      </c>
      <c r="J188" t="s">
        <v>3237</v>
      </c>
      <c r="K188" t="s">
        <v>2500</v>
      </c>
      <c r="L188">
        <v>2</v>
      </c>
      <c r="M188">
        <v>3</v>
      </c>
      <c r="N188">
        <v>1</v>
      </c>
      <c r="O188">
        <v>3</v>
      </c>
    </row>
    <row r="189" spans="1:15" x14ac:dyDescent="0.35">
      <c r="A189">
        <v>315911316304</v>
      </c>
      <c r="B189" t="s">
        <v>2804</v>
      </c>
      <c r="C189" t="s">
        <v>2444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3236</v>
      </c>
      <c r="J189" t="s">
        <v>3237</v>
      </c>
      <c r="K189" t="s">
        <v>2500</v>
      </c>
      <c r="L189">
        <v>2</v>
      </c>
      <c r="M189">
        <v>3</v>
      </c>
      <c r="N189">
        <v>1</v>
      </c>
      <c r="O189">
        <v>3</v>
      </c>
    </row>
    <row r="190" spans="1:15" x14ac:dyDescent="0.35">
      <c r="A190">
        <v>315911316403</v>
      </c>
      <c r="B190">
        <v>9</v>
      </c>
      <c r="C190" t="s">
        <v>2400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2422</v>
      </c>
      <c r="J190" t="s">
        <v>2464</v>
      </c>
      <c r="K190" t="s">
        <v>3238</v>
      </c>
      <c r="L190">
        <v>2</v>
      </c>
      <c r="M190">
        <v>3</v>
      </c>
      <c r="N190">
        <v>1</v>
      </c>
      <c r="O190">
        <v>3</v>
      </c>
    </row>
    <row r="191" spans="1:15" x14ac:dyDescent="0.35">
      <c r="A191">
        <v>315911316502</v>
      </c>
      <c r="B191">
        <v>9</v>
      </c>
      <c r="C191" t="s">
        <v>2444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2422</v>
      </c>
      <c r="J191" t="s">
        <v>2464</v>
      </c>
      <c r="K191" t="s">
        <v>3238</v>
      </c>
      <c r="L191">
        <v>2</v>
      </c>
      <c r="M191">
        <v>3</v>
      </c>
      <c r="N191">
        <v>1</v>
      </c>
      <c r="O191">
        <v>3</v>
      </c>
    </row>
    <row r="192" spans="1:15" x14ac:dyDescent="0.35">
      <c r="A192">
        <v>315911316601</v>
      </c>
      <c r="B192">
        <v>9</v>
      </c>
      <c r="C192" t="s">
        <v>2448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2422</v>
      </c>
      <c r="J192" t="s">
        <v>2464</v>
      </c>
      <c r="K192" t="s">
        <v>3238</v>
      </c>
      <c r="L192">
        <v>2</v>
      </c>
      <c r="M192">
        <v>3</v>
      </c>
      <c r="N192">
        <v>1</v>
      </c>
      <c r="O192">
        <v>3</v>
      </c>
    </row>
    <row r="193" spans="1:15" x14ac:dyDescent="0.35">
      <c r="A193">
        <v>15911415401</v>
      </c>
      <c r="B193">
        <v>3</v>
      </c>
      <c r="C193" t="s">
        <v>2397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2707</v>
      </c>
      <c r="J193" t="s">
        <v>3239</v>
      </c>
      <c r="K193" t="s">
        <v>3240</v>
      </c>
      <c r="L193" t="s">
        <v>2481</v>
      </c>
      <c r="M193">
        <v>3</v>
      </c>
      <c r="N193">
        <v>1</v>
      </c>
      <c r="O193">
        <v>3</v>
      </c>
    </row>
    <row r="194" spans="1:15" x14ac:dyDescent="0.35">
      <c r="A194">
        <v>315911415500</v>
      </c>
      <c r="B194">
        <v>3</v>
      </c>
      <c r="C194" t="s">
        <v>2400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2707</v>
      </c>
      <c r="J194" t="s">
        <v>3239</v>
      </c>
      <c r="K194" t="s">
        <v>3240</v>
      </c>
      <c r="L194" t="s">
        <v>2481</v>
      </c>
      <c r="M194">
        <v>3</v>
      </c>
      <c r="N194">
        <v>1</v>
      </c>
      <c r="O194">
        <v>3</v>
      </c>
    </row>
    <row r="195" spans="1:15" x14ac:dyDescent="0.35">
      <c r="A195">
        <v>315911415610</v>
      </c>
      <c r="B195" t="s">
        <v>3170</v>
      </c>
      <c r="C195" t="s">
        <v>2397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3241</v>
      </c>
      <c r="J195" t="s">
        <v>3242</v>
      </c>
      <c r="K195" t="s">
        <v>2443</v>
      </c>
      <c r="L195" t="s">
        <v>2481</v>
      </c>
      <c r="M195">
        <v>3</v>
      </c>
      <c r="N195">
        <v>1</v>
      </c>
      <c r="O195">
        <v>3</v>
      </c>
    </row>
    <row r="196" spans="1:15" x14ac:dyDescent="0.35">
      <c r="A196">
        <v>315911415709</v>
      </c>
      <c r="B196" t="s">
        <v>3170</v>
      </c>
      <c r="C196" t="s">
        <v>2400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3241</v>
      </c>
      <c r="J196" t="s">
        <v>3242</v>
      </c>
      <c r="K196" t="s">
        <v>2443</v>
      </c>
      <c r="L196" t="s">
        <v>2481</v>
      </c>
      <c r="M196">
        <v>3</v>
      </c>
      <c r="N196">
        <v>1</v>
      </c>
      <c r="O196">
        <v>3</v>
      </c>
    </row>
    <row r="197" spans="1:15" x14ac:dyDescent="0.35">
      <c r="A197">
        <v>315911415808</v>
      </c>
      <c r="B197">
        <v>6</v>
      </c>
      <c r="C197" t="s">
        <v>2397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3241</v>
      </c>
      <c r="J197" t="s">
        <v>3242</v>
      </c>
      <c r="K197" t="s">
        <v>2503</v>
      </c>
      <c r="L197" t="s">
        <v>2481</v>
      </c>
      <c r="M197">
        <v>3</v>
      </c>
      <c r="N197">
        <v>1</v>
      </c>
      <c r="O197">
        <v>3</v>
      </c>
    </row>
    <row r="198" spans="1:15" x14ac:dyDescent="0.35">
      <c r="A198">
        <v>315911415907</v>
      </c>
      <c r="B198">
        <v>6</v>
      </c>
      <c r="C198" t="s">
        <v>2400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3241</v>
      </c>
      <c r="J198" t="s">
        <v>3242</v>
      </c>
      <c r="K198" t="s">
        <v>2503</v>
      </c>
      <c r="L198" t="s">
        <v>2481</v>
      </c>
      <c r="M198">
        <v>3</v>
      </c>
      <c r="N198">
        <v>1</v>
      </c>
      <c r="O198">
        <v>3</v>
      </c>
    </row>
    <row r="199" spans="1:15" x14ac:dyDescent="0.35">
      <c r="A199">
        <v>315911416102</v>
      </c>
      <c r="B199" t="s">
        <v>2804</v>
      </c>
      <c r="C199" t="s">
        <v>2397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2707</v>
      </c>
      <c r="J199" t="s">
        <v>3239</v>
      </c>
      <c r="K199" t="s">
        <v>2517</v>
      </c>
      <c r="L199" t="s">
        <v>2481</v>
      </c>
      <c r="M199">
        <v>3</v>
      </c>
      <c r="N199">
        <v>1</v>
      </c>
      <c r="O199">
        <v>3</v>
      </c>
    </row>
    <row r="200" spans="1:15" x14ac:dyDescent="0.35">
      <c r="A200">
        <v>315911416201</v>
      </c>
      <c r="B200" t="s">
        <v>2804</v>
      </c>
      <c r="C200" t="s">
        <v>2400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2707</v>
      </c>
      <c r="J200" t="s">
        <v>3239</v>
      </c>
      <c r="K200" t="s">
        <v>2517</v>
      </c>
      <c r="L200" t="s">
        <v>2481</v>
      </c>
      <c r="M200">
        <v>3</v>
      </c>
      <c r="N200">
        <v>1</v>
      </c>
      <c r="O200">
        <v>3</v>
      </c>
    </row>
    <row r="201" spans="1:15" x14ac:dyDescent="0.35">
      <c r="A201">
        <v>315911416300</v>
      </c>
      <c r="B201" t="s">
        <v>2804</v>
      </c>
      <c r="C201" t="s">
        <v>2444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2707</v>
      </c>
      <c r="J201" t="s">
        <v>3239</v>
      </c>
      <c r="K201" t="s">
        <v>2517</v>
      </c>
      <c r="L201" t="s">
        <v>2481</v>
      </c>
      <c r="M201">
        <v>3</v>
      </c>
      <c r="N201">
        <v>1</v>
      </c>
      <c r="O201">
        <v>3</v>
      </c>
    </row>
    <row r="202" spans="1:15" x14ac:dyDescent="0.35">
      <c r="A202">
        <v>315911416410</v>
      </c>
      <c r="B202">
        <v>9</v>
      </c>
      <c r="C202" t="s">
        <v>2400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2812</v>
      </c>
      <c r="J202" t="s">
        <v>3187</v>
      </c>
      <c r="K202" t="s">
        <v>2524</v>
      </c>
      <c r="L202" t="s">
        <v>2481</v>
      </c>
      <c r="M202">
        <v>3</v>
      </c>
      <c r="N202">
        <v>1</v>
      </c>
      <c r="O202">
        <v>3</v>
      </c>
    </row>
    <row r="203" spans="1:15" x14ac:dyDescent="0.35">
      <c r="A203">
        <v>315911416509</v>
      </c>
      <c r="B203">
        <v>9</v>
      </c>
      <c r="C203" t="s">
        <v>2444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2812</v>
      </c>
      <c r="J203" t="s">
        <v>3187</v>
      </c>
      <c r="K203" t="s">
        <v>2524</v>
      </c>
      <c r="L203" t="s">
        <v>2481</v>
      </c>
      <c r="M203">
        <v>3</v>
      </c>
      <c r="N203">
        <v>1</v>
      </c>
      <c r="O203">
        <v>3</v>
      </c>
    </row>
    <row r="204" spans="1:15" x14ac:dyDescent="0.35">
      <c r="A204">
        <v>315911416608</v>
      </c>
      <c r="B204">
        <v>9</v>
      </c>
      <c r="C204" t="s">
        <v>2448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2812</v>
      </c>
      <c r="J204" t="s">
        <v>3187</v>
      </c>
      <c r="K204" t="s">
        <v>2524</v>
      </c>
      <c r="L204" t="s">
        <v>2481</v>
      </c>
      <c r="M204">
        <v>3</v>
      </c>
      <c r="N204">
        <v>1</v>
      </c>
      <c r="O204">
        <v>3</v>
      </c>
    </row>
    <row r="205" spans="1:15" x14ac:dyDescent="0.35">
      <c r="A205">
        <v>315911515210</v>
      </c>
      <c r="B205">
        <v>3</v>
      </c>
      <c r="C205" t="s">
        <v>2397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3243</v>
      </c>
      <c r="J205" t="s">
        <v>3244</v>
      </c>
      <c r="K205" t="s">
        <v>3176</v>
      </c>
      <c r="L205">
        <v>5</v>
      </c>
      <c r="M205">
        <v>3</v>
      </c>
      <c r="N205">
        <v>1</v>
      </c>
      <c r="O205">
        <v>3</v>
      </c>
    </row>
    <row r="206" spans="1:15" x14ac:dyDescent="0.35">
      <c r="A206">
        <v>315911515309</v>
      </c>
      <c r="B206">
        <v>3</v>
      </c>
      <c r="C206" t="s">
        <v>2400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3243</v>
      </c>
      <c r="J206" t="s">
        <v>3244</v>
      </c>
      <c r="K206" t="s">
        <v>3176</v>
      </c>
      <c r="L206">
        <v>5</v>
      </c>
      <c r="M206">
        <v>3</v>
      </c>
      <c r="N206">
        <v>1</v>
      </c>
      <c r="O206">
        <v>3</v>
      </c>
    </row>
    <row r="207" spans="1:15" x14ac:dyDescent="0.35">
      <c r="A207">
        <v>315911515408</v>
      </c>
      <c r="B207" t="s">
        <v>3170</v>
      </c>
      <c r="C207" t="s">
        <v>2397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3245</v>
      </c>
      <c r="J207" t="s">
        <v>3246</v>
      </c>
      <c r="K207" t="s">
        <v>2521</v>
      </c>
      <c r="L207">
        <v>5</v>
      </c>
      <c r="M207">
        <v>3</v>
      </c>
      <c r="N207">
        <v>1</v>
      </c>
      <c r="O207">
        <v>3</v>
      </c>
    </row>
    <row r="208" spans="1:15" x14ac:dyDescent="0.35">
      <c r="A208">
        <v>315911515507</v>
      </c>
      <c r="B208" t="s">
        <v>3170</v>
      </c>
      <c r="C208" t="s">
        <v>2400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3245</v>
      </c>
      <c r="J208" t="s">
        <v>3246</v>
      </c>
      <c r="K208" t="s">
        <v>2521</v>
      </c>
      <c r="L208">
        <v>5</v>
      </c>
      <c r="M208">
        <v>3</v>
      </c>
      <c r="N208">
        <v>1</v>
      </c>
      <c r="O208">
        <v>3</v>
      </c>
    </row>
    <row r="209" spans="1:15" x14ac:dyDescent="0.35">
      <c r="A209">
        <v>315911515606</v>
      </c>
      <c r="B209">
        <v>6</v>
      </c>
      <c r="C209" t="s">
        <v>2397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3247</v>
      </c>
      <c r="J209" t="s">
        <v>3248</v>
      </c>
      <c r="K209" t="s">
        <v>2444</v>
      </c>
      <c r="L209">
        <v>5</v>
      </c>
      <c r="M209">
        <v>3</v>
      </c>
      <c r="N209">
        <v>1</v>
      </c>
      <c r="O209">
        <v>3</v>
      </c>
    </row>
    <row r="210" spans="1:15" x14ac:dyDescent="0.35">
      <c r="A210">
        <v>315911515705</v>
      </c>
      <c r="B210">
        <v>6</v>
      </c>
      <c r="C210" t="s">
        <v>2400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3247</v>
      </c>
      <c r="J210" t="s">
        <v>3248</v>
      </c>
      <c r="K210" t="s">
        <v>2444</v>
      </c>
      <c r="L210">
        <v>5</v>
      </c>
      <c r="M210">
        <v>3</v>
      </c>
      <c r="N210">
        <v>1</v>
      </c>
      <c r="O210">
        <v>3</v>
      </c>
    </row>
    <row r="211" spans="1:15" x14ac:dyDescent="0.35">
      <c r="A211">
        <v>315911515804</v>
      </c>
      <c r="B211" t="s">
        <v>2804</v>
      </c>
      <c r="C211" t="s">
        <v>2397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3249</v>
      </c>
      <c r="J211" t="s">
        <v>3250</v>
      </c>
      <c r="K211" t="s">
        <v>3251</v>
      </c>
      <c r="L211">
        <v>5</v>
      </c>
      <c r="M211">
        <v>3</v>
      </c>
      <c r="N211">
        <v>1</v>
      </c>
      <c r="O211">
        <v>3</v>
      </c>
    </row>
    <row r="212" spans="1:15" x14ac:dyDescent="0.35">
      <c r="A212">
        <v>315911515903</v>
      </c>
      <c r="B212" t="s">
        <v>2804</v>
      </c>
      <c r="C212" t="s">
        <v>2400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3249</v>
      </c>
      <c r="J212" t="s">
        <v>3250</v>
      </c>
      <c r="K212" t="s">
        <v>3251</v>
      </c>
      <c r="L212">
        <v>5</v>
      </c>
      <c r="M212">
        <v>3</v>
      </c>
      <c r="N212">
        <v>1</v>
      </c>
      <c r="O212">
        <v>3</v>
      </c>
    </row>
    <row r="213" spans="1:15" x14ac:dyDescent="0.35">
      <c r="A213">
        <v>315911516109</v>
      </c>
      <c r="B213" t="s">
        <v>2804</v>
      </c>
      <c r="C213" t="s">
        <v>2444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3249</v>
      </c>
      <c r="J213" t="s">
        <v>3250</v>
      </c>
      <c r="K213" t="s">
        <v>3251</v>
      </c>
      <c r="L213">
        <v>5</v>
      </c>
      <c r="M213">
        <v>3</v>
      </c>
      <c r="N213">
        <v>1</v>
      </c>
      <c r="O213">
        <v>3</v>
      </c>
    </row>
    <row r="214" spans="1:15" x14ac:dyDescent="0.35">
      <c r="A214">
        <v>315911516208</v>
      </c>
      <c r="B214">
        <v>9</v>
      </c>
      <c r="C214" t="s">
        <v>2400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3252</v>
      </c>
      <c r="J214" t="s">
        <v>3253</v>
      </c>
      <c r="K214" t="s">
        <v>3180</v>
      </c>
      <c r="L214">
        <v>5</v>
      </c>
      <c r="M214">
        <v>3</v>
      </c>
      <c r="N214">
        <v>1</v>
      </c>
      <c r="O214">
        <v>3</v>
      </c>
    </row>
    <row r="215" spans="1:15" x14ac:dyDescent="0.35">
      <c r="A215">
        <v>315911516307</v>
      </c>
      <c r="B215">
        <v>9</v>
      </c>
      <c r="C215" t="s">
        <v>2444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3252</v>
      </c>
      <c r="J215" t="s">
        <v>3253</v>
      </c>
      <c r="K215" t="s">
        <v>3180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CE7-1840-4A62-9A3F-106DAC7A5F46}">
  <sheetPr codeName="Лист28"/>
  <dimension ref="A1:H137"/>
  <sheetViews>
    <sheetView zoomScale="160" zoomScaleNormal="160" workbookViewId="0">
      <selection activeCell="M29" sqref="M29"/>
    </sheetView>
  </sheetViews>
  <sheetFormatPr defaultRowHeight="14.5" x14ac:dyDescent="0.35"/>
  <sheetData>
    <row r="1" spans="1:7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7" x14ac:dyDescent="0.35">
      <c r="A2">
        <v>20</v>
      </c>
      <c r="B2" t="s">
        <v>3280</v>
      </c>
      <c r="C2">
        <v>2</v>
      </c>
      <c r="D2" t="s">
        <v>3278</v>
      </c>
      <c r="E2">
        <v>2</v>
      </c>
      <c r="F2">
        <v>38</v>
      </c>
      <c r="G2" t="s">
        <v>3283</v>
      </c>
    </row>
    <row r="3" spans="1:7" x14ac:dyDescent="0.35">
      <c r="A3">
        <v>20</v>
      </c>
      <c r="B3" t="s">
        <v>3280</v>
      </c>
      <c r="C3" t="s">
        <v>2481</v>
      </c>
      <c r="D3" t="s">
        <v>3278</v>
      </c>
      <c r="E3" t="s">
        <v>2481</v>
      </c>
      <c r="F3">
        <v>38</v>
      </c>
      <c r="G3" t="s">
        <v>3286</v>
      </c>
    </row>
    <row r="4" spans="1:7" x14ac:dyDescent="0.35">
      <c r="A4">
        <v>20</v>
      </c>
      <c r="B4" t="s">
        <v>3280</v>
      </c>
      <c r="C4">
        <v>4</v>
      </c>
      <c r="D4" t="s">
        <v>3278</v>
      </c>
      <c r="E4">
        <v>4</v>
      </c>
      <c r="F4">
        <v>38</v>
      </c>
      <c r="G4" t="s">
        <v>3285</v>
      </c>
    </row>
    <row r="5" spans="1:7" x14ac:dyDescent="0.35">
      <c r="A5">
        <v>25</v>
      </c>
      <c r="B5" t="s">
        <v>3282</v>
      </c>
      <c r="C5" t="s">
        <v>2451</v>
      </c>
      <c r="D5" t="s">
        <v>3278</v>
      </c>
      <c r="E5">
        <v>2</v>
      </c>
      <c r="F5">
        <v>38</v>
      </c>
      <c r="G5" t="s">
        <v>3285</v>
      </c>
    </row>
    <row r="6" spans="1:7" x14ac:dyDescent="0.35">
      <c r="A6">
        <v>25</v>
      </c>
      <c r="B6" t="s">
        <v>3282</v>
      </c>
      <c r="C6" t="s">
        <v>2481</v>
      </c>
      <c r="D6" t="s">
        <v>3278</v>
      </c>
      <c r="E6" t="s">
        <v>2481</v>
      </c>
      <c r="F6">
        <v>38</v>
      </c>
      <c r="G6" t="s">
        <v>3287</v>
      </c>
    </row>
    <row r="7" spans="1:7" x14ac:dyDescent="0.35">
      <c r="A7">
        <v>25</v>
      </c>
      <c r="B7" t="s">
        <v>3282</v>
      </c>
      <c r="C7" t="s">
        <v>2410</v>
      </c>
      <c r="D7" t="s">
        <v>3278</v>
      </c>
      <c r="E7">
        <v>4</v>
      </c>
      <c r="F7">
        <v>38</v>
      </c>
      <c r="G7" t="s">
        <v>3288</v>
      </c>
    </row>
    <row r="8" spans="1:7" x14ac:dyDescent="0.35">
      <c r="A8">
        <v>25</v>
      </c>
      <c r="B8" t="s">
        <v>3282</v>
      </c>
      <c r="C8" t="s">
        <v>2451</v>
      </c>
      <c r="D8" t="s">
        <v>3280</v>
      </c>
      <c r="E8">
        <v>2</v>
      </c>
      <c r="F8">
        <v>51</v>
      </c>
      <c r="G8" t="s">
        <v>3285</v>
      </c>
    </row>
    <row r="9" spans="1:7" ht="15" customHeight="1" x14ac:dyDescent="0.35">
      <c r="A9">
        <v>25</v>
      </c>
      <c r="B9" t="s">
        <v>3282</v>
      </c>
      <c r="C9" t="s">
        <v>2481</v>
      </c>
      <c r="D9" t="s">
        <v>3280</v>
      </c>
      <c r="E9" t="s">
        <v>2481</v>
      </c>
      <c r="F9">
        <v>51</v>
      </c>
      <c r="G9" t="s">
        <v>3289</v>
      </c>
    </row>
    <row r="10" spans="1:7" ht="15" customHeight="1" x14ac:dyDescent="0.35">
      <c r="A10">
        <v>25</v>
      </c>
      <c r="B10" t="s">
        <v>3282</v>
      </c>
      <c r="C10" t="s">
        <v>2410</v>
      </c>
      <c r="D10" t="s">
        <v>3280</v>
      </c>
      <c r="E10">
        <v>4</v>
      </c>
      <c r="F10">
        <v>51</v>
      </c>
      <c r="G10" t="s">
        <v>3281</v>
      </c>
    </row>
    <row r="11" spans="1:7" x14ac:dyDescent="0.35">
      <c r="A11">
        <v>32</v>
      </c>
      <c r="B11" t="s">
        <v>3202</v>
      </c>
      <c r="C11" t="s">
        <v>2453</v>
      </c>
      <c r="D11" t="s">
        <v>3278</v>
      </c>
      <c r="E11">
        <v>2</v>
      </c>
      <c r="F11">
        <v>51</v>
      </c>
      <c r="G11" t="s">
        <v>3290</v>
      </c>
    </row>
    <row r="12" spans="1:7" x14ac:dyDescent="0.35">
      <c r="A12">
        <v>32</v>
      </c>
      <c r="B12" t="s">
        <v>3202</v>
      </c>
      <c r="C12" t="s">
        <v>2458</v>
      </c>
      <c r="D12" t="s">
        <v>3278</v>
      </c>
      <c r="E12" t="s">
        <v>2481</v>
      </c>
      <c r="F12">
        <v>51</v>
      </c>
      <c r="G12" t="s">
        <v>3291</v>
      </c>
    </row>
    <row r="13" spans="1:7" x14ac:dyDescent="0.35">
      <c r="A13">
        <v>32</v>
      </c>
      <c r="B13" t="s">
        <v>3202</v>
      </c>
      <c r="C13">
        <v>5</v>
      </c>
      <c r="D13" t="s">
        <v>3278</v>
      </c>
      <c r="E13">
        <v>4</v>
      </c>
      <c r="F13">
        <v>51</v>
      </c>
      <c r="G13" t="s">
        <v>3292</v>
      </c>
    </row>
    <row r="14" spans="1:7" x14ac:dyDescent="0.35">
      <c r="A14">
        <v>32</v>
      </c>
      <c r="B14" t="s">
        <v>3202</v>
      </c>
      <c r="C14" t="s">
        <v>2453</v>
      </c>
      <c r="D14" t="s">
        <v>3278</v>
      </c>
      <c r="E14">
        <v>2</v>
      </c>
      <c r="F14">
        <v>51</v>
      </c>
      <c r="G14" t="s">
        <v>3290</v>
      </c>
    </row>
    <row r="15" spans="1:7" x14ac:dyDescent="0.35">
      <c r="A15">
        <v>32</v>
      </c>
      <c r="B15" t="s">
        <v>3202</v>
      </c>
      <c r="C15" t="s">
        <v>2458</v>
      </c>
      <c r="D15" t="s">
        <v>3280</v>
      </c>
      <c r="E15" t="s">
        <v>2481</v>
      </c>
      <c r="F15">
        <v>51</v>
      </c>
      <c r="G15" t="s">
        <v>3291</v>
      </c>
    </row>
    <row r="16" spans="1:7" x14ac:dyDescent="0.35">
      <c r="A16">
        <v>32</v>
      </c>
      <c r="B16" t="s">
        <v>3202</v>
      </c>
      <c r="C16">
        <v>5</v>
      </c>
      <c r="D16" t="s">
        <v>3280</v>
      </c>
      <c r="E16">
        <v>4</v>
      </c>
      <c r="F16">
        <v>51</v>
      </c>
      <c r="G16" t="s">
        <v>3292</v>
      </c>
    </row>
    <row r="17" spans="1:7" x14ac:dyDescent="0.35">
      <c r="A17">
        <v>32</v>
      </c>
      <c r="B17" t="s">
        <v>3202</v>
      </c>
      <c r="C17" t="s">
        <v>2453</v>
      </c>
      <c r="D17" t="s">
        <v>3280</v>
      </c>
      <c r="E17" t="s">
        <v>2451</v>
      </c>
      <c r="F17">
        <v>51</v>
      </c>
      <c r="G17" t="s">
        <v>3290</v>
      </c>
    </row>
    <row r="18" spans="1:7" x14ac:dyDescent="0.35">
      <c r="A18">
        <v>32</v>
      </c>
      <c r="B18" t="s">
        <v>3202</v>
      </c>
      <c r="C18" t="s">
        <v>2458</v>
      </c>
      <c r="D18" t="s">
        <v>3282</v>
      </c>
      <c r="E18" t="s">
        <v>2481</v>
      </c>
      <c r="F18">
        <v>51</v>
      </c>
      <c r="G18" t="s">
        <v>3291</v>
      </c>
    </row>
    <row r="19" spans="1:7" x14ac:dyDescent="0.35">
      <c r="A19">
        <v>32</v>
      </c>
      <c r="B19" t="s">
        <v>3202</v>
      </c>
      <c r="C19">
        <v>5</v>
      </c>
      <c r="D19" t="s">
        <v>3282</v>
      </c>
      <c r="E19" t="s">
        <v>2410</v>
      </c>
      <c r="F19">
        <v>51</v>
      </c>
      <c r="G19" t="s">
        <v>3292</v>
      </c>
    </row>
    <row r="20" spans="1:7" x14ac:dyDescent="0.35">
      <c r="A20">
        <v>40</v>
      </c>
      <c r="B20" t="s">
        <v>3293</v>
      </c>
      <c r="C20" t="s">
        <v>2453</v>
      </c>
      <c r="D20" t="s">
        <v>3282</v>
      </c>
      <c r="E20">
        <v>2</v>
      </c>
      <c r="F20">
        <v>64</v>
      </c>
      <c r="G20" t="s">
        <v>3294</v>
      </c>
    </row>
    <row r="21" spans="1:7" x14ac:dyDescent="0.35">
      <c r="A21">
        <v>40</v>
      </c>
      <c r="B21" t="s">
        <v>3293</v>
      </c>
      <c r="C21" t="s">
        <v>2458</v>
      </c>
      <c r="D21" t="s">
        <v>3280</v>
      </c>
      <c r="E21" t="s">
        <v>2481</v>
      </c>
      <c r="F21">
        <v>64</v>
      </c>
      <c r="G21" t="s">
        <v>2496</v>
      </c>
    </row>
    <row r="22" spans="1:7" x14ac:dyDescent="0.35">
      <c r="A22">
        <v>40</v>
      </c>
      <c r="B22" t="s">
        <v>3293</v>
      </c>
      <c r="C22">
        <v>5</v>
      </c>
      <c r="D22" t="s">
        <v>3280</v>
      </c>
      <c r="E22">
        <v>4</v>
      </c>
      <c r="F22">
        <v>64</v>
      </c>
      <c r="G22" t="s">
        <v>2505</v>
      </c>
    </row>
    <row r="23" spans="1:7" x14ac:dyDescent="0.35">
      <c r="A23">
        <v>40</v>
      </c>
      <c r="B23" t="s">
        <v>3293</v>
      </c>
      <c r="C23" t="s">
        <v>2453</v>
      </c>
      <c r="D23" t="s">
        <v>3280</v>
      </c>
      <c r="E23" t="s">
        <v>2451</v>
      </c>
      <c r="F23">
        <v>64</v>
      </c>
      <c r="G23" t="s">
        <v>3294</v>
      </c>
    </row>
    <row r="24" spans="1:7" x14ac:dyDescent="0.35">
      <c r="A24">
        <v>40</v>
      </c>
      <c r="B24" t="s">
        <v>3293</v>
      </c>
      <c r="C24" t="s">
        <v>2458</v>
      </c>
      <c r="D24" t="s">
        <v>3282</v>
      </c>
      <c r="E24" t="s">
        <v>2481</v>
      </c>
      <c r="F24">
        <v>64</v>
      </c>
      <c r="G24" t="s">
        <v>2496</v>
      </c>
    </row>
    <row r="25" spans="1:7" x14ac:dyDescent="0.35">
      <c r="A25">
        <v>40</v>
      </c>
      <c r="B25" t="s">
        <v>3293</v>
      </c>
      <c r="C25">
        <v>5</v>
      </c>
      <c r="D25" t="s">
        <v>3282</v>
      </c>
      <c r="E25" t="s">
        <v>2410</v>
      </c>
      <c r="F25">
        <v>64</v>
      </c>
      <c r="G25" t="s">
        <v>2505</v>
      </c>
    </row>
    <row r="26" spans="1:7" x14ac:dyDescent="0.35">
      <c r="A26">
        <v>40</v>
      </c>
      <c r="B26" t="s">
        <v>3293</v>
      </c>
      <c r="C26" t="s">
        <v>2453</v>
      </c>
      <c r="D26" t="s">
        <v>3282</v>
      </c>
      <c r="E26" t="s">
        <v>2453</v>
      </c>
      <c r="F26">
        <v>64</v>
      </c>
      <c r="G26" t="s">
        <v>3294</v>
      </c>
    </row>
    <row r="27" spans="1:7" x14ac:dyDescent="0.35">
      <c r="A27">
        <v>40</v>
      </c>
      <c r="B27" t="s">
        <v>3293</v>
      </c>
      <c r="C27" t="s">
        <v>2458</v>
      </c>
      <c r="D27" t="s">
        <v>3202</v>
      </c>
      <c r="E27" t="s">
        <v>2458</v>
      </c>
      <c r="F27">
        <v>64</v>
      </c>
      <c r="G27" t="s">
        <v>2496</v>
      </c>
    </row>
    <row r="28" spans="1:7" x14ac:dyDescent="0.35">
      <c r="A28">
        <v>40</v>
      </c>
      <c r="B28" t="s">
        <v>3293</v>
      </c>
      <c r="C28">
        <v>5</v>
      </c>
      <c r="D28" t="s">
        <v>3202</v>
      </c>
      <c r="E28">
        <v>5</v>
      </c>
      <c r="F28">
        <v>64</v>
      </c>
      <c r="G28" t="s">
        <v>2505</v>
      </c>
    </row>
    <row r="29" spans="1:7" x14ac:dyDescent="0.35">
      <c r="A29">
        <v>50</v>
      </c>
      <c r="B29" t="s">
        <v>3295</v>
      </c>
      <c r="C29" t="s">
        <v>2415</v>
      </c>
      <c r="D29" t="s">
        <v>3282</v>
      </c>
      <c r="E29" t="s">
        <v>2451</v>
      </c>
      <c r="F29">
        <v>76</v>
      </c>
      <c r="G29" t="s">
        <v>2497</v>
      </c>
    </row>
    <row r="30" spans="1:7" x14ac:dyDescent="0.35">
      <c r="A30">
        <v>50</v>
      </c>
      <c r="B30" t="s">
        <v>3295</v>
      </c>
      <c r="C30">
        <v>4</v>
      </c>
      <c r="D30" t="s">
        <v>3282</v>
      </c>
      <c r="E30" t="s">
        <v>2481</v>
      </c>
      <c r="F30">
        <v>76</v>
      </c>
      <c r="G30" t="s">
        <v>3296</v>
      </c>
    </row>
    <row r="31" spans="1:7" x14ac:dyDescent="0.35">
      <c r="A31">
        <v>50</v>
      </c>
      <c r="B31" t="s">
        <v>3295</v>
      </c>
      <c r="C31" t="s">
        <v>2473</v>
      </c>
      <c r="D31" t="s">
        <v>3282</v>
      </c>
      <c r="E31" t="s">
        <v>2410</v>
      </c>
      <c r="F31">
        <v>76</v>
      </c>
      <c r="G31" t="s">
        <v>2510</v>
      </c>
    </row>
    <row r="32" spans="1:7" x14ac:dyDescent="0.35">
      <c r="A32">
        <v>50</v>
      </c>
      <c r="B32" t="s">
        <v>3295</v>
      </c>
      <c r="C32" t="s">
        <v>2415</v>
      </c>
      <c r="D32" t="s">
        <v>3202</v>
      </c>
      <c r="E32" t="s">
        <v>2453</v>
      </c>
      <c r="F32">
        <v>76</v>
      </c>
      <c r="G32" t="s">
        <v>2497</v>
      </c>
    </row>
    <row r="33" spans="1:7" x14ac:dyDescent="0.35">
      <c r="A33">
        <v>50</v>
      </c>
      <c r="B33" t="s">
        <v>3295</v>
      </c>
      <c r="C33">
        <v>4</v>
      </c>
      <c r="D33" t="s">
        <v>3202</v>
      </c>
      <c r="E33" t="s">
        <v>2458</v>
      </c>
      <c r="F33">
        <v>76</v>
      </c>
      <c r="G33" t="s">
        <v>3296</v>
      </c>
    </row>
    <row r="34" spans="1:7" x14ac:dyDescent="0.35">
      <c r="A34">
        <v>50</v>
      </c>
      <c r="B34" t="s">
        <v>3295</v>
      </c>
      <c r="C34" t="s">
        <v>2473</v>
      </c>
      <c r="D34" t="s">
        <v>3202</v>
      </c>
      <c r="E34">
        <v>5</v>
      </c>
      <c r="F34">
        <v>76</v>
      </c>
      <c r="G34" t="s">
        <v>2510</v>
      </c>
    </row>
    <row r="35" spans="1:7" x14ac:dyDescent="0.35">
      <c r="A35">
        <v>50</v>
      </c>
      <c r="B35" t="s">
        <v>3295</v>
      </c>
      <c r="C35" t="s">
        <v>2415</v>
      </c>
      <c r="D35" t="s">
        <v>3202</v>
      </c>
      <c r="E35" t="s">
        <v>2453</v>
      </c>
      <c r="F35">
        <v>76</v>
      </c>
      <c r="G35" t="s">
        <v>2497</v>
      </c>
    </row>
    <row r="36" spans="1:7" x14ac:dyDescent="0.35">
      <c r="A36">
        <v>50</v>
      </c>
      <c r="B36" t="s">
        <v>3295</v>
      </c>
      <c r="C36">
        <v>4</v>
      </c>
      <c r="D36" t="s">
        <v>3293</v>
      </c>
      <c r="E36" t="s">
        <v>2458</v>
      </c>
      <c r="F36">
        <v>76</v>
      </c>
      <c r="G36" t="s">
        <v>3296</v>
      </c>
    </row>
    <row r="37" spans="1:7" x14ac:dyDescent="0.35">
      <c r="A37">
        <v>50</v>
      </c>
      <c r="B37" t="s">
        <v>3295</v>
      </c>
      <c r="C37" t="s">
        <v>2473</v>
      </c>
      <c r="D37" t="s">
        <v>3293</v>
      </c>
      <c r="E37">
        <v>5</v>
      </c>
      <c r="F37">
        <v>76</v>
      </c>
      <c r="G37" t="s">
        <v>2510</v>
      </c>
    </row>
    <row r="38" spans="1:7" x14ac:dyDescent="0.35">
      <c r="A38">
        <v>65</v>
      </c>
      <c r="B38" t="s">
        <v>3297</v>
      </c>
      <c r="C38" t="s">
        <v>2415</v>
      </c>
      <c r="D38" t="s">
        <v>3202</v>
      </c>
      <c r="E38" t="s">
        <v>2453</v>
      </c>
      <c r="F38">
        <v>89</v>
      </c>
      <c r="G38" t="s">
        <v>3298</v>
      </c>
    </row>
    <row r="39" spans="1:7" x14ac:dyDescent="0.35">
      <c r="A39">
        <v>65</v>
      </c>
      <c r="B39" t="s">
        <v>3297</v>
      </c>
      <c r="C39">
        <v>5</v>
      </c>
      <c r="D39" t="s">
        <v>3202</v>
      </c>
      <c r="E39" t="s">
        <v>2458</v>
      </c>
      <c r="F39">
        <v>89</v>
      </c>
      <c r="G39" t="s">
        <v>2541</v>
      </c>
    </row>
    <row r="40" spans="1:7" x14ac:dyDescent="0.35">
      <c r="A40">
        <v>65</v>
      </c>
      <c r="B40" t="s">
        <v>3297</v>
      </c>
      <c r="C40" t="s">
        <v>2475</v>
      </c>
      <c r="D40" t="s">
        <v>3202</v>
      </c>
      <c r="E40">
        <v>5</v>
      </c>
      <c r="F40">
        <v>89</v>
      </c>
      <c r="G40" t="s">
        <v>2445</v>
      </c>
    </row>
    <row r="41" spans="1:7" x14ac:dyDescent="0.35">
      <c r="A41">
        <v>65</v>
      </c>
      <c r="B41" t="s">
        <v>3297</v>
      </c>
      <c r="C41" t="s">
        <v>2415</v>
      </c>
      <c r="D41" t="s">
        <v>3293</v>
      </c>
      <c r="E41" t="s">
        <v>2453</v>
      </c>
      <c r="F41">
        <v>89</v>
      </c>
      <c r="G41" t="s">
        <v>3298</v>
      </c>
    </row>
    <row r="42" spans="1:7" x14ac:dyDescent="0.35">
      <c r="A42">
        <v>65</v>
      </c>
      <c r="B42" t="s">
        <v>3297</v>
      </c>
      <c r="C42">
        <v>5</v>
      </c>
      <c r="D42" t="s">
        <v>3293</v>
      </c>
      <c r="E42" t="s">
        <v>2458</v>
      </c>
      <c r="F42">
        <v>89</v>
      </c>
      <c r="G42" t="s">
        <v>2541</v>
      </c>
    </row>
    <row r="43" spans="1:7" x14ac:dyDescent="0.35">
      <c r="A43">
        <v>65</v>
      </c>
      <c r="B43" t="s">
        <v>3297</v>
      </c>
      <c r="C43" t="s">
        <v>2475</v>
      </c>
      <c r="D43" t="s">
        <v>3293</v>
      </c>
      <c r="E43">
        <v>5</v>
      </c>
      <c r="F43">
        <v>89</v>
      </c>
      <c r="G43" t="s">
        <v>2445</v>
      </c>
    </row>
    <row r="44" spans="1:7" x14ac:dyDescent="0.35">
      <c r="A44">
        <v>65</v>
      </c>
      <c r="B44" t="s">
        <v>3297</v>
      </c>
      <c r="C44" t="s">
        <v>2415</v>
      </c>
      <c r="D44" t="s">
        <v>3293</v>
      </c>
      <c r="E44" t="s">
        <v>2415</v>
      </c>
      <c r="F44">
        <v>89</v>
      </c>
      <c r="G44" t="s">
        <v>3298</v>
      </c>
    </row>
    <row r="45" spans="1:7" x14ac:dyDescent="0.35">
      <c r="A45">
        <v>65</v>
      </c>
      <c r="B45" t="s">
        <v>3297</v>
      </c>
      <c r="C45">
        <v>5</v>
      </c>
      <c r="D45" t="s">
        <v>3295</v>
      </c>
      <c r="E45">
        <v>4</v>
      </c>
      <c r="F45">
        <v>89</v>
      </c>
      <c r="G45" t="s">
        <v>2541</v>
      </c>
    </row>
    <row r="46" spans="1:7" x14ac:dyDescent="0.35">
      <c r="A46">
        <v>65</v>
      </c>
      <c r="B46" t="s">
        <v>3297</v>
      </c>
      <c r="C46" t="s">
        <v>2475</v>
      </c>
      <c r="D46" t="s">
        <v>3295</v>
      </c>
      <c r="E46" t="s">
        <v>2473</v>
      </c>
      <c r="F46">
        <v>89</v>
      </c>
      <c r="G46" t="s">
        <v>2445</v>
      </c>
    </row>
    <row r="47" spans="1:7" x14ac:dyDescent="0.35">
      <c r="A47">
        <v>80</v>
      </c>
      <c r="B47" t="s">
        <v>3299</v>
      </c>
      <c r="C47" t="s">
        <v>2481</v>
      </c>
      <c r="D47" t="s">
        <v>3293</v>
      </c>
      <c r="E47" t="s">
        <v>2453</v>
      </c>
      <c r="F47">
        <v>89</v>
      </c>
      <c r="G47" t="s">
        <v>3300</v>
      </c>
    </row>
    <row r="48" spans="1:7" x14ac:dyDescent="0.35">
      <c r="A48">
        <v>80</v>
      </c>
      <c r="B48" t="s">
        <v>3299</v>
      </c>
      <c r="C48" t="s">
        <v>2473</v>
      </c>
      <c r="D48" t="s">
        <v>3293</v>
      </c>
      <c r="E48" t="s">
        <v>2458</v>
      </c>
      <c r="F48">
        <v>89</v>
      </c>
      <c r="G48">
        <v>1</v>
      </c>
    </row>
    <row r="49" spans="1:7" x14ac:dyDescent="0.35">
      <c r="A49">
        <v>80</v>
      </c>
      <c r="B49" t="s">
        <v>3299</v>
      </c>
      <c r="C49">
        <v>8</v>
      </c>
      <c r="D49" t="s">
        <v>3293</v>
      </c>
      <c r="E49">
        <v>5</v>
      </c>
      <c r="F49">
        <v>89</v>
      </c>
      <c r="G49" t="s">
        <v>2404</v>
      </c>
    </row>
    <row r="50" spans="1:7" x14ac:dyDescent="0.35">
      <c r="A50">
        <v>80</v>
      </c>
      <c r="B50" t="s">
        <v>3299</v>
      </c>
      <c r="C50" t="s">
        <v>2481</v>
      </c>
      <c r="D50" t="s">
        <v>3295</v>
      </c>
      <c r="E50" t="s">
        <v>2415</v>
      </c>
      <c r="F50">
        <v>89</v>
      </c>
      <c r="G50" t="s">
        <v>3300</v>
      </c>
    </row>
    <row r="51" spans="1:7" x14ac:dyDescent="0.35">
      <c r="A51">
        <v>80</v>
      </c>
      <c r="B51" t="s">
        <v>3299</v>
      </c>
      <c r="C51" t="s">
        <v>2473</v>
      </c>
      <c r="D51" t="s">
        <v>3295</v>
      </c>
      <c r="E51">
        <v>4</v>
      </c>
      <c r="F51">
        <v>89</v>
      </c>
      <c r="G51">
        <v>1</v>
      </c>
    </row>
    <row r="52" spans="1:7" x14ac:dyDescent="0.35">
      <c r="A52">
        <v>80</v>
      </c>
      <c r="B52" t="s">
        <v>3299</v>
      </c>
      <c r="C52">
        <v>8</v>
      </c>
      <c r="D52" t="s">
        <v>3295</v>
      </c>
      <c r="E52" t="s">
        <v>2473</v>
      </c>
      <c r="F52">
        <v>89</v>
      </c>
      <c r="G52" t="s">
        <v>2404</v>
      </c>
    </row>
    <row r="53" spans="1:7" x14ac:dyDescent="0.35">
      <c r="A53">
        <v>80</v>
      </c>
      <c r="B53" t="s">
        <v>3299</v>
      </c>
      <c r="C53" t="s">
        <v>2481</v>
      </c>
      <c r="D53" t="s">
        <v>3297</v>
      </c>
      <c r="E53" t="s">
        <v>2415</v>
      </c>
      <c r="F53">
        <v>89</v>
      </c>
      <c r="G53" t="s">
        <v>3300</v>
      </c>
    </row>
    <row r="54" spans="1:7" x14ac:dyDescent="0.35">
      <c r="A54">
        <v>80</v>
      </c>
      <c r="B54" t="s">
        <v>3299</v>
      </c>
      <c r="C54" t="s">
        <v>2473</v>
      </c>
      <c r="D54" t="s">
        <v>3297</v>
      </c>
      <c r="E54">
        <v>5</v>
      </c>
      <c r="F54">
        <v>89</v>
      </c>
      <c r="G54">
        <v>1</v>
      </c>
    </row>
    <row r="55" spans="1:7" x14ac:dyDescent="0.35">
      <c r="A55">
        <v>80</v>
      </c>
      <c r="B55" t="s">
        <v>3299</v>
      </c>
      <c r="C55">
        <v>8</v>
      </c>
      <c r="D55" t="s">
        <v>3297</v>
      </c>
      <c r="E55" t="s">
        <v>2475</v>
      </c>
      <c r="F55">
        <v>89</v>
      </c>
      <c r="G55" t="s">
        <v>2404</v>
      </c>
    </row>
    <row r="56" spans="1:7" x14ac:dyDescent="0.35">
      <c r="A56">
        <v>100</v>
      </c>
      <c r="B56" t="s">
        <v>3301</v>
      </c>
      <c r="C56" t="s">
        <v>2458</v>
      </c>
      <c r="D56" t="s">
        <v>3295</v>
      </c>
      <c r="E56" t="s">
        <v>2415</v>
      </c>
      <c r="F56">
        <v>102</v>
      </c>
      <c r="G56">
        <v>1</v>
      </c>
    </row>
    <row r="57" spans="1:7" x14ac:dyDescent="0.35">
      <c r="A57">
        <v>100</v>
      </c>
      <c r="B57" t="s">
        <v>3301</v>
      </c>
      <c r="C57" t="s">
        <v>2587</v>
      </c>
      <c r="D57" t="s">
        <v>3295</v>
      </c>
      <c r="E57">
        <v>4</v>
      </c>
      <c r="F57">
        <v>102</v>
      </c>
      <c r="G57" t="s">
        <v>2447</v>
      </c>
    </row>
    <row r="58" spans="1:7" x14ac:dyDescent="0.35">
      <c r="A58">
        <v>100</v>
      </c>
      <c r="B58" t="s">
        <v>3301</v>
      </c>
      <c r="C58" t="s">
        <v>2388</v>
      </c>
      <c r="D58" t="s">
        <v>3295</v>
      </c>
      <c r="E58" t="s">
        <v>2473</v>
      </c>
      <c r="F58">
        <v>102</v>
      </c>
      <c r="G58" t="s">
        <v>2451</v>
      </c>
    </row>
    <row r="59" spans="1:7" x14ac:dyDescent="0.35">
      <c r="A59">
        <v>100</v>
      </c>
      <c r="B59" t="s">
        <v>3301</v>
      </c>
      <c r="C59" t="s">
        <v>2458</v>
      </c>
      <c r="D59" t="s">
        <v>3297</v>
      </c>
      <c r="E59" t="s">
        <v>2415</v>
      </c>
      <c r="F59">
        <v>102</v>
      </c>
      <c r="G59">
        <v>1</v>
      </c>
    </row>
    <row r="60" spans="1:7" x14ac:dyDescent="0.35">
      <c r="A60">
        <v>100</v>
      </c>
      <c r="B60" t="s">
        <v>3301</v>
      </c>
      <c r="C60" t="s">
        <v>2587</v>
      </c>
      <c r="D60" t="s">
        <v>3297</v>
      </c>
      <c r="E60">
        <v>5</v>
      </c>
      <c r="F60">
        <v>102</v>
      </c>
      <c r="G60" t="s">
        <v>2447</v>
      </c>
    </row>
    <row r="61" spans="1:7" x14ac:dyDescent="0.35">
      <c r="A61">
        <v>100</v>
      </c>
      <c r="B61" t="s">
        <v>3301</v>
      </c>
      <c r="C61" t="s">
        <v>2388</v>
      </c>
      <c r="D61" t="s">
        <v>3297</v>
      </c>
      <c r="E61" t="s">
        <v>2475</v>
      </c>
      <c r="F61">
        <v>102</v>
      </c>
      <c r="G61" t="s">
        <v>2451</v>
      </c>
    </row>
    <row r="62" spans="1:7" x14ac:dyDescent="0.35">
      <c r="A62">
        <v>100</v>
      </c>
      <c r="B62" t="s">
        <v>3301</v>
      </c>
      <c r="C62" t="s">
        <v>2458</v>
      </c>
      <c r="D62" t="s">
        <v>3299</v>
      </c>
      <c r="E62" t="s">
        <v>2481</v>
      </c>
      <c r="F62">
        <v>102</v>
      </c>
      <c r="G62">
        <v>1</v>
      </c>
    </row>
    <row r="63" spans="1:7" x14ac:dyDescent="0.35">
      <c r="A63">
        <v>100</v>
      </c>
      <c r="B63" t="s">
        <v>3301</v>
      </c>
      <c r="C63" t="s">
        <v>2587</v>
      </c>
      <c r="D63" t="s">
        <v>3299</v>
      </c>
      <c r="E63" t="s">
        <v>2473</v>
      </c>
      <c r="F63">
        <v>102</v>
      </c>
      <c r="G63" t="s">
        <v>2447</v>
      </c>
    </row>
    <row r="64" spans="1:7" x14ac:dyDescent="0.35">
      <c r="A64">
        <v>100</v>
      </c>
      <c r="B64" t="s">
        <v>3301</v>
      </c>
      <c r="C64" t="s">
        <v>2388</v>
      </c>
      <c r="D64" t="s">
        <v>3299</v>
      </c>
      <c r="E64">
        <v>8</v>
      </c>
      <c r="F64">
        <v>102</v>
      </c>
      <c r="G64" t="s">
        <v>2451</v>
      </c>
    </row>
    <row r="65" spans="1:7" x14ac:dyDescent="0.35">
      <c r="A65">
        <v>125</v>
      </c>
      <c r="B65" t="s">
        <v>3302</v>
      </c>
      <c r="C65">
        <v>4</v>
      </c>
      <c r="D65" t="s">
        <v>3297</v>
      </c>
      <c r="E65" t="s">
        <v>2415</v>
      </c>
      <c r="F65">
        <v>127</v>
      </c>
      <c r="G65" t="s">
        <v>2447</v>
      </c>
    </row>
    <row r="66" spans="1:7" x14ac:dyDescent="0.35">
      <c r="A66">
        <v>125</v>
      </c>
      <c r="B66" t="s">
        <v>3302</v>
      </c>
      <c r="C66" t="s">
        <v>2587</v>
      </c>
      <c r="D66" t="s">
        <v>3297</v>
      </c>
      <c r="E66">
        <v>5</v>
      </c>
      <c r="F66">
        <v>127</v>
      </c>
      <c r="G66" t="s">
        <v>2453</v>
      </c>
    </row>
    <row r="67" spans="1:7" x14ac:dyDescent="0.35">
      <c r="A67">
        <v>125</v>
      </c>
      <c r="B67" t="s">
        <v>3302</v>
      </c>
      <c r="C67">
        <v>10</v>
      </c>
      <c r="D67" t="s">
        <v>3297</v>
      </c>
      <c r="E67" t="s">
        <v>2475</v>
      </c>
      <c r="F67">
        <v>127</v>
      </c>
      <c r="G67" t="s">
        <v>2416</v>
      </c>
    </row>
    <row r="68" spans="1:7" x14ac:dyDescent="0.35">
      <c r="A68">
        <v>125</v>
      </c>
      <c r="B68" t="s">
        <v>3302</v>
      </c>
      <c r="C68">
        <v>4</v>
      </c>
      <c r="D68" t="s">
        <v>3299</v>
      </c>
      <c r="E68" t="s">
        <v>2481</v>
      </c>
      <c r="F68">
        <v>127</v>
      </c>
      <c r="G68" t="s">
        <v>2447</v>
      </c>
    </row>
    <row r="69" spans="1:7" x14ac:dyDescent="0.35">
      <c r="A69">
        <v>125</v>
      </c>
      <c r="B69" t="s">
        <v>3302</v>
      </c>
      <c r="C69" t="s">
        <v>2587</v>
      </c>
      <c r="D69" t="s">
        <v>3299</v>
      </c>
      <c r="E69" t="s">
        <v>2473</v>
      </c>
      <c r="F69">
        <v>127</v>
      </c>
      <c r="G69" t="s">
        <v>2453</v>
      </c>
    </row>
    <row r="70" spans="1:7" x14ac:dyDescent="0.35">
      <c r="A70">
        <v>125</v>
      </c>
      <c r="B70" t="s">
        <v>3302</v>
      </c>
      <c r="C70">
        <v>10</v>
      </c>
      <c r="D70" t="s">
        <v>3299</v>
      </c>
      <c r="E70">
        <v>8</v>
      </c>
      <c r="F70">
        <v>127</v>
      </c>
      <c r="G70" t="s">
        <v>2416</v>
      </c>
    </row>
    <row r="71" spans="1:7" x14ac:dyDescent="0.35">
      <c r="A71">
        <v>125</v>
      </c>
      <c r="B71" t="s">
        <v>3302</v>
      </c>
      <c r="C71">
        <v>4</v>
      </c>
      <c r="D71" t="s">
        <v>3301</v>
      </c>
      <c r="E71" t="s">
        <v>2458</v>
      </c>
      <c r="F71">
        <v>127</v>
      </c>
      <c r="G71" t="s">
        <v>2447</v>
      </c>
    </row>
    <row r="72" spans="1:7" x14ac:dyDescent="0.35">
      <c r="A72">
        <v>125</v>
      </c>
      <c r="B72" t="s">
        <v>3302</v>
      </c>
      <c r="C72" t="s">
        <v>2587</v>
      </c>
      <c r="D72" t="s">
        <v>3301</v>
      </c>
      <c r="E72" t="s">
        <v>2587</v>
      </c>
      <c r="F72">
        <v>127</v>
      </c>
      <c r="G72" t="s">
        <v>2453</v>
      </c>
    </row>
    <row r="73" spans="1:7" x14ac:dyDescent="0.35">
      <c r="A73">
        <v>125</v>
      </c>
      <c r="B73" t="s">
        <v>3302</v>
      </c>
      <c r="C73">
        <v>10</v>
      </c>
      <c r="D73" t="s">
        <v>3301</v>
      </c>
      <c r="E73" t="s">
        <v>2388</v>
      </c>
      <c r="F73">
        <v>127</v>
      </c>
      <c r="G73" t="s">
        <v>2416</v>
      </c>
    </row>
    <row r="74" spans="1:7" x14ac:dyDescent="0.35">
      <c r="A74">
        <v>150</v>
      </c>
      <c r="B74" t="s">
        <v>3303</v>
      </c>
      <c r="C74" t="s">
        <v>2410</v>
      </c>
      <c r="D74" t="s">
        <v>3299</v>
      </c>
      <c r="E74" t="s">
        <v>2481</v>
      </c>
      <c r="F74">
        <v>140</v>
      </c>
      <c r="G74" t="s">
        <v>2399</v>
      </c>
    </row>
    <row r="75" spans="1:7" x14ac:dyDescent="0.35">
      <c r="A75">
        <v>150</v>
      </c>
      <c r="B75" t="s">
        <v>3303</v>
      </c>
      <c r="C75" t="s">
        <v>2475</v>
      </c>
      <c r="D75" t="s">
        <v>3299</v>
      </c>
      <c r="E75" t="s">
        <v>2473</v>
      </c>
      <c r="F75">
        <v>140</v>
      </c>
      <c r="G75" t="s">
        <v>2455</v>
      </c>
    </row>
    <row r="76" spans="1:7" x14ac:dyDescent="0.35">
      <c r="A76">
        <v>150</v>
      </c>
      <c r="B76" t="s">
        <v>3303</v>
      </c>
      <c r="C76">
        <v>11</v>
      </c>
      <c r="D76" t="s">
        <v>3299</v>
      </c>
      <c r="E76" t="s">
        <v>2388</v>
      </c>
      <c r="F76">
        <v>140</v>
      </c>
      <c r="G76">
        <v>6</v>
      </c>
    </row>
    <row r="77" spans="1:7" x14ac:dyDescent="0.35">
      <c r="A77">
        <v>150</v>
      </c>
      <c r="B77" t="s">
        <v>3303</v>
      </c>
      <c r="C77" t="s">
        <v>2410</v>
      </c>
      <c r="D77" t="s">
        <v>3301</v>
      </c>
      <c r="E77" t="s">
        <v>2458</v>
      </c>
      <c r="F77">
        <v>140</v>
      </c>
      <c r="G77" t="s">
        <v>2399</v>
      </c>
    </row>
    <row r="78" spans="1:7" x14ac:dyDescent="0.35">
      <c r="A78">
        <v>150</v>
      </c>
      <c r="B78" t="s">
        <v>3303</v>
      </c>
      <c r="C78" t="s">
        <v>2475</v>
      </c>
      <c r="D78" t="s">
        <v>3301</v>
      </c>
      <c r="E78" t="s">
        <v>2587</v>
      </c>
      <c r="F78">
        <v>140</v>
      </c>
      <c r="G78" t="s">
        <v>2455</v>
      </c>
    </row>
    <row r="79" spans="1:7" x14ac:dyDescent="0.35">
      <c r="A79">
        <v>150</v>
      </c>
      <c r="B79" t="s">
        <v>3303</v>
      </c>
      <c r="C79">
        <v>11</v>
      </c>
      <c r="D79" t="s">
        <v>3301</v>
      </c>
      <c r="E79" t="s">
        <v>2388</v>
      </c>
      <c r="F79">
        <v>140</v>
      </c>
      <c r="G79">
        <v>6</v>
      </c>
    </row>
    <row r="80" spans="1:7" x14ac:dyDescent="0.35">
      <c r="A80">
        <v>150</v>
      </c>
      <c r="B80" t="s">
        <v>3303</v>
      </c>
      <c r="C80" t="s">
        <v>2410</v>
      </c>
      <c r="D80" t="s">
        <v>3302</v>
      </c>
      <c r="E80">
        <v>4</v>
      </c>
      <c r="F80">
        <v>140</v>
      </c>
      <c r="G80" t="s">
        <v>2399</v>
      </c>
    </row>
    <row r="81" spans="1:7" x14ac:dyDescent="0.35">
      <c r="A81">
        <v>150</v>
      </c>
      <c r="B81" t="s">
        <v>3303</v>
      </c>
      <c r="C81" t="s">
        <v>2475</v>
      </c>
      <c r="D81" t="s">
        <v>3302</v>
      </c>
      <c r="E81" t="s">
        <v>2587</v>
      </c>
      <c r="F81">
        <v>140</v>
      </c>
      <c r="G81" t="s">
        <v>2455</v>
      </c>
    </row>
    <row r="82" spans="1:7" x14ac:dyDescent="0.35">
      <c r="A82">
        <v>150</v>
      </c>
      <c r="B82" t="s">
        <v>3303</v>
      </c>
      <c r="C82">
        <v>11</v>
      </c>
      <c r="D82" t="s">
        <v>3302</v>
      </c>
      <c r="E82">
        <v>10</v>
      </c>
      <c r="F82">
        <v>140</v>
      </c>
      <c r="G82">
        <v>6</v>
      </c>
    </row>
    <row r="83" spans="1:7" x14ac:dyDescent="0.35">
      <c r="A83">
        <v>200</v>
      </c>
      <c r="B83" t="s">
        <v>3304</v>
      </c>
      <c r="C83" t="s">
        <v>2587</v>
      </c>
      <c r="D83" t="s">
        <v>3301</v>
      </c>
      <c r="E83" t="s">
        <v>2458</v>
      </c>
      <c r="F83">
        <v>152</v>
      </c>
      <c r="G83" t="s">
        <v>2483</v>
      </c>
    </row>
    <row r="84" spans="1:7" x14ac:dyDescent="0.35">
      <c r="A84">
        <v>200</v>
      </c>
      <c r="B84" t="s">
        <v>3304</v>
      </c>
      <c r="C84">
        <v>8</v>
      </c>
      <c r="D84" t="s">
        <v>3301</v>
      </c>
      <c r="E84" t="s">
        <v>2587</v>
      </c>
      <c r="F84">
        <v>152</v>
      </c>
      <c r="G84" t="s">
        <v>2587</v>
      </c>
    </row>
    <row r="85" spans="1:7" x14ac:dyDescent="0.35">
      <c r="A85">
        <v>200</v>
      </c>
      <c r="B85" t="s">
        <v>3304</v>
      </c>
      <c r="C85" t="s">
        <v>2389</v>
      </c>
      <c r="D85" t="s">
        <v>3301</v>
      </c>
      <c r="E85" t="s">
        <v>2388</v>
      </c>
      <c r="F85">
        <v>152</v>
      </c>
      <c r="G85" t="s">
        <v>3148</v>
      </c>
    </row>
    <row r="86" spans="1:7" x14ac:dyDescent="0.35">
      <c r="A86">
        <v>200</v>
      </c>
      <c r="B86" t="s">
        <v>3304</v>
      </c>
      <c r="C86" t="s">
        <v>2587</v>
      </c>
      <c r="D86" t="s">
        <v>3301</v>
      </c>
      <c r="E86">
        <v>4</v>
      </c>
      <c r="F86">
        <v>152</v>
      </c>
      <c r="G86" t="s">
        <v>2483</v>
      </c>
    </row>
    <row r="87" spans="1:7" x14ac:dyDescent="0.35">
      <c r="A87">
        <v>200</v>
      </c>
      <c r="B87" t="s">
        <v>3304</v>
      </c>
      <c r="C87">
        <v>8</v>
      </c>
      <c r="D87" t="s">
        <v>3302</v>
      </c>
      <c r="E87" t="s">
        <v>2587</v>
      </c>
      <c r="F87">
        <v>152</v>
      </c>
      <c r="G87" t="s">
        <v>2587</v>
      </c>
    </row>
    <row r="88" spans="1:7" x14ac:dyDescent="0.35">
      <c r="A88">
        <v>200</v>
      </c>
      <c r="B88" t="s">
        <v>3304</v>
      </c>
      <c r="C88" t="s">
        <v>2389</v>
      </c>
      <c r="D88" t="s">
        <v>3302</v>
      </c>
      <c r="E88">
        <v>10</v>
      </c>
      <c r="F88">
        <v>152</v>
      </c>
      <c r="G88" t="s">
        <v>3148</v>
      </c>
    </row>
    <row r="89" spans="1:7" x14ac:dyDescent="0.35">
      <c r="A89">
        <v>200</v>
      </c>
      <c r="B89" t="s">
        <v>3304</v>
      </c>
      <c r="C89" t="s">
        <v>2587</v>
      </c>
      <c r="D89" t="s">
        <v>3302</v>
      </c>
      <c r="E89" t="s">
        <v>2410</v>
      </c>
      <c r="F89">
        <v>152</v>
      </c>
      <c r="G89" t="s">
        <v>2483</v>
      </c>
    </row>
    <row r="90" spans="1:7" x14ac:dyDescent="0.35">
      <c r="A90">
        <v>200</v>
      </c>
      <c r="B90" t="s">
        <v>3304</v>
      </c>
      <c r="C90">
        <v>8</v>
      </c>
      <c r="D90" t="s">
        <v>3303</v>
      </c>
      <c r="E90" t="s">
        <v>2475</v>
      </c>
      <c r="F90">
        <v>152</v>
      </c>
      <c r="G90" t="s">
        <v>2587</v>
      </c>
    </row>
    <row r="91" spans="1:7" x14ac:dyDescent="0.35">
      <c r="A91">
        <v>200</v>
      </c>
      <c r="B91" t="s">
        <v>3304</v>
      </c>
      <c r="C91" t="s">
        <v>2389</v>
      </c>
      <c r="D91" t="s">
        <v>3303</v>
      </c>
      <c r="E91">
        <v>11</v>
      </c>
      <c r="F91">
        <v>152</v>
      </c>
      <c r="G91" t="s">
        <v>3148</v>
      </c>
    </row>
    <row r="92" spans="1:7" x14ac:dyDescent="0.35">
      <c r="A92">
        <v>250</v>
      </c>
      <c r="B92">
        <v>273</v>
      </c>
      <c r="C92" t="s">
        <v>2587</v>
      </c>
      <c r="D92" t="s">
        <v>3302</v>
      </c>
      <c r="E92">
        <v>4</v>
      </c>
      <c r="F92">
        <v>178</v>
      </c>
      <c r="G92" t="s">
        <v>2466</v>
      </c>
    </row>
    <row r="93" spans="1:7" x14ac:dyDescent="0.35">
      <c r="A93">
        <v>250</v>
      </c>
      <c r="B93">
        <v>273</v>
      </c>
      <c r="C93">
        <v>10</v>
      </c>
      <c r="D93" t="s">
        <v>3302</v>
      </c>
      <c r="E93" t="s">
        <v>2587</v>
      </c>
      <c r="F93">
        <v>178</v>
      </c>
      <c r="G93">
        <v>12</v>
      </c>
    </row>
    <row r="94" spans="1:7" x14ac:dyDescent="0.35">
      <c r="A94">
        <v>250</v>
      </c>
      <c r="B94">
        <v>273</v>
      </c>
      <c r="C94" t="s">
        <v>2587</v>
      </c>
      <c r="D94" t="s">
        <v>3303</v>
      </c>
      <c r="E94" t="s">
        <v>2410</v>
      </c>
      <c r="F94">
        <v>178</v>
      </c>
      <c r="G94" t="s">
        <v>2466</v>
      </c>
    </row>
    <row r="95" spans="1:7" x14ac:dyDescent="0.35">
      <c r="A95">
        <v>250</v>
      </c>
      <c r="B95">
        <v>273</v>
      </c>
      <c r="C95">
        <v>10</v>
      </c>
      <c r="D95" t="s">
        <v>3303</v>
      </c>
      <c r="E95" t="s">
        <v>2475</v>
      </c>
      <c r="F95">
        <v>178</v>
      </c>
      <c r="G95">
        <v>12</v>
      </c>
    </row>
    <row r="96" spans="1:7" x14ac:dyDescent="0.35">
      <c r="A96">
        <v>250</v>
      </c>
      <c r="B96">
        <v>273</v>
      </c>
      <c r="C96" t="s">
        <v>2587</v>
      </c>
      <c r="D96" t="s">
        <v>3304</v>
      </c>
      <c r="E96" t="s">
        <v>2587</v>
      </c>
      <c r="F96">
        <v>178</v>
      </c>
      <c r="G96" t="s">
        <v>2466</v>
      </c>
    </row>
    <row r="97" spans="1:7" x14ac:dyDescent="0.35">
      <c r="A97">
        <v>250</v>
      </c>
      <c r="B97">
        <v>273</v>
      </c>
      <c r="C97">
        <v>10</v>
      </c>
      <c r="D97" t="s">
        <v>3304</v>
      </c>
      <c r="E97">
        <v>8</v>
      </c>
      <c r="F97">
        <v>178</v>
      </c>
      <c r="G97">
        <v>12</v>
      </c>
    </row>
    <row r="98" spans="1:7" x14ac:dyDescent="0.35">
      <c r="A98">
        <v>300</v>
      </c>
      <c r="B98" t="s">
        <v>3305</v>
      </c>
      <c r="C98" t="s">
        <v>2475</v>
      </c>
      <c r="D98" t="s">
        <v>3303</v>
      </c>
      <c r="E98" t="s">
        <v>2410</v>
      </c>
      <c r="F98">
        <v>178</v>
      </c>
      <c r="G98">
        <v>11</v>
      </c>
    </row>
    <row r="99" spans="1:7" x14ac:dyDescent="0.35">
      <c r="A99">
        <v>300</v>
      </c>
      <c r="B99" t="s">
        <v>3305</v>
      </c>
      <c r="C99">
        <v>10</v>
      </c>
      <c r="D99" t="s">
        <v>3303</v>
      </c>
      <c r="E99" t="s">
        <v>2475</v>
      </c>
      <c r="F99">
        <v>178</v>
      </c>
      <c r="G99">
        <v>16</v>
      </c>
    </row>
    <row r="100" spans="1:7" x14ac:dyDescent="0.35">
      <c r="A100">
        <v>300</v>
      </c>
      <c r="B100" t="s">
        <v>3305</v>
      </c>
      <c r="C100" t="s">
        <v>2475</v>
      </c>
      <c r="D100" t="s">
        <v>3304</v>
      </c>
      <c r="E100" t="s">
        <v>2587</v>
      </c>
      <c r="F100">
        <v>203</v>
      </c>
      <c r="G100">
        <v>11</v>
      </c>
    </row>
    <row r="101" spans="1:7" x14ac:dyDescent="0.35">
      <c r="A101">
        <v>300</v>
      </c>
      <c r="B101" t="s">
        <v>3305</v>
      </c>
      <c r="C101">
        <v>10</v>
      </c>
      <c r="D101" t="s">
        <v>3304</v>
      </c>
      <c r="E101">
        <v>8</v>
      </c>
      <c r="F101">
        <v>203</v>
      </c>
      <c r="G101">
        <v>16</v>
      </c>
    </row>
    <row r="102" spans="1:7" x14ac:dyDescent="0.35">
      <c r="A102">
        <v>300</v>
      </c>
      <c r="B102" t="s">
        <v>3305</v>
      </c>
      <c r="C102" t="s">
        <v>2475</v>
      </c>
      <c r="D102">
        <v>273</v>
      </c>
      <c r="E102" t="s">
        <v>2587</v>
      </c>
      <c r="F102">
        <v>203</v>
      </c>
      <c r="G102">
        <v>11</v>
      </c>
    </row>
    <row r="103" spans="1:7" x14ac:dyDescent="0.35">
      <c r="A103">
        <v>300</v>
      </c>
      <c r="B103" t="s">
        <v>3305</v>
      </c>
      <c r="C103">
        <v>10</v>
      </c>
      <c r="D103">
        <v>273</v>
      </c>
      <c r="E103">
        <v>10</v>
      </c>
      <c r="F103">
        <v>203</v>
      </c>
      <c r="G103">
        <v>16</v>
      </c>
    </row>
    <row r="104" spans="1:7" x14ac:dyDescent="0.35">
      <c r="A104">
        <v>350</v>
      </c>
      <c r="B104" t="s">
        <v>3306</v>
      </c>
      <c r="C104">
        <v>8</v>
      </c>
      <c r="D104" t="s">
        <v>3304</v>
      </c>
      <c r="E104" t="s">
        <v>2587</v>
      </c>
      <c r="F104">
        <v>330</v>
      </c>
      <c r="G104">
        <v>23</v>
      </c>
    </row>
    <row r="105" spans="1:7" x14ac:dyDescent="0.35">
      <c r="A105">
        <v>350</v>
      </c>
      <c r="B105" t="s">
        <v>3306</v>
      </c>
      <c r="C105">
        <v>11</v>
      </c>
      <c r="D105" t="s">
        <v>3304</v>
      </c>
      <c r="E105">
        <v>8</v>
      </c>
      <c r="F105">
        <v>330</v>
      </c>
      <c r="G105">
        <v>31</v>
      </c>
    </row>
    <row r="106" spans="1:7" x14ac:dyDescent="0.35">
      <c r="A106">
        <v>350</v>
      </c>
      <c r="B106" t="s">
        <v>3306</v>
      </c>
      <c r="C106">
        <v>8</v>
      </c>
      <c r="D106">
        <v>273</v>
      </c>
      <c r="E106" t="s">
        <v>2587</v>
      </c>
      <c r="F106">
        <v>330</v>
      </c>
      <c r="G106">
        <v>23</v>
      </c>
    </row>
    <row r="107" spans="1:7" x14ac:dyDescent="0.35">
      <c r="A107">
        <v>350</v>
      </c>
      <c r="B107" t="s">
        <v>3306</v>
      </c>
      <c r="C107">
        <v>11</v>
      </c>
      <c r="D107">
        <v>273</v>
      </c>
      <c r="E107">
        <v>10</v>
      </c>
      <c r="F107">
        <v>330</v>
      </c>
      <c r="G107">
        <v>31</v>
      </c>
    </row>
    <row r="108" spans="1:7" x14ac:dyDescent="0.35">
      <c r="A108">
        <v>350</v>
      </c>
      <c r="B108" t="s">
        <v>3306</v>
      </c>
      <c r="C108">
        <v>8</v>
      </c>
      <c r="D108" t="s">
        <v>3305</v>
      </c>
      <c r="E108" t="s">
        <v>2475</v>
      </c>
      <c r="F108">
        <v>330</v>
      </c>
      <c r="G108">
        <v>23</v>
      </c>
    </row>
    <row r="109" spans="1:7" x14ac:dyDescent="0.35">
      <c r="A109">
        <v>350</v>
      </c>
      <c r="B109" t="s">
        <v>3306</v>
      </c>
      <c r="C109">
        <v>11</v>
      </c>
      <c r="D109" t="s">
        <v>3305</v>
      </c>
      <c r="E109">
        <v>10</v>
      </c>
      <c r="F109">
        <v>330</v>
      </c>
      <c r="G109">
        <v>31</v>
      </c>
    </row>
    <row r="110" spans="1:7" x14ac:dyDescent="0.35">
      <c r="A110">
        <v>400</v>
      </c>
      <c r="B110" t="s">
        <v>3307</v>
      </c>
      <c r="C110" t="s">
        <v>2388</v>
      </c>
      <c r="D110">
        <v>273</v>
      </c>
      <c r="E110" t="s">
        <v>2587</v>
      </c>
      <c r="F110">
        <v>356</v>
      </c>
      <c r="G110">
        <v>31</v>
      </c>
    </row>
    <row r="111" spans="1:7" x14ac:dyDescent="0.35">
      <c r="A111">
        <v>400</v>
      </c>
      <c r="B111" t="s">
        <v>3307</v>
      </c>
      <c r="C111" t="s">
        <v>2389</v>
      </c>
      <c r="D111">
        <v>273</v>
      </c>
      <c r="E111">
        <v>10</v>
      </c>
      <c r="F111">
        <v>356</v>
      </c>
      <c r="G111">
        <v>43</v>
      </c>
    </row>
    <row r="112" spans="1:7" x14ac:dyDescent="0.35">
      <c r="A112">
        <v>400</v>
      </c>
      <c r="B112" t="s">
        <v>3307</v>
      </c>
      <c r="C112" t="s">
        <v>2388</v>
      </c>
      <c r="D112" t="s">
        <v>3305</v>
      </c>
      <c r="E112" t="s">
        <v>2475</v>
      </c>
      <c r="F112">
        <v>356</v>
      </c>
      <c r="G112">
        <v>31</v>
      </c>
    </row>
    <row r="113" spans="1:8" x14ac:dyDescent="0.35">
      <c r="A113">
        <v>400</v>
      </c>
      <c r="B113" t="s">
        <v>3307</v>
      </c>
      <c r="C113" t="s">
        <v>2389</v>
      </c>
      <c r="D113" t="s">
        <v>3305</v>
      </c>
      <c r="E113">
        <v>10</v>
      </c>
      <c r="F113">
        <v>356</v>
      </c>
      <c r="G113">
        <v>43</v>
      </c>
    </row>
    <row r="114" spans="1:8" x14ac:dyDescent="0.35">
      <c r="A114">
        <v>400</v>
      </c>
      <c r="B114" t="s">
        <v>3307</v>
      </c>
      <c r="C114" t="s">
        <v>2388</v>
      </c>
      <c r="D114" t="s">
        <v>3308</v>
      </c>
      <c r="E114">
        <v>8</v>
      </c>
      <c r="F114">
        <v>356</v>
      </c>
      <c r="G114">
        <v>31</v>
      </c>
    </row>
    <row r="115" spans="1:8" x14ac:dyDescent="0.35">
      <c r="A115">
        <v>400</v>
      </c>
      <c r="B115" t="s">
        <v>3307</v>
      </c>
      <c r="C115" t="s">
        <v>2389</v>
      </c>
      <c r="D115" t="s">
        <v>3308</v>
      </c>
      <c r="E115">
        <v>11</v>
      </c>
      <c r="F115">
        <v>356</v>
      </c>
      <c r="G115">
        <v>43</v>
      </c>
    </row>
    <row r="116" spans="1:8" x14ac:dyDescent="0.35">
      <c r="A116">
        <v>450</v>
      </c>
      <c r="B116">
        <v>475</v>
      </c>
      <c r="C116">
        <v>10</v>
      </c>
      <c r="D116" t="s">
        <v>3305</v>
      </c>
      <c r="E116" t="s">
        <v>2475</v>
      </c>
      <c r="F116">
        <v>381</v>
      </c>
      <c r="G116">
        <v>42</v>
      </c>
    </row>
    <row r="117" spans="1:8" x14ac:dyDescent="0.35">
      <c r="A117">
        <v>450</v>
      </c>
      <c r="B117">
        <v>475</v>
      </c>
      <c r="C117">
        <v>10</v>
      </c>
      <c r="D117" t="s">
        <v>3306</v>
      </c>
      <c r="E117">
        <v>8</v>
      </c>
      <c r="F117">
        <v>381</v>
      </c>
      <c r="G117">
        <v>42</v>
      </c>
    </row>
    <row r="118" spans="1:8" x14ac:dyDescent="0.35">
      <c r="A118">
        <v>450</v>
      </c>
      <c r="B118">
        <v>475</v>
      </c>
      <c r="C118">
        <v>10</v>
      </c>
      <c r="D118" t="s">
        <v>3307</v>
      </c>
      <c r="E118" t="s">
        <v>2388</v>
      </c>
      <c r="F118">
        <v>381</v>
      </c>
      <c r="G118">
        <v>42</v>
      </c>
    </row>
    <row r="119" spans="1:8" x14ac:dyDescent="0.35">
      <c r="A119">
        <v>500</v>
      </c>
      <c r="B119">
        <v>508</v>
      </c>
      <c r="C119">
        <v>11</v>
      </c>
      <c r="D119" t="s">
        <v>3306</v>
      </c>
      <c r="E119">
        <v>8</v>
      </c>
      <c r="F119">
        <v>508</v>
      </c>
      <c r="G119">
        <v>65</v>
      </c>
    </row>
    <row r="120" spans="1:8" x14ac:dyDescent="0.35">
      <c r="A120">
        <v>500</v>
      </c>
      <c r="B120">
        <v>508</v>
      </c>
      <c r="C120">
        <v>11</v>
      </c>
      <c r="D120" t="s">
        <v>3307</v>
      </c>
      <c r="E120" t="s">
        <v>2388</v>
      </c>
      <c r="F120">
        <v>508</v>
      </c>
      <c r="G120">
        <v>65</v>
      </c>
    </row>
    <row r="121" spans="1:8" x14ac:dyDescent="0.35">
      <c r="A121">
        <v>500</v>
      </c>
      <c r="B121">
        <v>508</v>
      </c>
      <c r="C121">
        <v>11</v>
      </c>
      <c r="D121">
        <v>457</v>
      </c>
      <c r="E121">
        <v>10</v>
      </c>
      <c r="F121">
        <v>508</v>
      </c>
      <c r="G121">
        <v>65</v>
      </c>
    </row>
    <row r="122" spans="1:8" x14ac:dyDescent="0.35">
      <c r="A122">
        <v>600</v>
      </c>
      <c r="B122">
        <v>610</v>
      </c>
      <c r="C122" t="s">
        <v>2389</v>
      </c>
      <c r="D122" t="s">
        <v>3307</v>
      </c>
      <c r="E122" t="s">
        <v>2388</v>
      </c>
      <c r="F122">
        <v>508</v>
      </c>
      <c r="G122">
        <v>65</v>
      </c>
    </row>
    <row r="123" spans="1:8" x14ac:dyDescent="0.35">
      <c r="A123">
        <v>600</v>
      </c>
      <c r="B123">
        <v>610</v>
      </c>
      <c r="C123" t="s">
        <v>2389</v>
      </c>
      <c r="D123">
        <v>457</v>
      </c>
      <c r="E123">
        <v>10</v>
      </c>
      <c r="F123">
        <v>508</v>
      </c>
      <c r="G123">
        <v>65</v>
      </c>
      <c r="H123" s="23"/>
    </row>
    <row r="124" spans="1:8" x14ac:dyDescent="0.35">
      <c r="A124">
        <v>600</v>
      </c>
      <c r="B124">
        <v>610</v>
      </c>
      <c r="C124" t="s">
        <v>2389</v>
      </c>
      <c r="D124">
        <v>508</v>
      </c>
      <c r="E124">
        <v>11</v>
      </c>
      <c r="F124">
        <v>508</v>
      </c>
      <c r="G124">
        <v>65</v>
      </c>
      <c r="H124" s="24"/>
    </row>
    <row r="125" spans="1:8" x14ac:dyDescent="0.35">
      <c r="A125">
        <v>700</v>
      </c>
      <c r="B125">
        <v>711</v>
      </c>
      <c r="C125" t="s">
        <v>2389</v>
      </c>
      <c r="D125">
        <v>457</v>
      </c>
      <c r="E125">
        <v>10</v>
      </c>
      <c r="F125">
        <v>610</v>
      </c>
      <c r="G125">
        <v>120</v>
      </c>
      <c r="H125" s="23"/>
    </row>
    <row r="126" spans="1:8" x14ac:dyDescent="0.35">
      <c r="A126">
        <v>700</v>
      </c>
      <c r="B126">
        <v>711</v>
      </c>
      <c r="C126" t="s">
        <v>2389</v>
      </c>
      <c r="D126">
        <v>508</v>
      </c>
      <c r="E126">
        <v>11</v>
      </c>
      <c r="F126">
        <v>610</v>
      </c>
      <c r="G126">
        <v>120</v>
      </c>
      <c r="H126" s="23"/>
    </row>
    <row r="127" spans="1:8" x14ac:dyDescent="0.35">
      <c r="A127">
        <v>700</v>
      </c>
      <c r="B127">
        <v>711</v>
      </c>
      <c r="C127" t="s">
        <v>2389</v>
      </c>
      <c r="D127">
        <v>610</v>
      </c>
      <c r="E127" t="s">
        <v>2389</v>
      </c>
      <c r="F127">
        <v>610</v>
      </c>
      <c r="G127">
        <v>120</v>
      </c>
      <c r="H127" s="23"/>
    </row>
    <row r="128" spans="1:8" x14ac:dyDescent="0.35">
      <c r="A128">
        <v>800</v>
      </c>
      <c r="B128">
        <v>813</v>
      </c>
      <c r="C128" t="s">
        <v>2389</v>
      </c>
      <c r="D128">
        <v>508</v>
      </c>
      <c r="E128">
        <v>11</v>
      </c>
      <c r="F128">
        <v>610</v>
      </c>
      <c r="G128">
        <v>120</v>
      </c>
      <c r="H128" s="23"/>
    </row>
    <row r="129" spans="1:8" x14ac:dyDescent="0.35">
      <c r="A129">
        <v>800</v>
      </c>
      <c r="B129">
        <v>813</v>
      </c>
      <c r="C129" t="s">
        <v>2389</v>
      </c>
      <c r="D129">
        <v>610</v>
      </c>
      <c r="E129" t="s">
        <v>2389</v>
      </c>
      <c r="F129">
        <v>610</v>
      </c>
      <c r="G129">
        <v>120</v>
      </c>
      <c r="H129" s="23"/>
    </row>
    <row r="130" spans="1:8" x14ac:dyDescent="0.35">
      <c r="A130">
        <v>800</v>
      </c>
      <c r="B130">
        <v>813</v>
      </c>
      <c r="C130" t="s">
        <v>2389</v>
      </c>
      <c r="D130">
        <v>711</v>
      </c>
      <c r="E130" t="s">
        <v>2389</v>
      </c>
      <c r="F130">
        <v>610</v>
      </c>
      <c r="G130">
        <v>120</v>
      </c>
      <c r="H130" s="23"/>
    </row>
    <row r="131" spans="1:8" x14ac:dyDescent="0.35">
      <c r="A131">
        <v>900</v>
      </c>
      <c r="B131">
        <v>914</v>
      </c>
      <c r="C131" t="s">
        <v>2389</v>
      </c>
      <c r="D131">
        <v>610</v>
      </c>
      <c r="E131" t="s">
        <v>2389</v>
      </c>
      <c r="F131">
        <v>610</v>
      </c>
      <c r="G131">
        <v>120</v>
      </c>
      <c r="H131" s="23"/>
    </row>
    <row r="132" spans="1:8" x14ac:dyDescent="0.35">
      <c r="A132">
        <v>900</v>
      </c>
      <c r="B132">
        <v>914</v>
      </c>
      <c r="C132" t="s">
        <v>2389</v>
      </c>
      <c r="D132">
        <v>711</v>
      </c>
      <c r="E132" t="s">
        <v>2389</v>
      </c>
      <c r="F132">
        <v>610</v>
      </c>
      <c r="G132">
        <v>120</v>
      </c>
      <c r="H132" s="23"/>
    </row>
    <row r="133" spans="1:8" x14ac:dyDescent="0.35">
      <c r="A133">
        <v>900</v>
      </c>
      <c r="B133">
        <v>914</v>
      </c>
      <c r="C133" t="s">
        <v>2389</v>
      </c>
      <c r="D133">
        <v>813</v>
      </c>
      <c r="E133" t="s">
        <v>2389</v>
      </c>
      <c r="F133">
        <v>610</v>
      </c>
      <c r="G133">
        <v>120</v>
      </c>
      <c r="H133" s="24"/>
    </row>
    <row r="134" spans="1:8" x14ac:dyDescent="0.35">
      <c r="A134">
        <v>1000</v>
      </c>
      <c r="B134">
        <v>1016</v>
      </c>
      <c r="C134" t="s">
        <v>2389</v>
      </c>
      <c r="D134">
        <v>711</v>
      </c>
      <c r="E134" t="s">
        <v>2389</v>
      </c>
      <c r="F134">
        <v>610</v>
      </c>
      <c r="G134">
        <v>120</v>
      </c>
      <c r="H134" s="23"/>
    </row>
    <row r="135" spans="1:8" x14ac:dyDescent="0.35">
      <c r="A135">
        <v>1000</v>
      </c>
      <c r="B135">
        <v>1016</v>
      </c>
      <c r="C135" t="s">
        <v>2389</v>
      </c>
      <c r="D135">
        <v>813</v>
      </c>
      <c r="E135" t="s">
        <v>2389</v>
      </c>
      <c r="F135">
        <v>610</v>
      </c>
      <c r="G135">
        <v>120</v>
      </c>
      <c r="H135" s="23"/>
    </row>
    <row r="136" spans="1:8" x14ac:dyDescent="0.35">
      <c r="A136">
        <v>1000</v>
      </c>
      <c r="B136">
        <v>1016</v>
      </c>
      <c r="C136" t="s">
        <v>2389</v>
      </c>
      <c r="D136">
        <v>914</v>
      </c>
      <c r="E136" t="s">
        <v>2389</v>
      </c>
      <c r="F136">
        <v>610</v>
      </c>
      <c r="G136">
        <v>120</v>
      </c>
      <c r="H136" s="23"/>
    </row>
    <row r="137" spans="1:8" x14ac:dyDescent="0.35">
      <c r="H137" s="23"/>
    </row>
  </sheetData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O51" sqref="O51"/>
    </sheetView>
  </sheetViews>
  <sheetFormatPr defaultRowHeight="14.5" x14ac:dyDescent="0.35"/>
  <sheetData>
    <row r="1" spans="1:9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35">
      <c r="A2" s="11">
        <v>32</v>
      </c>
      <c r="B2" s="11">
        <v>38</v>
      </c>
      <c r="C2" s="11">
        <v>2</v>
      </c>
      <c r="D2" s="11">
        <v>32</v>
      </c>
      <c r="E2" s="11">
        <v>2</v>
      </c>
      <c r="F2" s="11">
        <v>30</v>
      </c>
      <c r="G2" s="11" t="s">
        <v>2442</v>
      </c>
      <c r="H2" s="11"/>
      <c r="I2" s="11"/>
    </row>
    <row r="3" spans="1:9" x14ac:dyDescent="0.35">
      <c r="A3" s="12">
        <v>32</v>
      </c>
      <c r="B3" s="12">
        <v>38</v>
      </c>
      <c r="C3" s="11">
        <v>3</v>
      </c>
      <c r="D3" s="12">
        <v>32</v>
      </c>
      <c r="E3" s="11">
        <v>3</v>
      </c>
      <c r="F3" s="12">
        <v>30</v>
      </c>
      <c r="G3" s="11" t="s">
        <v>2396</v>
      </c>
      <c r="H3" s="12"/>
      <c r="I3" s="11"/>
    </row>
    <row r="4" spans="1:9" x14ac:dyDescent="0.35">
      <c r="A4" s="12">
        <v>32</v>
      </c>
      <c r="B4" s="12">
        <v>38</v>
      </c>
      <c r="C4" s="11">
        <v>4</v>
      </c>
      <c r="D4" s="12">
        <v>32</v>
      </c>
      <c r="E4" s="11">
        <v>4</v>
      </c>
      <c r="F4" s="12">
        <v>30</v>
      </c>
      <c r="G4" s="11" t="s">
        <v>2396</v>
      </c>
      <c r="H4" s="12"/>
      <c r="I4" s="11"/>
    </row>
    <row r="5" spans="1:9" x14ac:dyDescent="0.35">
      <c r="A5" s="12">
        <v>32</v>
      </c>
      <c r="B5" s="12">
        <v>38</v>
      </c>
      <c r="C5" s="11">
        <v>2</v>
      </c>
      <c r="D5" s="11">
        <v>25</v>
      </c>
      <c r="E5" s="11" t="s">
        <v>2405</v>
      </c>
      <c r="F5" s="12">
        <v>30</v>
      </c>
      <c r="G5" s="11" t="s">
        <v>2442</v>
      </c>
      <c r="H5" s="12"/>
      <c r="I5" s="11"/>
    </row>
    <row r="6" spans="1:9" x14ac:dyDescent="0.35">
      <c r="A6" s="12">
        <v>32</v>
      </c>
      <c r="B6" s="12">
        <v>38</v>
      </c>
      <c r="C6" s="11">
        <v>3</v>
      </c>
      <c r="D6" s="12">
        <v>25</v>
      </c>
      <c r="E6" s="11">
        <v>3</v>
      </c>
      <c r="F6" s="12">
        <v>30</v>
      </c>
      <c r="G6" s="11" t="s">
        <v>2396</v>
      </c>
      <c r="H6" s="12"/>
      <c r="I6" s="11"/>
    </row>
    <row r="7" spans="1:9" x14ac:dyDescent="0.35">
      <c r="A7" s="12">
        <v>32</v>
      </c>
      <c r="B7" s="12">
        <v>38</v>
      </c>
      <c r="C7" s="11">
        <v>4</v>
      </c>
      <c r="D7" s="12">
        <v>25</v>
      </c>
      <c r="E7" s="11">
        <v>3</v>
      </c>
      <c r="F7" s="12">
        <v>30</v>
      </c>
      <c r="G7" s="11" t="s">
        <v>2396</v>
      </c>
      <c r="H7" s="12"/>
      <c r="I7" s="11"/>
    </row>
    <row r="8" spans="1:9" x14ac:dyDescent="0.35">
      <c r="A8" s="11">
        <v>40</v>
      </c>
      <c r="B8" s="11">
        <v>45</v>
      </c>
      <c r="C8" s="11" t="s">
        <v>2399</v>
      </c>
      <c r="D8" s="12">
        <v>25</v>
      </c>
      <c r="E8" s="11" t="s">
        <v>2405</v>
      </c>
      <c r="F8" s="12">
        <v>30</v>
      </c>
      <c r="G8" s="11" t="s">
        <v>2442</v>
      </c>
      <c r="H8" s="12"/>
      <c r="I8" s="11"/>
    </row>
    <row r="9" spans="1:9" x14ac:dyDescent="0.35">
      <c r="A9" s="12">
        <v>40</v>
      </c>
      <c r="B9" s="12">
        <v>45</v>
      </c>
      <c r="C9" s="11">
        <v>4</v>
      </c>
      <c r="D9" s="12">
        <v>25</v>
      </c>
      <c r="E9" s="11">
        <v>3</v>
      </c>
      <c r="F9" s="12">
        <v>30</v>
      </c>
      <c r="G9" s="11" t="s">
        <v>2396</v>
      </c>
      <c r="H9" s="12"/>
      <c r="I9" s="11"/>
    </row>
    <row r="10" spans="1:9" x14ac:dyDescent="0.35">
      <c r="A10" s="12">
        <v>40</v>
      </c>
      <c r="B10" s="12">
        <v>45</v>
      </c>
      <c r="C10" s="11">
        <v>5</v>
      </c>
      <c r="D10" s="12">
        <v>25</v>
      </c>
      <c r="E10" s="11">
        <v>3</v>
      </c>
      <c r="F10" s="12">
        <v>30</v>
      </c>
      <c r="G10" s="11" t="s">
        <v>2397</v>
      </c>
      <c r="H10" s="11"/>
      <c r="I10" s="11"/>
    </row>
    <row r="11" spans="1:9" x14ac:dyDescent="0.35">
      <c r="A11" s="12">
        <v>40</v>
      </c>
      <c r="B11" s="12">
        <v>45</v>
      </c>
      <c r="C11" s="11" t="s">
        <v>2399</v>
      </c>
      <c r="D11" s="11">
        <v>32</v>
      </c>
      <c r="E11" s="11">
        <v>2</v>
      </c>
      <c r="F11" s="12">
        <v>30</v>
      </c>
      <c r="G11" s="11" t="s">
        <v>2442</v>
      </c>
      <c r="H11" s="12"/>
      <c r="I11" s="11"/>
    </row>
    <row r="12" spans="1:9" x14ac:dyDescent="0.35">
      <c r="A12" s="12">
        <v>40</v>
      </c>
      <c r="B12" s="12">
        <v>45</v>
      </c>
      <c r="C12" s="11">
        <v>4</v>
      </c>
      <c r="D12" s="12">
        <v>32</v>
      </c>
      <c r="E12" s="11">
        <v>4</v>
      </c>
      <c r="F12" s="12">
        <v>30</v>
      </c>
      <c r="G12" s="11" t="s">
        <v>2396</v>
      </c>
      <c r="H12" s="12"/>
      <c r="I12" s="11"/>
    </row>
    <row r="13" spans="1:9" x14ac:dyDescent="0.35">
      <c r="A13" s="12">
        <v>40</v>
      </c>
      <c r="B13" s="12">
        <v>45</v>
      </c>
      <c r="C13" s="11">
        <v>5</v>
      </c>
      <c r="D13" s="12">
        <v>32</v>
      </c>
      <c r="E13" s="11">
        <v>5</v>
      </c>
      <c r="F13" s="12">
        <v>30</v>
      </c>
      <c r="G13" s="11" t="s">
        <v>2397</v>
      </c>
      <c r="H13" s="12"/>
      <c r="I13" s="11"/>
    </row>
    <row r="14" spans="1:9" x14ac:dyDescent="0.35">
      <c r="A14" s="12">
        <v>40</v>
      </c>
      <c r="B14" s="12">
        <v>45</v>
      </c>
      <c r="C14" s="11" t="s">
        <v>2399</v>
      </c>
      <c r="D14" s="11">
        <v>38</v>
      </c>
      <c r="E14" s="11">
        <v>2</v>
      </c>
      <c r="F14" s="12">
        <v>30</v>
      </c>
      <c r="G14" s="11" t="s">
        <v>2442</v>
      </c>
      <c r="H14" s="12"/>
      <c r="I14" s="11"/>
    </row>
    <row r="15" spans="1:9" x14ac:dyDescent="0.35">
      <c r="A15" s="12">
        <v>40</v>
      </c>
      <c r="B15" s="12">
        <v>45</v>
      </c>
      <c r="C15" s="11">
        <v>4</v>
      </c>
      <c r="D15" s="12">
        <v>38</v>
      </c>
      <c r="E15" s="11">
        <v>4</v>
      </c>
      <c r="F15" s="12">
        <v>30</v>
      </c>
      <c r="G15" s="11" t="s">
        <v>2396</v>
      </c>
      <c r="H15" s="12"/>
      <c r="I15" s="11"/>
    </row>
    <row r="16" spans="1:9" x14ac:dyDescent="0.35">
      <c r="A16" s="12">
        <v>40</v>
      </c>
      <c r="B16" s="12">
        <v>45</v>
      </c>
      <c r="C16" s="11">
        <v>5</v>
      </c>
      <c r="D16" s="12">
        <v>38</v>
      </c>
      <c r="E16" s="11">
        <v>5</v>
      </c>
      <c r="F16" s="12">
        <v>30</v>
      </c>
      <c r="G16" s="11" t="s">
        <v>2397</v>
      </c>
      <c r="H16" s="12"/>
      <c r="I16" s="11"/>
    </row>
    <row r="17" spans="1:9" x14ac:dyDescent="0.35">
      <c r="A17" s="11">
        <v>50</v>
      </c>
      <c r="B17" s="11">
        <v>57</v>
      </c>
      <c r="C17" s="11">
        <v>3</v>
      </c>
      <c r="D17" s="11">
        <v>25</v>
      </c>
      <c r="E17" s="11" t="s">
        <v>2405</v>
      </c>
      <c r="F17" s="11">
        <v>45</v>
      </c>
      <c r="G17" s="11" t="s">
        <v>2396</v>
      </c>
      <c r="H17" s="12"/>
      <c r="I17" s="11"/>
    </row>
    <row r="18" spans="1:9" x14ac:dyDescent="0.35">
      <c r="A18" s="12">
        <v>50</v>
      </c>
      <c r="B18" s="12">
        <v>57</v>
      </c>
      <c r="C18" s="11">
        <v>4</v>
      </c>
      <c r="D18" s="12">
        <v>25</v>
      </c>
      <c r="E18" s="11" t="s">
        <v>2405</v>
      </c>
      <c r="F18" s="12">
        <v>45</v>
      </c>
      <c r="G18" s="11" t="s">
        <v>2397</v>
      </c>
      <c r="H18" s="12"/>
      <c r="I18" s="11"/>
    </row>
    <row r="19" spans="1:9" x14ac:dyDescent="0.35">
      <c r="A19" s="12">
        <v>50</v>
      </c>
      <c r="B19" s="12">
        <v>57</v>
      </c>
      <c r="C19" s="11">
        <v>5</v>
      </c>
      <c r="D19" s="12">
        <v>25</v>
      </c>
      <c r="E19" s="11">
        <v>3</v>
      </c>
      <c r="F19" s="12">
        <v>45</v>
      </c>
      <c r="G19" s="11" t="s">
        <v>2397</v>
      </c>
      <c r="H19" s="12"/>
      <c r="I19" s="11"/>
    </row>
    <row r="20" spans="1:9" x14ac:dyDescent="0.35">
      <c r="A20" s="12">
        <v>50</v>
      </c>
      <c r="B20" s="12">
        <v>57</v>
      </c>
      <c r="C20" s="11">
        <v>6</v>
      </c>
      <c r="D20" s="12">
        <v>25</v>
      </c>
      <c r="E20" s="11">
        <v>3</v>
      </c>
      <c r="F20" s="12">
        <v>45</v>
      </c>
      <c r="G20" s="11" t="s">
        <v>2398</v>
      </c>
      <c r="H20" s="11"/>
      <c r="I20" s="11"/>
    </row>
    <row r="21" spans="1:9" x14ac:dyDescent="0.35">
      <c r="A21" s="12">
        <v>50</v>
      </c>
      <c r="B21" s="12">
        <v>57</v>
      </c>
      <c r="C21" s="11">
        <v>3</v>
      </c>
      <c r="D21" s="11">
        <v>32</v>
      </c>
      <c r="E21" s="11">
        <v>2</v>
      </c>
      <c r="F21" s="12">
        <v>45</v>
      </c>
      <c r="G21" s="11" t="s">
        <v>2396</v>
      </c>
      <c r="H21" s="12"/>
      <c r="I21" s="11"/>
    </row>
    <row r="22" spans="1:9" x14ac:dyDescent="0.35">
      <c r="A22" s="12">
        <v>50</v>
      </c>
      <c r="B22" s="12">
        <v>57</v>
      </c>
      <c r="C22" s="11">
        <v>4</v>
      </c>
      <c r="D22" s="12">
        <v>32</v>
      </c>
      <c r="E22" s="11">
        <v>2</v>
      </c>
      <c r="F22" s="12">
        <v>45</v>
      </c>
      <c r="G22" s="11" t="s">
        <v>2397</v>
      </c>
      <c r="H22" s="12"/>
      <c r="I22" s="11"/>
    </row>
    <row r="23" spans="1:9" x14ac:dyDescent="0.35">
      <c r="A23" s="12">
        <v>50</v>
      </c>
      <c r="B23" s="12">
        <v>57</v>
      </c>
      <c r="C23" s="11">
        <v>5</v>
      </c>
      <c r="D23" s="12">
        <v>32</v>
      </c>
      <c r="E23" s="11">
        <v>3</v>
      </c>
      <c r="F23" s="12">
        <v>45</v>
      </c>
      <c r="G23" s="11" t="s">
        <v>2397</v>
      </c>
      <c r="H23" s="12"/>
      <c r="I23" s="11"/>
    </row>
    <row r="24" spans="1:9" x14ac:dyDescent="0.35">
      <c r="A24" s="12">
        <v>50</v>
      </c>
      <c r="B24" s="12">
        <v>57</v>
      </c>
      <c r="C24" s="11">
        <v>6</v>
      </c>
      <c r="D24" s="12">
        <v>32</v>
      </c>
      <c r="E24" s="11">
        <v>4</v>
      </c>
      <c r="F24" s="11">
        <v>45</v>
      </c>
      <c r="G24" s="11" t="s">
        <v>2398</v>
      </c>
      <c r="H24" s="12"/>
      <c r="I24" s="11"/>
    </row>
    <row r="25" spans="1:9" x14ac:dyDescent="0.35">
      <c r="A25" s="12">
        <v>50</v>
      </c>
      <c r="B25" s="12">
        <v>57</v>
      </c>
      <c r="C25" s="11">
        <v>3</v>
      </c>
      <c r="D25" s="11">
        <v>38</v>
      </c>
      <c r="E25" s="11">
        <v>2</v>
      </c>
      <c r="F25" s="12">
        <v>45</v>
      </c>
      <c r="G25" s="11" t="s">
        <v>2396</v>
      </c>
      <c r="H25" s="11"/>
      <c r="I25" s="11"/>
    </row>
    <row r="26" spans="1:9" x14ac:dyDescent="0.35">
      <c r="A26" s="12">
        <v>50</v>
      </c>
      <c r="B26" s="12">
        <v>57</v>
      </c>
      <c r="C26" s="11">
        <v>4</v>
      </c>
      <c r="D26" s="12">
        <v>38</v>
      </c>
      <c r="E26" s="11">
        <v>4</v>
      </c>
      <c r="F26" s="12">
        <v>45</v>
      </c>
      <c r="G26" s="11" t="s">
        <v>2397</v>
      </c>
      <c r="H26" s="12"/>
      <c r="I26" s="11"/>
    </row>
    <row r="27" spans="1:9" x14ac:dyDescent="0.35">
      <c r="A27" s="12">
        <v>50</v>
      </c>
      <c r="B27" s="12">
        <v>57</v>
      </c>
      <c r="C27" s="11">
        <v>5</v>
      </c>
      <c r="D27" s="12">
        <v>38</v>
      </c>
      <c r="E27" s="11">
        <v>4</v>
      </c>
      <c r="F27" s="12">
        <v>45</v>
      </c>
      <c r="G27" s="11" t="s">
        <v>2397</v>
      </c>
      <c r="H27" s="12"/>
      <c r="I27" s="11"/>
    </row>
    <row r="28" spans="1:9" x14ac:dyDescent="0.35">
      <c r="A28" s="12">
        <v>50</v>
      </c>
      <c r="B28" s="12">
        <v>57</v>
      </c>
      <c r="C28" s="11">
        <v>6</v>
      </c>
      <c r="D28" s="12">
        <v>38</v>
      </c>
      <c r="E28" s="11">
        <v>4</v>
      </c>
      <c r="F28" s="12">
        <v>45</v>
      </c>
      <c r="G28" s="11" t="s">
        <v>2398</v>
      </c>
      <c r="H28" s="12"/>
      <c r="I28" s="11"/>
    </row>
    <row r="29" spans="1:9" x14ac:dyDescent="0.35">
      <c r="A29" s="12">
        <v>50</v>
      </c>
      <c r="B29" s="12">
        <v>57</v>
      </c>
      <c r="C29" s="11">
        <v>3</v>
      </c>
      <c r="D29" s="11">
        <v>45</v>
      </c>
      <c r="E29" s="11" t="s">
        <v>2399</v>
      </c>
      <c r="F29" s="12">
        <v>45</v>
      </c>
      <c r="G29" s="11" t="s">
        <v>2396</v>
      </c>
      <c r="H29" s="12"/>
      <c r="I29" s="11"/>
    </row>
    <row r="30" spans="1:9" x14ac:dyDescent="0.35">
      <c r="A30" s="12">
        <v>50</v>
      </c>
      <c r="B30" s="12">
        <v>57</v>
      </c>
      <c r="C30" s="11" t="s">
        <v>2402</v>
      </c>
      <c r="D30" s="12">
        <v>45</v>
      </c>
      <c r="E30" s="11" t="s">
        <v>2399</v>
      </c>
      <c r="F30" s="12">
        <v>45</v>
      </c>
      <c r="G30" s="11" t="s">
        <v>2396</v>
      </c>
      <c r="H30" s="12"/>
      <c r="I30" s="11"/>
    </row>
    <row r="31" spans="1:9" x14ac:dyDescent="0.35">
      <c r="A31" s="12">
        <v>50</v>
      </c>
      <c r="B31" s="12">
        <v>57</v>
      </c>
      <c r="C31" s="11">
        <v>4</v>
      </c>
      <c r="D31" s="12">
        <v>45</v>
      </c>
      <c r="E31" s="11">
        <v>3</v>
      </c>
      <c r="F31" s="12">
        <v>45</v>
      </c>
      <c r="G31" s="11" t="s">
        <v>2397</v>
      </c>
      <c r="H31" s="12"/>
      <c r="I31" s="11"/>
    </row>
    <row r="32" spans="1:9" x14ac:dyDescent="0.35">
      <c r="A32" s="12">
        <v>50</v>
      </c>
      <c r="B32" s="12">
        <v>57</v>
      </c>
      <c r="C32" s="11">
        <v>5</v>
      </c>
      <c r="D32" s="12">
        <v>45</v>
      </c>
      <c r="E32" s="11">
        <v>4</v>
      </c>
      <c r="F32" s="12">
        <v>45</v>
      </c>
      <c r="G32" s="11" t="s">
        <v>2397</v>
      </c>
      <c r="H32" s="11"/>
      <c r="I32" s="11"/>
    </row>
    <row r="33" spans="1:9" x14ac:dyDescent="0.35">
      <c r="A33" s="11">
        <v>50</v>
      </c>
      <c r="B33" s="11">
        <v>57</v>
      </c>
      <c r="C33" s="11">
        <v>6</v>
      </c>
      <c r="D33" s="11">
        <v>45</v>
      </c>
      <c r="E33" s="11">
        <v>5</v>
      </c>
      <c r="F33" s="11"/>
      <c r="G33" s="11" t="s">
        <v>2398</v>
      </c>
      <c r="H33" s="12"/>
      <c r="I33" s="11"/>
    </row>
    <row r="34" spans="1:9" x14ac:dyDescent="0.35">
      <c r="A34" s="12">
        <v>50</v>
      </c>
      <c r="B34" s="12">
        <v>57</v>
      </c>
      <c r="C34" s="11">
        <v>3</v>
      </c>
      <c r="D34" s="12">
        <v>45</v>
      </c>
      <c r="E34" s="11" t="s">
        <v>2399</v>
      </c>
      <c r="F34" s="11">
        <v>60</v>
      </c>
      <c r="G34" s="11" t="s">
        <v>2396</v>
      </c>
      <c r="H34" s="12"/>
      <c r="I34" s="11"/>
    </row>
    <row r="35" spans="1:9" x14ac:dyDescent="0.35">
      <c r="A35" s="12">
        <v>50</v>
      </c>
      <c r="B35" s="12">
        <v>57</v>
      </c>
      <c r="C35" s="11">
        <v>4</v>
      </c>
      <c r="D35" s="12">
        <v>45</v>
      </c>
      <c r="E35" s="11" t="s">
        <v>2399</v>
      </c>
      <c r="F35" s="11">
        <v>60</v>
      </c>
      <c r="G35" s="11" t="s">
        <v>2397</v>
      </c>
      <c r="H35" s="12"/>
      <c r="I35" s="11"/>
    </row>
    <row r="36" spans="1:9" x14ac:dyDescent="0.35">
      <c r="A36" s="12">
        <v>50</v>
      </c>
      <c r="B36" s="12">
        <v>57</v>
      </c>
      <c r="C36" s="11">
        <v>5</v>
      </c>
      <c r="D36" s="12">
        <v>45</v>
      </c>
      <c r="E36" s="11">
        <v>4</v>
      </c>
      <c r="F36" s="12">
        <v>60</v>
      </c>
      <c r="G36" s="11" t="s">
        <v>2397</v>
      </c>
      <c r="H36" s="12"/>
      <c r="I36" s="11"/>
    </row>
    <row r="37" spans="1:9" x14ac:dyDescent="0.35">
      <c r="A37" s="12">
        <v>50</v>
      </c>
      <c r="B37" s="12">
        <v>57</v>
      </c>
      <c r="C37" s="11">
        <v>6</v>
      </c>
      <c r="D37" s="12">
        <v>45</v>
      </c>
      <c r="E37" s="11">
        <v>5</v>
      </c>
      <c r="F37" s="12">
        <v>60</v>
      </c>
      <c r="G37" s="11" t="s">
        <v>2398</v>
      </c>
      <c r="H37" s="12"/>
      <c r="I37" s="11"/>
    </row>
    <row r="38" spans="1:9" x14ac:dyDescent="0.35">
      <c r="A38" s="11">
        <v>65</v>
      </c>
      <c r="B38" s="11">
        <v>76</v>
      </c>
      <c r="C38" s="11">
        <v>3</v>
      </c>
      <c r="D38" s="11">
        <v>38</v>
      </c>
      <c r="E38" s="11">
        <v>2</v>
      </c>
      <c r="F38" s="11">
        <v>55</v>
      </c>
      <c r="G38" s="11" t="s">
        <v>2397</v>
      </c>
      <c r="H38" s="12"/>
      <c r="I38" s="11"/>
    </row>
    <row r="39" spans="1:9" x14ac:dyDescent="0.35">
      <c r="A39" s="12">
        <v>65</v>
      </c>
      <c r="B39" s="12">
        <v>76</v>
      </c>
      <c r="C39" s="11" t="s">
        <v>2402</v>
      </c>
      <c r="D39" s="12">
        <v>38</v>
      </c>
      <c r="E39" s="11" t="s">
        <v>2399</v>
      </c>
      <c r="F39" s="12">
        <v>55</v>
      </c>
      <c r="G39" s="11" t="s">
        <v>2398</v>
      </c>
      <c r="H39" s="12"/>
      <c r="I39" s="11"/>
    </row>
    <row r="40" spans="1:9" x14ac:dyDescent="0.35">
      <c r="A40" s="12">
        <v>65</v>
      </c>
      <c r="B40" s="12">
        <v>76</v>
      </c>
      <c r="C40" s="11">
        <v>5</v>
      </c>
      <c r="D40" s="12">
        <v>38</v>
      </c>
      <c r="E40" s="11">
        <v>3</v>
      </c>
      <c r="F40" s="12">
        <v>55</v>
      </c>
      <c r="G40" s="11" t="s">
        <v>2400</v>
      </c>
      <c r="H40" s="12"/>
      <c r="I40" s="11"/>
    </row>
    <row r="41" spans="1:9" x14ac:dyDescent="0.35">
      <c r="A41" s="12">
        <v>65</v>
      </c>
      <c r="B41" s="12">
        <v>76</v>
      </c>
      <c r="C41" s="11">
        <v>6</v>
      </c>
      <c r="D41" s="12">
        <v>38</v>
      </c>
      <c r="E41" s="11">
        <v>3</v>
      </c>
      <c r="F41" s="12">
        <v>55</v>
      </c>
      <c r="G41" s="11" t="s">
        <v>2400</v>
      </c>
      <c r="H41" s="12"/>
      <c r="I41" s="11"/>
    </row>
    <row r="42" spans="1:9" x14ac:dyDescent="0.35">
      <c r="A42" s="12">
        <v>65</v>
      </c>
      <c r="B42" s="12">
        <v>76</v>
      </c>
      <c r="C42" s="11">
        <v>7</v>
      </c>
      <c r="D42" s="12">
        <v>38</v>
      </c>
      <c r="E42" s="11">
        <v>4</v>
      </c>
      <c r="F42" s="12">
        <v>55</v>
      </c>
      <c r="G42" s="11" t="s">
        <v>2401</v>
      </c>
      <c r="H42" s="12"/>
      <c r="I42" s="11"/>
    </row>
    <row r="43" spans="1:9" x14ac:dyDescent="0.35">
      <c r="A43" s="12">
        <v>65</v>
      </c>
      <c r="B43" s="12">
        <v>76</v>
      </c>
      <c r="C43" s="11">
        <v>3</v>
      </c>
      <c r="D43" s="11">
        <v>45</v>
      </c>
      <c r="E43" s="11" t="s">
        <v>2399</v>
      </c>
      <c r="F43" s="11">
        <v>70</v>
      </c>
      <c r="G43" s="11" t="s">
        <v>2398</v>
      </c>
      <c r="H43" s="12"/>
      <c r="I43" s="11"/>
    </row>
    <row r="44" spans="1:9" x14ac:dyDescent="0.35">
      <c r="A44" s="12">
        <v>65</v>
      </c>
      <c r="B44" s="12">
        <v>76</v>
      </c>
      <c r="C44" s="11" t="s">
        <v>2402</v>
      </c>
      <c r="D44" s="12">
        <v>45</v>
      </c>
      <c r="E44" s="11" t="s">
        <v>2399</v>
      </c>
      <c r="F44" s="12">
        <v>70</v>
      </c>
      <c r="G44" s="11" t="s">
        <v>2443</v>
      </c>
      <c r="H44" s="12"/>
      <c r="I44" s="11"/>
    </row>
    <row r="45" spans="1:9" x14ac:dyDescent="0.35">
      <c r="A45" s="12">
        <v>65</v>
      </c>
      <c r="B45" s="12">
        <v>76</v>
      </c>
      <c r="C45" s="11">
        <v>5</v>
      </c>
      <c r="D45" s="12">
        <v>45</v>
      </c>
      <c r="E45" s="11">
        <v>4</v>
      </c>
      <c r="F45" s="12">
        <v>70</v>
      </c>
      <c r="G45" s="11" t="s">
        <v>2400</v>
      </c>
      <c r="H45" s="12"/>
      <c r="I45" s="11"/>
    </row>
    <row r="46" spans="1:9" x14ac:dyDescent="0.35">
      <c r="A46" s="12">
        <v>65</v>
      </c>
      <c r="B46" s="12">
        <v>76</v>
      </c>
      <c r="C46" s="11">
        <v>6</v>
      </c>
      <c r="D46" s="12">
        <v>45</v>
      </c>
      <c r="E46" s="11">
        <v>4</v>
      </c>
      <c r="F46" s="12">
        <v>70</v>
      </c>
      <c r="G46" s="11" t="s">
        <v>2401</v>
      </c>
      <c r="H46" s="12"/>
      <c r="I46" s="11"/>
    </row>
    <row r="47" spans="1:9" x14ac:dyDescent="0.35">
      <c r="A47" s="12">
        <v>65</v>
      </c>
      <c r="B47" s="12">
        <v>76</v>
      </c>
      <c r="C47" s="11">
        <v>7</v>
      </c>
      <c r="D47" s="12">
        <v>45</v>
      </c>
      <c r="E47" s="11">
        <v>5</v>
      </c>
      <c r="F47" s="12">
        <v>70</v>
      </c>
      <c r="G47" s="11" t="s">
        <v>2403</v>
      </c>
      <c r="H47" s="12"/>
      <c r="I47" s="11"/>
    </row>
    <row r="48" spans="1:9" x14ac:dyDescent="0.35">
      <c r="A48" s="12">
        <v>65</v>
      </c>
      <c r="B48" s="12">
        <v>76</v>
      </c>
      <c r="C48" s="11">
        <v>3</v>
      </c>
      <c r="D48" s="11">
        <v>57</v>
      </c>
      <c r="E48" s="11">
        <v>3</v>
      </c>
      <c r="F48" s="12">
        <v>70</v>
      </c>
      <c r="G48" s="11" t="s">
        <v>2397</v>
      </c>
      <c r="H48" s="12"/>
      <c r="I48" s="11"/>
    </row>
    <row r="49" spans="1:9" x14ac:dyDescent="0.35">
      <c r="A49" s="12">
        <v>65</v>
      </c>
      <c r="B49" s="12">
        <v>76</v>
      </c>
      <c r="C49" s="11" t="s">
        <v>2402</v>
      </c>
      <c r="D49" s="12">
        <v>57</v>
      </c>
      <c r="E49" s="11">
        <v>3</v>
      </c>
      <c r="F49" s="12">
        <v>70</v>
      </c>
      <c r="G49" s="11" t="s">
        <v>2398</v>
      </c>
      <c r="H49" s="12"/>
      <c r="I49" s="11"/>
    </row>
    <row r="50" spans="1:9" x14ac:dyDescent="0.35">
      <c r="A50" s="12">
        <v>65</v>
      </c>
      <c r="B50" s="12">
        <v>76</v>
      </c>
      <c r="C50" s="11">
        <v>5</v>
      </c>
      <c r="D50" s="12">
        <v>57</v>
      </c>
      <c r="E50" s="11">
        <v>4</v>
      </c>
      <c r="F50" s="12">
        <v>70</v>
      </c>
      <c r="G50" s="11" t="s">
        <v>2400</v>
      </c>
      <c r="H50" s="12"/>
      <c r="I50" s="11"/>
    </row>
    <row r="51" spans="1:9" x14ac:dyDescent="0.35">
      <c r="A51" s="12">
        <v>65</v>
      </c>
      <c r="B51" s="12">
        <v>76</v>
      </c>
      <c r="C51" s="11">
        <v>6</v>
      </c>
      <c r="D51" s="12">
        <v>57</v>
      </c>
      <c r="E51" s="11">
        <v>5</v>
      </c>
      <c r="F51" s="12">
        <v>70</v>
      </c>
      <c r="G51" s="11" t="s">
        <v>2401</v>
      </c>
      <c r="H51" s="12"/>
      <c r="I51" s="11"/>
    </row>
    <row r="52" spans="1:9" x14ac:dyDescent="0.35">
      <c r="A52" s="12">
        <v>65</v>
      </c>
      <c r="B52" s="12">
        <v>76</v>
      </c>
      <c r="C52" s="11">
        <v>7</v>
      </c>
      <c r="D52" s="12">
        <v>57</v>
      </c>
      <c r="E52" s="11">
        <v>6</v>
      </c>
      <c r="F52" s="12">
        <v>70</v>
      </c>
      <c r="G52" s="11" t="s">
        <v>2403</v>
      </c>
      <c r="H52" s="12"/>
      <c r="I52" s="11"/>
    </row>
    <row r="53" spans="1:9" x14ac:dyDescent="0.35">
      <c r="A53" s="11">
        <v>80</v>
      </c>
      <c r="B53" s="11">
        <v>89</v>
      </c>
      <c r="C53" s="11" t="s">
        <v>2402</v>
      </c>
      <c r="D53" s="11">
        <v>45</v>
      </c>
      <c r="E53" s="11" t="s">
        <v>2399</v>
      </c>
      <c r="F53" s="11">
        <v>75</v>
      </c>
      <c r="G53" s="11" t="s">
        <v>2400</v>
      </c>
      <c r="H53" s="12"/>
      <c r="I53" s="11"/>
    </row>
    <row r="54" spans="1:9" x14ac:dyDescent="0.35">
      <c r="A54" s="12">
        <v>80</v>
      </c>
      <c r="B54" s="12">
        <v>89</v>
      </c>
      <c r="C54" s="11">
        <v>6</v>
      </c>
      <c r="D54" s="12">
        <v>45</v>
      </c>
      <c r="E54" s="11">
        <v>4</v>
      </c>
      <c r="F54" s="12">
        <v>75</v>
      </c>
      <c r="G54" s="11" t="s">
        <v>2444</v>
      </c>
      <c r="H54" s="12"/>
      <c r="I54" s="11"/>
    </row>
    <row r="55" spans="1:9" x14ac:dyDescent="0.35">
      <c r="A55" s="12">
        <v>80</v>
      </c>
      <c r="B55" s="12">
        <v>89</v>
      </c>
      <c r="C55" s="11">
        <v>8</v>
      </c>
      <c r="D55" s="12">
        <v>45</v>
      </c>
      <c r="E55" s="11">
        <v>5</v>
      </c>
      <c r="F55" s="12">
        <v>75</v>
      </c>
      <c r="G55" s="11" t="s">
        <v>2448</v>
      </c>
      <c r="H55" s="12"/>
      <c r="I55" s="11"/>
    </row>
    <row r="56" spans="1:9" x14ac:dyDescent="0.35">
      <c r="A56" s="12">
        <v>80</v>
      </c>
      <c r="B56" s="12">
        <v>89</v>
      </c>
      <c r="C56" s="11" t="s">
        <v>2402</v>
      </c>
      <c r="D56" s="11">
        <v>57</v>
      </c>
      <c r="E56" s="11">
        <v>3</v>
      </c>
      <c r="F56" s="12">
        <v>75</v>
      </c>
      <c r="G56" s="11" t="s">
        <v>2400</v>
      </c>
      <c r="H56" s="12"/>
      <c r="I56" s="11"/>
    </row>
    <row r="57" spans="1:9" x14ac:dyDescent="0.35">
      <c r="A57" s="12">
        <v>80</v>
      </c>
      <c r="B57" s="12">
        <v>89</v>
      </c>
      <c r="C57" s="11">
        <v>6</v>
      </c>
      <c r="D57" s="12">
        <v>57</v>
      </c>
      <c r="E57" s="11">
        <v>4</v>
      </c>
      <c r="F57" s="12">
        <v>75</v>
      </c>
      <c r="G57" s="11" t="s">
        <v>2444</v>
      </c>
      <c r="H57" s="12"/>
      <c r="I57" s="11"/>
    </row>
    <row r="58" spans="1:9" x14ac:dyDescent="0.35">
      <c r="A58" s="12">
        <v>80</v>
      </c>
      <c r="B58" s="12">
        <v>89</v>
      </c>
      <c r="C58" s="11">
        <v>8</v>
      </c>
      <c r="D58" s="12">
        <v>57</v>
      </c>
      <c r="E58" s="11">
        <v>5</v>
      </c>
      <c r="F58" s="12">
        <v>75</v>
      </c>
      <c r="G58" s="11" t="s">
        <v>2448</v>
      </c>
      <c r="H58" s="12"/>
      <c r="I58" s="11"/>
    </row>
    <row r="59" spans="1:9" x14ac:dyDescent="0.35">
      <c r="A59" s="12">
        <v>80</v>
      </c>
      <c r="B59" s="12">
        <v>89</v>
      </c>
      <c r="C59" s="11" t="s">
        <v>2402</v>
      </c>
      <c r="D59" s="11">
        <v>76</v>
      </c>
      <c r="E59" s="11">
        <v>3</v>
      </c>
      <c r="F59" s="11">
        <v>55</v>
      </c>
      <c r="G59" s="11" t="s">
        <v>2443</v>
      </c>
      <c r="H59" s="12"/>
      <c r="I59" s="11"/>
    </row>
    <row r="60" spans="1:9" x14ac:dyDescent="0.35">
      <c r="A60" s="12">
        <v>80</v>
      </c>
      <c r="B60" s="12">
        <v>89</v>
      </c>
      <c r="C60" s="11">
        <v>4</v>
      </c>
      <c r="D60" s="12">
        <v>76</v>
      </c>
      <c r="E60" s="11" t="s">
        <v>2402</v>
      </c>
      <c r="F60" s="12">
        <v>55</v>
      </c>
      <c r="G60" s="11" t="s">
        <v>2443</v>
      </c>
      <c r="H60" s="12"/>
      <c r="I60" s="11"/>
    </row>
    <row r="61" spans="1:9" x14ac:dyDescent="0.35">
      <c r="A61" s="12">
        <v>80</v>
      </c>
      <c r="B61" s="12">
        <v>89</v>
      </c>
      <c r="C61" s="11">
        <v>6</v>
      </c>
      <c r="D61" s="12">
        <v>76</v>
      </c>
      <c r="E61" s="11">
        <v>5</v>
      </c>
      <c r="F61" s="12">
        <v>55</v>
      </c>
      <c r="G61" s="11" t="s">
        <v>2401</v>
      </c>
      <c r="H61" s="12"/>
      <c r="I61" s="11"/>
    </row>
    <row r="62" spans="1:9" x14ac:dyDescent="0.35">
      <c r="A62" s="11">
        <v>80</v>
      </c>
      <c r="B62" s="11">
        <v>89</v>
      </c>
      <c r="C62" s="11">
        <v>8</v>
      </c>
      <c r="D62" s="11">
        <v>76</v>
      </c>
      <c r="E62" s="11">
        <v>6</v>
      </c>
      <c r="F62" s="11">
        <v>55</v>
      </c>
      <c r="G62" s="11" t="s">
        <v>2444</v>
      </c>
      <c r="H62" s="12"/>
      <c r="I62" s="11"/>
    </row>
    <row r="63" spans="1:9" x14ac:dyDescent="0.35">
      <c r="A63" s="12">
        <v>80</v>
      </c>
      <c r="B63" s="12">
        <v>89</v>
      </c>
      <c r="C63" s="11" t="s">
        <v>2402</v>
      </c>
      <c r="D63" s="11">
        <v>76</v>
      </c>
      <c r="E63" s="11" t="s">
        <v>2402</v>
      </c>
      <c r="F63" s="11">
        <v>75</v>
      </c>
      <c r="G63" s="11" t="s">
        <v>2400</v>
      </c>
      <c r="H63" s="12"/>
      <c r="I63" s="11"/>
    </row>
    <row r="64" spans="1:9" x14ac:dyDescent="0.35">
      <c r="A64" s="12">
        <v>80</v>
      </c>
      <c r="B64" s="12">
        <v>89</v>
      </c>
      <c r="C64" s="11">
        <v>6</v>
      </c>
      <c r="D64" s="12">
        <v>76</v>
      </c>
      <c r="E64" s="11">
        <v>5</v>
      </c>
      <c r="F64" s="12">
        <v>75</v>
      </c>
      <c r="G64" s="11" t="s">
        <v>2444</v>
      </c>
      <c r="H64" s="12"/>
      <c r="I64" s="11"/>
    </row>
    <row r="65" spans="1:9" x14ac:dyDescent="0.35">
      <c r="A65" s="12">
        <v>80</v>
      </c>
      <c r="B65" s="12">
        <v>89</v>
      </c>
      <c r="C65" s="11">
        <v>8</v>
      </c>
      <c r="D65" s="12">
        <v>76</v>
      </c>
      <c r="E65" s="11">
        <v>6</v>
      </c>
      <c r="F65" s="12">
        <v>75</v>
      </c>
      <c r="G65" s="11" t="s">
        <v>2448</v>
      </c>
      <c r="H65" s="12"/>
      <c r="I65" s="11"/>
    </row>
    <row r="66" spans="1:9" x14ac:dyDescent="0.35">
      <c r="A66" s="11">
        <v>100</v>
      </c>
      <c r="B66" s="11">
        <v>108</v>
      </c>
      <c r="C66" s="11">
        <v>4</v>
      </c>
      <c r="D66" s="11">
        <v>57</v>
      </c>
      <c r="E66" s="11">
        <v>3</v>
      </c>
      <c r="F66" s="11">
        <v>80</v>
      </c>
      <c r="G66" s="11" t="s">
        <v>2444</v>
      </c>
      <c r="H66" s="12"/>
      <c r="I66" s="11"/>
    </row>
    <row r="67" spans="1:9" x14ac:dyDescent="0.35">
      <c r="A67" s="12">
        <v>100</v>
      </c>
      <c r="B67" s="12">
        <v>108</v>
      </c>
      <c r="C67" s="11">
        <v>6</v>
      </c>
      <c r="D67" s="11">
        <v>57</v>
      </c>
      <c r="E67" s="11">
        <v>4</v>
      </c>
      <c r="F67" s="12">
        <v>80</v>
      </c>
      <c r="G67" s="11" t="s">
        <v>2448</v>
      </c>
      <c r="H67" s="12"/>
      <c r="I67" s="11"/>
    </row>
    <row r="68" spans="1:9" x14ac:dyDescent="0.35">
      <c r="A68" s="12">
        <v>100</v>
      </c>
      <c r="B68" s="12">
        <v>108</v>
      </c>
      <c r="C68" s="11">
        <v>8</v>
      </c>
      <c r="D68" s="12">
        <v>57</v>
      </c>
      <c r="E68" s="11">
        <v>5</v>
      </c>
      <c r="F68" s="12">
        <v>80</v>
      </c>
      <c r="G68" s="11" t="s">
        <v>2405</v>
      </c>
      <c r="H68" s="12"/>
      <c r="I68" s="11"/>
    </row>
    <row r="69" spans="1:9" x14ac:dyDescent="0.35">
      <c r="A69" s="12">
        <v>100</v>
      </c>
      <c r="B69" s="12">
        <v>108</v>
      </c>
      <c r="C69" s="11">
        <v>9</v>
      </c>
      <c r="D69" s="12">
        <v>57</v>
      </c>
      <c r="E69" s="11">
        <v>6</v>
      </c>
      <c r="F69" s="12">
        <v>80</v>
      </c>
      <c r="G69" s="11" t="s">
        <v>2480</v>
      </c>
      <c r="H69" s="12"/>
      <c r="I69" s="11"/>
    </row>
    <row r="70" spans="1:9" x14ac:dyDescent="0.35">
      <c r="A70" s="12">
        <v>100</v>
      </c>
      <c r="B70" s="11">
        <v>108</v>
      </c>
      <c r="C70" s="11">
        <v>4</v>
      </c>
      <c r="D70" s="11">
        <v>76</v>
      </c>
      <c r="E70" s="11" t="s">
        <v>2402</v>
      </c>
      <c r="F70" s="12">
        <v>80</v>
      </c>
      <c r="G70" s="11" t="s">
        <v>2444</v>
      </c>
      <c r="H70" s="12"/>
      <c r="I70" s="11"/>
    </row>
    <row r="71" spans="1:9" x14ac:dyDescent="0.35">
      <c r="A71" s="12">
        <v>100</v>
      </c>
      <c r="B71" s="12">
        <v>108</v>
      </c>
      <c r="C71" s="11">
        <v>6</v>
      </c>
      <c r="D71" s="12">
        <v>76</v>
      </c>
      <c r="E71" s="11">
        <v>5</v>
      </c>
      <c r="F71" s="12">
        <v>80</v>
      </c>
      <c r="G71" s="11" t="s">
        <v>2448</v>
      </c>
      <c r="H71" s="12"/>
      <c r="I71" s="11"/>
    </row>
    <row r="72" spans="1:9" x14ac:dyDescent="0.35">
      <c r="A72" s="12">
        <v>100</v>
      </c>
      <c r="B72" s="12">
        <v>108</v>
      </c>
      <c r="C72" s="11">
        <v>8</v>
      </c>
      <c r="D72" s="12">
        <v>76</v>
      </c>
      <c r="E72" s="11">
        <v>6</v>
      </c>
      <c r="F72" s="12">
        <v>80</v>
      </c>
      <c r="G72" s="11" t="s">
        <v>2405</v>
      </c>
      <c r="H72" s="12"/>
      <c r="I72" s="11"/>
    </row>
    <row r="73" spans="1:9" x14ac:dyDescent="0.35">
      <c r="A73" s="12">
        <v>100</v>
      </c>
      <c r="B73" s="12">
        <v>108</v>
      </c>
      <c r="C73" s="11">
        <v>9</v>
      </c>
      <c r="D73" s="12">
        <v>76</v>
      </c>
      <c r="E73" s="11">
        <v>7</v>
      </c>
      <c r="F73" s="12">
        <v>80</v>
      </c>
      <c r="G73" s="11" t="s">
        <v>2480</v>
      </c>
      <c r="H73" s="12"/>
      <c r="I73" s="11"/>
    </row>
    <row r="74" spans="1:9" x14ac:dyDescent="0.35">
      <c r="A74" s="12">
        <v>100</v>
      </c>
      <c r="B74" s="12">
        <v>108</v>
      </c>
      <c r="C74" s="11">
        <v>4</v>
      </c>
      <c r="D74" s="11">
        <v>89</v>
      </c>
      <c r="E74" s="11" t="s">
        <v>2402</v>
      </c>
      <c r="F74" s="12">
        <v>80</v>
      </c>
      <c r="G74" s="11" t="s">
        <v>2444</v>
      </c>
      <c r="H74" s="12"/>
      <c r="I74" s="11"/>
    </row>
    <row r="75" spans="1:9" x14ac:dyDescent="0.35">
      <c r="A75" s="12">
        <v>100</v>
      </c>
      <c r="B75" s="12">
        <v>108</v>
      </c>
      <c r="C75" s="11">
        <v>6</v>
      </c>
      <c r="D75" s="12">
        <v>89</v>
      </c>
      <c r="E75" s="11">
        <v>6</v>
      </c>
      <c r="F75" s="12">
        <v>80</v>
      </c>
      <c r="G75" s="11" t="s">
        <v>2448</v>
      </c>
      <c r="H75" s="12"/>
      <c r="I75" s="11"/>
    </row>
    <row r="76" spans="1:9" x14ac:dyDescent="0.35">
      <c r="A76" s="12">
        <v>100</v>
      </c>
      <c r="B76" s="12">
        <v>108</v>
      </c>
      <c r="C76" s="11">
        <v>8</v>
      </c>
      <c r="D76" s="12">
        <v>89</v>
      </c>
      <c r="E76" s="11">
        <v>8</v>
      </c>
      <c r="F76" s="12">
        <v>80</v>
      </c>
      <c r="G76" s="11" t="s">
        <v>2405</v>
      </c>
      <c r="H76" s="12"/>
      <c r="I76" s="11"/>
    </row>
    <row r="77" spans="1:9" x14ac:dyDescent="0.35">
      <c r="A77" s="12">
        <v>100</v>
      </c>
      <c r="B77" s="12">
        <v>108</v>
      </c>
      <c r="C77" s="11">
        <v>9</v>
      </c>
      <c r="D77" s="12">
        <v>89</v>
      </c>
      <c r="E77" s="11">
        <v>8</v>
      </c>
      <c r="F77" s="12">
        <v>80</v>
      </c>
      <c r="G77" s="11" t="s">
        <v>2480</v>
      </c>
      <c r="H77" s="12"/>
      <c r="I77" s="11"/>
    </row>
    <row r="78" spans="1:9" x14ac:dyDescent="0.35">
      <c r="A78" s="12">
        <v>100</v>
      </c>
      <c r="B78" s="11">
        <v>114</v>
      </c>
      <c r="C78" s="11">
        <v>4</v>
      </c>
      <c r="D78" s="11">
        <v>57</v>
      </c>
      <c r="E78" s="11">
        <v>3</v>
      </c>
      <c r="F78" s="12">
        <v>80</v>
      </c>
      <c r="G78" s="11">
        <v>1</v>
      </c>
      <c r="H78" s="12"/>
      <c r="I78" s="11"/>
    </row>
    <row r="79" spans="1:9" x14ac:dyDescent="0.35">
      <c r="A79" s="12">
        <v>100</v>
      </c>
      <c r="B79" s="12">
        <v>114</v>
      </c>
      <c r="C79" s="11">
        <v>6</v>
      </c>
      <c r="D79" s="12">
        <v>57</v>
      </c>
      <c r="E79" s="11">
        <v>4</v>
      </c>
      <c r="F79" s="12">
        <v>80</v>
      </c>
      <c r="G79" s="11" t="s">
        <v>2446</v>
      </c>
      <c r="H79" s="12"/>
      <c r="I79" s="11"/>
    </row>
    <row r="80" spans="1:9" x14ac:dyDescent="0.35">
      <c r="A80" s="12">
        <v>100</v>
      </c>
      <c r="B80" s="12">
        <v>114</v>
      </c>
      <c r="C80" s="11">
        <v>8</v>
      </c>
      <c r="D80" s="12">
        <v>57</v>
      </c>
      <c r="E80" s="11">
        <v>5</v>
      </c>
      <c r="F80" s="12">
        <v>80</v>
      </c>
      <c r="G80" s="11" t="s">
        <v>2447</v>
      </c>
      <c r="H80" s="12"/>
      <c r="I80" s="11"/>
    </row>
    <row r="81" spans="1:9" x14ac:dyDescent="0.35">
      <c r="A81" s="12">
        <v>100</v>
      </c>
      <c r="B81" s="12">
        <v>114</v>
      </c>
      <c r="C81" s="11">
        <v>9</v>
      </c>
      <c r="D81" s="12">
        <v>57</v>
      </c>
      <c r="E81" s="11">
        <v>6</v>
      </c>
      <c r="F81" s="12">
        <v>80</v>
      </c>
      <c r="G81" s="11" t="s">
        <v>2449</v>
      </c>
      <c r="H81" s="12"/>
      <c r="I81" s="11"/>
    </row>
    <row r="82" spans="1:9" x14ac:dyDescent="0.35">
      <c r="A82" s="12">
        <v>100</v>
      </c>
      <c r="B82" s="12">
        <v>114</v>
      </c>
      <c r="C82" s="11">
        <v>4</v>
      </c>
      <c r="D82" s="11">
        <v>76</v>
      </c>
      <c r="E82" s="11" t="s">
        <v>2402</v>
      </c>
      <c r="F82" s="12">
        <v>80</v>
      </c>
      <c r="G82" s="11">
        <v>1</v>
      </c>
      <c r="H82" s="12"/>
      <c r="I82" s="11"/>
    </row>
    <row r="83" spans="1:9" x14ac:dyDescent="0.35">
      <c r="A83" s="12">
        <v>100</v>
      </c>
      <c r="B83" s="12">
        <v>114</v>
      </c>
      <c r="C83" s="11">
        <v>6</v>
      </c>
      <c r="D83" s="12">
        <v>76</v>
      </c>
      <c r="E83" s="11">
        <v>5</v>
      </c>
      <c r="F83" s="12">
        <v>80</v>
      </c>
      <c r="G83" s="11" t="s">
        <v>2446</v>
      </c>
      <c r="H83" s="11"/>
      <c r="I83" s="11"/>
    </row>
    <row r="84" spans="1:9" x14ac:dyDescent="0.35">
      <c r="A84" s="12">
        <v>100</v>
      </c>
      <c r="B84" s="12">
        <v>114</v>
      </c>
      <c r="C84" s="11">
        <v>8</v>
      </c>
      <c r="D84" s="12">
        <v>76</v>
      </c>
      <c r="E84" s="11">
        <v>6</v>
      </c>
      <c r="F84" s="12">
        <v>80</v>
      </c>
      <c r="G84" s="11" t="s">
        <v>2447</v>
      </c>
      <c r="H84" s="12"/>
      <c r="I84" s="11"/>
    </row>
    <row r="85" spans="1:9" x14ac:dyDescent="0.35">
      <c r="A85" s="12">
        <v>100</v>
      </c>
      <c r="B85" s="12">
        <v>114</v>
      </c>
      <c r="C85" s="11">
        <v>9</v>
      </c>
      <c r="D85" s="12">
        <v>76</v>
      </c>
      <c r="E85" s="11">
        <v>7</v>
      </c>
      <c r="F85" s="12">
        <v>80</v>
      </c>
      <c r="G85" s="11" t="s">
        <v>2449</v>
      </c>
      <c r="H85" s="12"/>
      <c r="I85" s="11"/>
    </row>
    <row r="86" spans="1:9" x14ac:dyDescent="0.35">
      <c r="A86" s="12">
        <v>100</v>
      </c>
      <c r="B86" s="12">
        <v>114</v>
      </c>
      <c r="C86" s="11">
        <v>4</v>
      </c>
      <c r="D86" s="11">
        <v>89</v>
      </c>
      <c r="E86" s="11" t="s">
        <v>2402</v>
      </c>
      <c r="F86" s="12">
        <v>80</v>
      </c>
      <c r="G86" s="11">
        <v>1</v>
      </c>
      <c r="H86" s="12"/>
      <c r="I86" s="11"/>
    </row>
    <row r="87" spans="1:9" x14ac:dyDescent="0.35">
      <c r="A87" s="12">
        <v>100</v>
      </c>
      <c r="B87" s="12">
        <v>114</v>
      </c>
      <c r="C87" s="11">
        <v>6</v>
      </c>
      <c r="D87" s="12">
        <v>89</v>
      </c>
      <c r="E87" s="11">
        <v>6</v>
      </c>
      <c r="F87" s="12">
        <v>80</v>
      </c>
      <c r="G87" s="11" t="s">
        <v>2446</v>
      </c>
      <c r="H87" s="12"/>
      <c r="I87" s="11"/>
    </row>
    <row r="88" spans="1:9" x14ac:dyDescent="0.35">
      <c r="A88" s="12">
        <v>100</v>
      </c>
      <c r="B88" s="12">
        <v>114</v>
      </c>
      <c r="C88" s="11">
        <v>8</v>
      </c>
      <c r="D88" s="12">
        <v>89</v>
      </c>
      <c r="E88" s="11">
        <v>8</v>
      </c>
      <c r="F88" s="12">
        <v>80</v>
      </c>
      <c r="G88" s="11" t="s">
        <v>2447</v>
      </c>
      <c r="H88" s="12"/>
      <c r="I88" s="11"/>
    </row>
    <row r="89" spans="1:9" x14ac:dyDescent="0.35">
      <c r="A89" s="12">
        <v>100</v>
      </c>
      <c r="B89" s="12">
        <v>114</v>
      </c>
      <c r="C89" s="11">
        <v>9</v>
      </c>
      <c r="D89" s="12">
        <v>89</v>
      </c>
      <c r="E89" s="11">
        <v>8</v>
      </c>
      <c r="F89" s="12">
        <v>80</v>
      </c>
      <c r="G89" s="11" t="s">
        <v>2449</v>
      </c>
      <c r="H89" s="12"/>
      <c r="I89" s="11"/>
    </row>
    <row r="90" spans="1:9" x14ac:dyDescent="0.35">
      <c r="A90" s="11">
        <v>125</v>
      </c>
      <c r="B90" s="11">
        <v>133</v>
      </c>
      <c r="C90" s="11">
        <v>4</v>
      </c>
      <c r="D90" s="11">
        <v>57</v>
      </c>
      <c r="E90" s="11">
        <v>3</v>
      </c>
      <c r="F90" s="11">
        <v>100</v>
      </c>
      <c r="G90" s="11" t="s">
        <v>2446</v>
      </c>
      <c r="H90" s="12"/>
      <c r="I90" s="11"/>
    </row>
    <row r="91" spans="1:9" x14ac:dyDescent="0.35">
      <c r="A91" s="12">
        <v>125</v>
      </c>
      <c r="B91" s="12">
        <v>133</v>
      </c>
      <c r="C91" s="11">
        <v>8</v>
      </c>
      <c r="D91" s="12">
        <v>57</v>
      </c>
      <c r="E91" s="11">
        <v>4</v>
      </c>
      <c r="F91" s="12">
        <v>100</v>
      </c>
      <c r="G91" s="11" t="s">
        <v>2399</v>
      </c>
      <c r="H91" s="12"/>
      <c r="I91" s="11"/>
    </row>
    <row r="92" spans="1:9" x14ac:dyDescent="0.35">
      <c r="A92" s="12">
        <v>125</v>
      </c>
      <c r="B92" s="12">
        <v>133</v>
      </c>
      <c r="C92" s="11">
        <v>10</v>
      </c>
      <c r="D92" s="12">
        <v>57</v>
      </c>
      <c r="E92" s="11">
        <v>5</v>
      </c>
      <c r="F92" s="12">
        <v>100</v>
      </c>
      <c r="G92" s="11" t="s">
        <v>2457</v>
      </c>
      <c r="H92" s="12"/>
      <c r="I92" s="11"/>
    </row>
    <row r="93" spans="1:9" x14ac:dyDescent="0.35">
      <c r="A93" s="12">
        <v>125</v>
      </c>
      <c r="B93" s="12">
        <v>133</v>
      </c>
      <c r="C93" s="11">
        <v>5</v>
      </c>
      <c r="D93" s="11">
        <v>76</v>
      </c>
      <c r="E93" s="11" t="s">
        <v>2402</v>
      </c>
      <c r="F93" s="12">
        <v>100</v>
      </c>
      <c r="G93" s="11" t="s">
        <v>2405</v>
      </c>
      <c r="H93" s="12"/>
      <c r="I93" s="11"/>
    </row>
    <row r="94" spans="1:9" x14ac:dyDescent="0.35">
      <c r="A94" s="12">
        <v>125</v>
      </c>
      <c r="B94" s="12">
        <v>133</v>
      </c>
      <c r="C94" s="11">
        <v>8</v>
      </c>
      <c r="D94" s="12">
        <v>76</v>
      </c>
      <c r="E94" s="11">
        <v>5</v>
      </c>
      <c r="F94" s="12">
        <v>100</v>
      </c>
      <c r="G94" s="11" t="s">
        <v>2399</v>
      </c>
      <c r="H94" s="12"/>
      <c r="I94" s="11"/>
    </row>
    <row r="95" spans="1:9" x14ac:dyDescent="0.35">
      <c r="A95" s="12">
        <v>125</v>
      </c>
      <c r="B95" s="12">
        <v>133</v>
      </c>
      <c r="C95" s="11">
        <v>10</v>
      </c>
      <c r="D95" s="12">
        <v>76</v>
      </c>
      <c r="E95" s="11">
        <v>6</v>
      </c>
      <c r="F95" s="12">
        <v>100</v>
      </c>
      <c r="G95" s="11" t="s">
        <v>2457</v>
      </c>
      <c r="H95" s="12"/>
      <c r="I95" s="11"/>
    </row>
    <row r="96" spans="1:9" x14ac:dyDescent="0.35">
      <c r="A96" s="12">
        <v>125</v>
      </c>
      <c r="B96" s="12">
        <v>133</v>
      </c>
      <c r="C96" s="11">
        <v>4</v>
      </c>
      <c r="D96" s="11">
        <v>89</v>
      </c>
      <c r="E96" s="11" t="s">
        <v>2402</v>
      </c>
      <c r="F96" s="12">
        <v>100</v>
      </c>
      <c r="G96" s="11" t="s">
        <v>2446</v>
      </c>
      <c r="H96" s="12"/>
      <c r="I96" s="11"/>
    </row>
    <row r="97" spans="1:9" x14ac:dyDescent="0.35">
      <c r="A97" s="12">
        <v>125</v>
      </c>
      <c r="B97" s="12">
        <v>133</v>
      </c>
      <c r="C97" s="11">
        <v>6</v>
      </c>
      <c r="D97" s="11">
        <v>89</v>
      </c>
      <c r="E97" s="11">
        <v>5</v>
      </c>
      <c r="F97" s="12">
        <v>100</v>
      </c>
      <c r="G97" s="11" t="s">
        <v>2449</v>
      </c>
      <c r="H97" s="12"/>
      <c r="I97" s="11"/>
    </row>
    <row r="98" spans="1:9" x14ac:dyDescent="0.35">
      <c r="A98" s="12">
        <v>125</v>
      </c>
      <c r="B98" s="12">
        <v>133</v>
      </c>
      <c r="C98" s="11">
        <v>8</v>
      </c>
      <c r="D98" s="12">
        <v>89</v>
      </c>
      <c r="E98" s="11">
        <v>6</v>
      </c>
      <c r="F98" s="12">
        <v>100</v>
      </c>
      <c r="G98" s="11" t="s">
        <v>2399</v>
      </c>
      <c r="H98" s="11"/>
      <c r="I98" s="11"/>
    </row>
    <row r="99" spans="1:9" x14ac:dyDescent="0.35">
      <c r="A99" s="12">
        <v>125</v>
      </c>
      <c r="B99" s="12">
        <v>133</v>
      </c>
      <c r="C99" s="11">
        <v>5</v>
      </c>
      <c r="D99" s="11">
        <v>108</v>
      </c>
      <c r="E99" s="11">
        <v>4</v>
      </c>
      <c r="F99" s="12">
        <v>100</v>
      </c>
      <c r="G99" s="11" t="s">
        <v>2405</v>
      </c>
      <c r="H99" s="12"/>
      <c r="I99" s="11"/>
    </row>
    <row r="100" spans="1:9" x14ac:dyDescent="0.35">
      <c r="A100" s="12">
        <v>125</v>
      </c>
      <c r="B100" s="12">
        <v>133</v>
      </c>
      <c r="C100" s="11">
        <v>8</v>
      </c>
      <c r="D100" s="11">
        <v>108</v>
      </c>
      <c r="E100" s="11">
        <v>6</v>
      </c>
      <c r="F100" s="12">
        <v>100</v>
      </c>
      <c r="G100" s="11" t="s">
        <v>2399</v>
      </c>
      <c r="H100" s="12"/>
      <c r="I100" s="11"/>
    </row>
    <row r="101" spans="1:9" x14ac:dyDescent="0.35">
      <c r="A101" s="12">
        <v>125</v>
      </c>
      <c r="B101" s="12">
        <v>133</v>
      </c>
      <c r="C101" s="11">
        <v>8</v>
      </c>
      <c r="D101" s="12">
        <v>108</v>
      </c>
      <c r="E101" s="11">
        <v>8</v>
      </c>
      <c r="F101" s="12">
        <v>100</v>
      </c>
      <c r="G101" s="11" t="s">
        <v>2399</v>
      </c>
      <c r="H101" s="12"/>
      <c r="I101" s="11"/>
    </row>
    <row r="102" spans="1:9" x14ac:dyDescent="0.35">
      <c r="A102" s="12">
        <v>125</v>
      </c>
      <c r="B102" s="12">
        <v>133</v>
      </c>
      <c r="C102" s="11">
        <v>10</v>
      </c>
      <c r="D102" s="12">
        <v>108</v>
      </c>
      <c r="E102" s="11">
        <v>9</v>
      </c>
      <c r="F102" s="12">
        <v>100</v>
      </c>
      <c r="G102" s="11" t="s">
        <v>2457</v>
      </c>
      <c r="H102" s="12"/>
      <c r="I102" s="11"/>
    </row>
    <row r="103" spans="1:9" x14ac:dyDescent="0.35">
      <c r="A103" s="12">
        <v>125</v>
      </c>
      <c r="B103" s="12">
        <v>133</v>
      </c>
      <c r="C103" s="11">
        <v>5</v>
      </c>
      <c r="D103" s="12">
        <v>108</v>
      </c>
      <c r="E103" s="11">
        <v>4</v>
      </c>
      <c r="F103" s="11">
        <v>80</v>
      </c>
      <c r="G103" s="11" t="s">
        <v>2446</v>
      </c>
      <c r="H103" s="12"/>
      <c r="I103" s="11"/>
    </row>
    <row r="104" spans="1:9" x14ac:dyDescent="0.35">
      <c r="A104" s="12">
        <v>125</v>
      </c>
      <c r="B104" s="12">
        <v>133</v>
      </c>
      <c r="C104" s="11">
        <v>6</v>
      </c>
      <c r="D104" s="12">
        <v>108</v>
      </c>
      <c r="E104" s="11">
        <v>5</v>
      </c>
      <c r="F104" s="12">
        <v>80</v>
      </c>
      <c r="G104" s="11" t="s">
        <v>2405</v>
      </c>
      <c r="H104" s="12"/>
      <c r="I104" s="11"/>
    </row>
    <row r="105" spans="1:9" x14ac:dyDescent="0.35">
      <c r="A105" s="12">
        <v>125</v>
      </c>
      <c r="B105" s="12">
        <v>133</v>
      </c>
      <c r="C105" s="11">
        <v>8</v>
      </c>
      <c r="D105" s="12">
        <v>108</v>
      </c>
      <c r="E105" s="11">
        <v>7</v>
      </c>
      <c r="F105" s="12">
        <v>80</v>
      </c>
      <c r="G105" s="11">
        <v>2</v>
      </c>
      <c r="H105" s="12"/>
      <c r="I105" s="11"/>
    </row>
    <row r="106" spans="1:9" x14ac:dyDescent="0.35">
      <c r="A106" s="12">
        <v>125</v>
      </c>
      <c r="B106" s="12">
        <v>133</v>
      </c>
      <c r="C106" s="11">
        <v>10</v>
      </c>
      <c r="D106" s="12">
        <v>108</v>
      </c>
      <c r="E106" s="11">
        <v>9</v>
      </c>
      <c r="F106" s="12">
        <v>80</v>
      </c>
      <c r="G106" s="11" t="s">
        <v>2399</v>
      </c>
      <c r="H106" s="12"/>
      <c r="I106" s="11"/>
    </row>
    <row r="107" spans="1:9" x14ac:dyDescent="0.35">
      <c r="A107" s="12">
        <v>125</v>
      </c>
      <c r="B107" s="11">
        <v>133</v>
      </c>
      <c r="C107" s="11">
        <v>5</v>
      </c>
      <c r="D107" s="11">
        <v>114</v>
      </c>
      <c r="E107" s="11" t="s">
        <v>2410</v>
      </c>
      <c r="F107" s="11">
        <v>80</v>
      </c>
      <c r="G107" s="11" t="s">
        <v>2446</v>
      </c>
      <c r="H107" s="12"/>
      <c r="I107" s="11"/>
    </row>
    <row r="108" spans="1:9" x14ac:dyDescent="0.35">
      <c r="A108" s="12">
        <v>125</v>
      </c>
      <c r="B108" s="12">
        <v>133</v>
      </c>
      <c r="C108" s="11">
        <v>6</v>
      </c>
      <c r="D108" s="12">
        <v>114</v>
      </c>
      <c r="E108" s="11">
        <v>5</v>
      </c>
      <c r="F108" s="12">
        <v>80</v>
      </c>
      <c r="G108" s="11" t="s">
        <v>2405</v>
      </c>
      <c r="H108" s="12"/>
      <c r="I108" s="11"/>
    </row>
    <row r="109" spans="1:9" x14ac:dyDescent="0.35">
      <c r="A109" s="12">
        <v>125</v>
      </c>
      <c r="B109" s="12">
        <v>133</v>
      </c>
      <c r="C109" s="11">
        <v>8</v>
      </c>
      <c r="D109" s="11">
        <v>114</v>
      </c>
      <c r="E109" s="11">
        <v>6</v>
      </c>
      <c r="F109" s="12">
        <v>80</v>
      </c>
      <c r="G109" s="11">
        <v>2</v>
      </c>
      <c r="H109" s="12"/>
      <c r="I109" s="11"/>
    </row>
    <row r="110" spans="1:9" x14ac:dyDescent="0.35">
      <c r="A110" s="12">
        <v>125</v>
      </c>
      <c r="B110" s="12">
        <v>133</v>
      </c>
      <c r="C110" s="11">
        <v>10</v>
      </c>
      <c r="D110" s="12">
        <v>114</v>
      </c>
      <c r="E110" s="11">
        <v>8</v>
      </c>
      <c r="F110" s="12">
        <v>80</v>
      </c>
      <c r="G110" s="11" t="s">
        <v>2399</v>
      </c>
      <c r="H110" s="12"/>
      <c r="I110" s="11"/>
    </row>
    <row r="111" spans="1:9" x14ac:dyDescent="0.35">
      <c r="A111" s="12">
        <v>125</v>
      </c>
      <c r="B111" s="12">
        <v>133</v>
      </c>
      <c r="C111" s="11">
        <v>5</v>
      </c>
      <c r="D111" s="12">
        <v>114</v>
      </c>
      <c r="E111" s="11">
        <v>4</v>
      </c>
      <c r="F111" s="11">
        <v>100</v>
      </c>
      <c r="G111" s="11" t="s">
        <v>2405</v>
      </c>
      <c r="H111" s="12"/>
      <c r="I111" s="11"/>
    </row>
    <row r="112" spans="1:9" x14ac:dyDescent="0.35">
      <c r="A112" s="12">
        <v>125</v>
      </c>
      <c r="B112" s="12">
        <v>133</v>
      </c>
      <c r="C112" s="11">
        <v>8</v>
      </c>
      <c r="D112" s="11">
        <v>114</v>
      </c>
      <c r="E112" s="11">
        <v>6</v>
      </c>
      <c r="F112" s="12">
        <v>100</v>
      </c>
      <c r="G112" s="11" t="s">
        <v>2399</v>
      </c>
      <c r="H112" s="12"/>
      <c r="I112" s="11"/>
    </row>
    <row r="113" spans="1:9" x14ac:dyDescent="0.35">
      <c r="A113" s="12">
        <v>125</v>
      </c>
      <c r="B113" s="12">
        <v>133</v>
      </c>
      <c r="C113" s="11">
        <v>8</v>
      </c>
      <c r="D113" s="11">
        <v>114</v>
      </c>
      <c r="E113" s="11">
        <v>8</v>
      </c>
      <c r="F113" s="12">
        <v>100</v>
      </c>
      <c r="G113" s="11" t="s">
        <v>2399</v>
      </c>
      <c r="H113" s="11"/>
      <c r="I113" s="11"/>
    </row>
    <row r="114" spans="1:9" x14ac:dyDescent="0.35">
      <c r="A114" s="12">
        <v>125</v>
      </c>
      <c r="B114" s="12">
        <v>133</v>
      </c>
      <c r="C114" s="11">
        <v>10</v>
      </c>
      <c r="D114" s="12">
        <v>114</v>
      </c>
      <c r="E114" s="11">
        <v>9</v>
      </c>
      <c r="F114" s="12">
        <v>100</v>
      </c>
      <c r="G114" s="11" t="s">
        <v>2457</v>
      </c>
      <c r="H114" s="12"/>
      <c r="I114" s="11"/>
    </row>
    <row r="115" spans="1:9" x14ac:dyDescent="0.35">
      <c r="A115" s="11">
        <v>150</v>
      </c>
      <c r="B115" s="11">
        <v>159</v>
      </c>
      <c r="C115" s="11" t="s">
        <v>2410</v>
      </c>
      <c r="D115" s="11">
        <v>57</v>
      </c>
      <c r="E115" s="11">
        <v>3</v>
      </c>
      <c r="F115" s="11">
        <v>75</v>
      </c>
      <c r="G115" s="11" t="s">
        <v>2406</v>
      </c>
      <c r="H115" s="12"/>
      <c r="I115" s="11"/>
    </row>
    <row r="116" spans="1:9" x14ac:dyDescent="0.35">
      <c r="A116" s="12">
        <v>150</v>
      </c>
      <c r="B116" s="12">
        <v>159</v>
      </c>
      <c r="C116" s="11">
        <v>8</v>
      </c>
      <c r="D116" s="11">
        <v>57</v>
      </c>
      <c r="E116" s="11">
        <v>4</v>
      </c>
      <c r="F116" s="12">
        <v>75</v>
      </c>
      <c r="G116" s="11" t="s">
        <v>2453</v>
      </c>
      <c r="H116" s="12"/>
      <c r="I116" s="11"/>
    </row>
    <row r="117" spans="1:9" x14ac:dyDescent="0.35">
      <c r="A117" s="12">
        <v>150</v>
      </c>
      <c r="B117" s="12">
        <v>159</v>
      </c>
      <c r="C117" s="11">
        <v>10</v>
      </c>
      <c r="D117" s="12">
        <v>57</v>
      </c>
      <c r="E117" s="11">
        <v>5</v>
      </c>
      <c r="F117" s="12">
        <v>75</v>
      </c>
      <c r="G117" s="11" t="s">
        <v>2481</v>
      </c>
      <c r="H117" s="12"/>
      <c r="I117" s="11"/>
    </row>
    <row r="118" spans="1:9" x14ac:dyDescent="0.35">
      <c r="A118" s="12">
        <v>150</v>
      </c>
      <c r="B118" s="12">
        <v>159</v>
      </c>
      <c r="C118" s="11">
        <v>12</v>
      </c>
      <c r="D118" s="12">
        <v>57</v>
      </c>
      <c r="E118" s="11">
        <v>6</v>
      </c>
      <c r="F118" s="12">
        <v>75</v>
      </c>
      <c r="G118" s="11" t="s">
        <v>2455</v>
      </c>
      <c r="H118" s="12"/>
      <c r="I118" s="11"/>
    </row>
    <row r="119" spans="1:9" x14ac:dyDescent="0.35">
      <c r="A119" s="12">
        <v>150</v>
      </c>
      <c r="B119" s="12">
        <v>159</v>
      </c>
      <c r="C119" s="11" t="s">
        <v>2410</v>
      </c>
      <c r="D119" s="11">
        <v>76</v>
      </c>
      <c r="E119" s="11" t="s">
        <v>2402</v>
      </c>
      <c r="F119" s="12">
        <v>75</v>
      </c>
      <c r="G119" s="11" t="s">
        <v>2406</v>
      </c>
      <c r="H119" s="12"/>
      <c r="I119" s="11"/>
    </row>
    <row r="120" spans="1:9" x14ac:dyDescent="0.35">
      <c r="A120" s="12">
        <v>150</v>
      </c>
      <c r="B120" s="12">
        <v>159</v>
      </c>
      <c r="C120" s="11">
        <v>8</v>
      </c>
      <c r="D120" s="11">
        <v>76</v>
      </c>
      <c r="E120" s="11">
        <v>5</v>
      </c>
      <c r="F120" s="12">
        <v>75</v>
      </c>
      <c r="G120" s="11" t="s">
        <v>2453</v>
      </c>
      <c r="H120" s="12"/>
      <c r="I120" s="11"/>
    </row>
    <row r="121" spans="1:9" x14ac:dyDescent="0.35">
      <c r="A121" s="12">
        <v>150</v>
      </c>
      <c r="B121" s="12">
        <v>159</v>
      </c>
      <c r="C121" s="11">
        <v>10</v>
      </c>
      <c r="D121" s="12">
        <v>76</v>
      </c>
      <c r="E121" s="11">
        <v>6</v>
      </c>
      <c r="F121" s="12">
        <v>75</v>
      </c>
      <c r="G121" s="11" t="s">
        <v>2481</v>
      </c>
      <c r="H121" s="12"/>
      <c r="I121" s="11"/>
    </row>
    <row r="122" spans="1:9" x14ac:dyDescent="0.35">
      <c r="A122" s="12">
        <v>150</v>
      </c>
      <c r="B122" s="12">
        <v>159</v>
      </c>
      <c r="C122" s="11">
        <v>12</v>
      </c>
      <c r="D122" s="12">
        <v>76</v>
      </c>
      <c r="E122" s="11">
        <v>7</v>
      </c>
      <c r="F122" s="12">
        <v>75</v>
      </c>
      <c r="G122" s="11" t="s">
        <v>2455</v>
      </c>
      <c r="H122" s="12"/>
      <c r="I122" s="11"/>
    </row>
    <row r="123" spans="1:9" x14ac:dyDescent="0.35">
      <c r="A123" s="12">
        <v>150</v>
      </c>
      <c r="B123" s="12">
        <v>159</v>
      </c>
      <c r="C123" s="11" t="s">
        <v>2410</v>
      </c>
      <c r="D123" s="11">
        <v>89</v>
      </c>
      <c r="E123" s="11" t="s">
        <v>2402</v>
      </c>
      <c r="F123" s="11">
        <v>130</v>
      </c>
      <c r="G123" s="11" t="s">
        <v>2451</v>
      </c>
      <c r="H123" s="12"/>
      <c r="I123" s="11"/>
    </row>
    <row r="124" spans="1:9" x14ac:dyDescent="0.35">
      <c r="A124" s="12">
        <v>150</v>
      </c>
      <c r="B124" s="12">
        <v>159</v>
      </c>
      <c r="C124" s="11">
        <v>8</v>
      </c>
      <c r="D124" s="12">
        <v>89</v>
      </c>
      <c r="E124" s="11">
        <v>6</v>
      </c>
      <c r="F124" s="12">
        <v>130</v>
      </c>
      <c r="G124" s="11" t="s">
        <v>2455</v>
      </c>
      <c r="H124" s="12"/>
      <c r="I124" s="11"/>
    </row>
    <row r="125" spans="1:9" x14ac:dyDescent="0.35">
      <c r="A125" s="12">
        <v>150</v>
      </c>
      <c r="B125" s="12">
        <v>159</v>
      </c>
      <c r="C125" s="11">
        <v>10</v>
      </c>
      <c r="D125" s="12">
        <v>89</v>
      </c>
      <c r="E125" s="11">
        <v>8</v>
      </c>
      <c r="F125" s="12">
        <v>130</v>
      </c>
      <c r="G125" s="11" t="s">
        <v>2419</v>
      </c>
      <c r="H125" s="12"/>
      <c r="I125" s="11"/>
    </row>
    <row r="126" spans="1:9" x14ac:dyDescent="0.35">
      <c r="A126" s="12">
        <v>150</v>
      </c>
      <c r="B126" s="12">
        <v>159</v>
      </c>
      <c r="C126" s="11">
        <v>12</v>
      </c>
      <c r="D126" s="12">
        <v>89</v>
      </c>
      <c r="E126" s="11">
        <v>8</v>
      </c>
      <c r="F126" s="12">
        <v>130</v>
      </c>
      <c r="G126" s="11" t="s">
        <v>2417</v>
      </c>
      <c r="H126" s="12"/>
      <c r="I126" s="11"/>
    </row>
    <row r="127" spans="1:9" x14ac:dyDescent="0.35">
      <c r="A127" s="12">
        <v>150</v>
      </c>
      <c r="B127" s="12">
        <v>159</v>
      </c>
      <c r="C127" s="11" t="s">
        <v>2410</v>
      </c>
      <c r="D127" s="11">
        <v>108</v>
      </c>
      <c r="E127" s="11">
        <v>4</v>
      </c>
      <c r="F127" s="12">
        <v>130</v>
      </c>
      <c r="G127" s="11" t="s">
        <v>2451</v>
      </c>
      <c r="H127" s="12"/>
      <c r="I127" s="11"/>
    </row>
    <row r="128" spans="1:9" x14ac:dyDescent="0.35">
      <c r="A128" s="12">
        <v>150</v>
      </c>
      <c r="B128" s="12">
        <v>159</v>
      </c>
      <c r="C128" s="11">
        <v>8</v>
      </c>
      <c r="D128" s="12">
        <v>108</v>
      </c>
      <c r="E128" s="11">
        <v>6</v>
      </c>
      <c r="F128" s="12">
        <v>130</v>
      </c>
      <c r="G128" s="11" t="s">
        <v>2455</v>
      </c>
      <c r="H128" s="11"/>
      <c r="I128" s="11"/>
    </row>
    <row r="129" spans="1:9" x14ac:dyDescent="0.35">
      <c r="A129" s="12">
        <v>150</v>
      </c>
      <c r="B129" s="12">
        <v>159</v>
      </c>
      <c r="C129" s="11">
        <v>10</v>
      </c>
      <c r="D129" s="12">
        <v>108</v>
      </c>
      <c r="E129" s="11">
        <v>8</v>
      </c>
      <c r="F129" s="12">
        <v>130</v>
      </c>
      <c r="G129" s="11" t="s">
        <v>2419</v>
      </c>
      <c r="H129" s="12"/>
      <c r="I129" s="11"/>
    </row>
    <row r="130" spans="1:9" x14ac:dyDescent="0.35">
      <c r="A130" s="12">
        <v>150</v>
      </c>
      <c r="B130" s="12">
        <v>159</v>
      </c>
      <c r="C130" s="11">
        <v>12</v>
      </c>
      <c r="D130" s="12">
        <v>108</v>
      </c>
      <c r="E130" s="11">
        <v>9</v>
      </c>
      <c r="F130" s="12">
        <v>130</v>
      </c>
      <c r="G130" s="11" t="s">
        <v>2417</v>
      </c>
      <c r="H130" s="12"/>
      <c r="I130" s="11"/>
    </row>
    <row r="131" spans="1:9" x14ac:dyDescent="0.35">
      <c r="A131" s="12">
        <v>150</v>
      </c>
      <c r="B131" s="12">
        <v>159</v>
      </c>
      <c r="C131" s="11" t="s">
        <v>2410</v>
      </c>
      <c r="D131" s="11">
        <v>114</v>
      </c>
      <c r="E131" s="11">
        <v>4</v>
      </c>
      <c r="F131" s="12">
        <v>130</v>
      </c>
      <c r="G131" s="11" t="s">
        <v>2451</v>
      </c>
      <c r="H131" s="12"/>
      <c r="I131" s="11"/>
    </row>
    <row r="132" spans="1:9" x14ac:dyDescent="0.35">
      <c r="A132" s="12">
        <v>150</v>
      </c>
      <c r="B132" s="12">
        <v>159</v>
      </c>
      <c r="C132" s="11">
        <v>8</v>
      </c>
      <c r="D132" s="12">
        <v>114</v>
      </c>
      <c r="E132" s="11">
        <v>6</v>
      </c>
      <c r="F132" s="12">
        <v>130</v>
      </c>
      <c r="G132" s="11" t="s">
        <v>2455</v>
      </c>
      <c r="H132" s="12"/>
      <c r="I132" s="11"/>
    </row>
    <row r="133" spans="1:9" x14ac:dyDescent="0.35">
      <c r="A133" s="12">
        <v>150</v>
      </c>
      <c r="B133" s="12">
        <v>159</v>
      </c>
      <c r="C133" s="11">
        <v>10</v>
      </c>
      <c r="D133" s="12">
        <v>114</v>
      </c>
      <c r="E133" s="11">
        <v>8</v>
      </c>
      <c r="F133" s="12">
        <v>130</v>
      </c>
      <c r="G133" s="11" t="s">
        <v>2419</v>
      </c>
      <c r="H133" s="12"/>
      <c r="I133" s="11"/>
    </row>
    <row r="134" spans="1:9" x14ac:dyDescent="0.35">
      <c r="A134" s="12">
        <v>150</v>
      </c>
      <c r="B134" s="12">
        <v>159</v>
      </c>
      <c r="C134" s="11">
        <v>12</v>
      </c>
      <c r="D134" s="12">
        <v>114</v>
      </c>
      <c r="E134" s="11">
        <v>9</v>
      </c>
      <c r="F134" s="12">
        <v>130</v>
      </c>
      <c r="G134" s="11" t="s">
        <v>2417</v>
      </c>
      <c r="H134" s="12"/>
      <c r="I134" s="11"/>
    </row>
    <row r="135" spans="1:9" x14ac:dyDescent="0.35">
      <c r="A135" s="12">
        <v>150</v>
      </c>
      <c r="B135" s="12">
        <v>159</v>
      </c>
      <c r="C135" s="11">
        <v>5</v>
      </c>
      <c r="D135" s="12">
        <v>114</v>
      </c>
      <c r="E135" s="11">
        <v>4</v>
      </c>
      <c r="F135" s="11">
        <v>105</v>
      </c>
      <c r="G135" s="11">
        <v>2</v>
      </c>
      <c r="H135" s="12"/>
      <c r="I135" s="11"/>
    </row>
    <row r="136" spans="1:9" x14ac:dyDescent="0.35">
      <c r="A136" s="12">
        <v>150</v>
      </c>
      <c r="B136" s="12">
        <v>159</v>
      </c>
      <c r="C136" s="11">
        <v>6</v>
      </c>
      <c r="D136" s="12">
        <v>114</v>
      </c>
      <c r="E136" s="11">
        <v>5</v>
      </c>
      <c r="F136" s="12">
        <v>105</v>
      </c>
      <c r="G136" s="11" t="s">
        <v>2399</v>
      </c>
      <c r="H136" s="12"/>
      <c r="I136" s="11"/>
    </row>
    <row r="137" spans="1:9" x14ac:dyDescent="0.35">
      <c r="A137" s="12">
        <v>150</v>
      </c>
      <c r="B137" s="12">
        <v>159</v>
      </c>
      <c r="C137" s="11">
        <v>8</v>
      </c>
      <c r="D137" s="12">
        <v>114</v>
      </c>
      <c r="E137" s="11">
        <v>6</v>
      </c>
      <c r="F137" s="12">
        <v>105</v>
      </c>
      <c r="G137" s="11" t="s">
        <v>2457</v>
      </c>
      <c r="H137" s="12"/>
      <c r="I137" s="11"/>
    </row>
    <row r="138" spans="1:9" x14ac:dyDescent="0.35">
      <c r="A138" s="12">
        <v>150</v>
      </c>
      <c r="B138" s="12">
        <v>159</v>
      </c>
      <c r="C138" s="11">
        <v>10</v>
      </c>
      <c r="D138" s="12">
        <v>114</v>
      </c>
      <c r="E138" s="11">
        <v>8</v>
      </c>
      <c r="F138" s="12">
        <v>105</v>
      </c>
      <c r="G138" s="11" t="s">
        <v>2462</v>
      </c>
      <c r="H138" s="12"/>
      <c r="I138" s="11"/>
    </row>
    <row r="139" spans="1:9" x14ac:dyDescent="0.35">
      <c r="A139" s="12">
        <v>150</v>
      </c>
      <c r="B139" s="12">
        <v>159</v>
      </c>
      <c r="C139" s="11">
        <v>5</v>
      </c>
      <c r="D139" s="11">
        <v>133</v>
      </c>
      <c r="E139" s="11" t="s">
        <v>2410</v>
      </c>
      <c r="F139" s="12">
        <v>105</v>
      </c>
      <c r="G139" s="11">
        <v>2</v>
      </c>
      <c r="H139" s="12"/>
      <c r="I139" s="11"/>
    </row>
    <row r="140" spans="1:9" x14ac:dyDescent="0.35">
      <c r="A140" s="12">
        <v>150</v>
      </c>
      <c r="B140" s="12">
        <v>159</v>
      </c>
      <c r="C140" s="11">
        <v>6</v>
      </c>
      <c r="D140" s="12">
        <v>133</v>
      </c>
      <c r="E140" s="11">
        <v>5</v>
      </c>
      <c r="F140" s="12">
        <v>105</v>
      </c>
      <c r="G140" s="11" t="s">
        <v>2399</v>
      </c>
      <c r="H140" s="12"/>
      <c r="I140" s="11"/>
    </row>
    <row r="141" spans="1:9" x14ac:dyDescent="0.35">
      <c r="A141" s="12">
        <v>150</v>
      </c>
      <c r="B141" s="12">
        <v>159</v>
      </c>
      <c r="C141" s="11">
        <v>8</v>
      </c>
      <c r="D141" s="12">
        <v>133</v>
      </c>
      <c r="E141" s="11">
        <v>7</v>
      </c>
      <c r="F141" s="12">
        <v>105</v>
      </c>
      <c r="G141" s="11" t="s">
        <v>2457</v>
      </c>
      <c r="H141" s="12"/>
      <c r="I141" s="11"/>
    </row>
    <row r="142" spans="1:9" x14ac:dyDescent="0.35">
      <c r="A142" s="12">
        <v>150</v>
      </c>
      <c r="B142" s="12">
        <v>159</v>
      </c>
      <c r="C142" s="11">
        <v>10</v>
      </c>
      <c r="D142" s="12">
        <v>133</v>
      </c>
      <c r="E142" s="11">
        <v>9</v>
      </c>
      <c r="F142" s="12">
        <v>105</v>
      </c>
      <c r="G142" s="11" t="s">
        <v>2462</v>
      </c>
      <c r="H142" s="12"/>
      <c r="I142" s="11"/>
    </row>
    <row r="143" spans="1:9" x14ac:dyDescent="0.35">
      <c r="A143" s="12">
        <v>150</v>
      </c>
      <c r="B143" s="12">
        <v>159</v>
      </c>
      <c r="C143" s="11" t="s">
        <v>2410</v>
      </c>
      <c r="D143" s="12">
        <v>133</v>
      </c>
      <c r="E143" s="11">
        <v>4</v>
      </c>
      <c r="F143" s="11">
        <v>130</v>
      </c>
      <c r="G143" s="11" t="s">
        <v>2451</v>
      </c>
      <c r="H143" s="11"/>
      <c r="I143" s="11"/>
    </row>
    <row r="144" spans="1:9" x14ac:dyDescent="0.35">
      <c r="A144" s="12">
        <v>150</v>
      </c>
      <c r="B144" s="12">
        <v>159</v>
      </c>
      <c r="C144" s="11">
        <v>8</v>
      </c>
      <c r="D144" s="12">
        <v>133</v>
      </c>
      <c r="E144" s="11">
        <v>8</v>
      </c>
      <c r="F144" s="12">
        <v>130</v>
      </c>
      <c r="G144" s="11" t="s">
        <v>2455</v>
      </c>
      <c r="H144" s="12"/>
      <c r="I144" s="11"/>
    </row>
    <row r="145" spans="1:9" x14ac:dyDescent="0.35">
      <c r="A145" s="12">
        <v>150</v>
      </c>
      <c r="B145" s="12">
        <v>159</v>
      </c>
      <c r="C145" s="11">
        <v>10</v>
      </c>
      <c r="D145" s="11">
        <v>133</v>
      </c>
      <c r="E145" s="11" t="s">
        <v>2482</v>
      </c>
      <c r="F145" s="12">
        <v>130</v>
      </c>
      <c r="G145" s="11" t="s">
        <v>2419</v>
      </c>
      <c r="H145" s="12"/>
      <c r="I145" s="11"/>
    </row>
    <row r="146" spans="1:9" x14ac:dyDescent="0.35">
      <c r="A146" s="12">
        <v>150</v>
      </c>
      <c r="B146" s="12">
        <v>159</v>
      </c>
      <c r="C146" s="11">
        <v>12</v>
      </c>
      <c r="D146" s="12">
        <v>133</v>
      </c>
      <c r="E146" s="11">
        <v>10</v>
      </c>
      <c r="F146" s="12">
        <v>130</v>
      </c>
      <c r="G146" s="11" t="s">
        <v>2417</v>
      </c>
      <c r="H146" s="12"/>
      <c r="I146" s="11"/>
    </row>
    <row r="147" spans="1:9" x14ac:dyDescent="0.35">
      <c r="A147" s="12">
        <v>150</v>
      </c>
      <c r="B147" s="11">
        <v>168</v>
      </c>
      <c r="C147" s="11" t="s">
        <v>2410</v>
      </c>
      <c r="D147" s="11">
        <v>57</v>
      </c>
      <c r="E147" s="11">
        <v>3</v>
      </c>
      <c r="F147" s="11">
        <v>75</v>
      </c>
      <c r="G147" s="11" t="s">
        <v>2405</v>
      </c>
      <c r="H147" s="12"/>
      <c r="I147" s="11"/>
    </row>
    <row r="148" spans="1:9" x14ac:dyDescent="0.35">
      <c r="A148" s="12">
        <v>150</v>
      </c>
      <c r="B148" s="12">
        <v>168</v>
      </c>
      <c r="C148" s="11">
        <v>8</v>
      </c>
      <c r="D148" s="12">
        <v>57</v>
      </c>
      <c r="E148" s="11">
        <v>4</v>
      </c>
      <c r="F148" s="12">
        <v>75</v>
      </c>
      <c r="G148" s="11" t="s">
        <v>2407</v>
      </c>
      <c r="H148" s="12"/>
      <c r="I148" s="11"/>
    </row>
    <row r="149" spans="1:9" x14ac:dyDescent="0.35">
      <c r="A149" s="12">
        <v>150</v>
      </c>
      <c r="B149" s="12">
        <v>168</v>
      </c>
      <c r="C149" s="11">
        <v>10</v>
      </c>
      <c r="D149" s="12">
        <v>57</v>
      </c>
      <c r="E149" s="11">
        <v>5</v>
      </c>
      <c r="F149" s="12">
        <v>75</v>
      </c>
      <c r="G149" s="11" t="s">
        <v>2409</v>
      </c>
      <c r="H149" s="12"/>
      <c r="I149" s="11"/>
    </row>
    <row r="150" spans="1:9" x14ac:dyDescent="0.35">
      <c r="A150" s="12">
        <v>150</v>
      </c>
      <c r="B150" s="12">
        <v>168</v>
      </c>
      <c r="C150" s="11">
        <v>12</v>
      </c>
      <c r="D150" s="12">
        <v>57</v>
      </c>
      <c r="E150" s="11">
        <v>6</v>
      </c>
      <c r="F150" s="12">
        <v>75</v>
      </c>
      <c r="G150" s="11">
        <v>4</v>
      </c>
      <c r="H150" s="12"/>
      <c r="I150" s="11"/>
    </row>
    <row r="151" spans="1:9" x14ac:dyDescent="0.35">
      <c r="A151" s="12">
        <v>150</v>
      </c>
      <c r="B151" s="12">
        <v>168</v>
      </c>
      <c r="C151" s="11" t="s">
        <v>2410</v>
      </c>
      <c r="D151" s="11">
        <v>76</v>
      </c>
      <c r="E151" s="11" t="s">
        <v>2402</v>
      </c>
      <c r="F151" s="12">
        <v>75</v>
      </c>
      <c r="G151" s="11" t="s">
        <v>2405</v>
      </c>
      <c r="H151" s="12"/>
      <c r="I151" s="11"/>
    </row>
    <row r="152" spans="1:9" x14ac:dyDescent="0.35">
      <c r="A152" s="12">
        <v>150</v>
      </c>
      <c r="B152" s="12">
        <v>168</v>
      </c>
      <c r="C152" s="11">
        <v>8</v>
      </c>
      <c r="D152" s="12">
        <v>76</v>
      </c>
      <c r="E152" s="11">
        <v>5</v>
      </c>
      <c r="F152" s="12">
        <v>75</v>
      </c>
      <c r="G152" s="11" t="s">
        <v>2407</v>
      </c>
      <c r="H152" s="12"/>
      <c r="I152" s="11"/>
    </row>
    <row r="153" spans="1:9" x14ac:dyDescent="0.35">
      <c r="A153" s="12">
        <v>150</v>
      </c>
      <c r="B153" s="12">
        <v>168</v>
      </c>
      <c r="C153" s="11">
        <v>10</v>
      </c>
      <c r="D153" s="12">
        <v>76</v>
      </c>
      <c r="E153" s="11">
        <v>6</v>
      </c>
      <c r="F153" s="12">
        <v>75</v>
      </c>
      <c r="G153" s="11" t="s">
        <v>2409</v>
      </c>
      <c r="H153" s="12"/>
      <c r="I153" s="11"/>
    </row>
    <row r="154" spans="1:9" x14ac:dyDescent="0.35">
      <c r="A154" s="12">
        <v>150</v>
      </c>
      <c r="B154" s="12">
        <v>168</v>
      </c>
      <c r="C154" s="11">
        <v>12</v>
      </c>
      <c r="D154" s="12">
        <v>76</v>
      </c>
      <c r="E154" s="11">
        <v>7</v>
      </c>
      <c r="F154" s="12">
        <v>75</v>
      </c>
      <c r="G154" s="11">
        <v>4</v>
      </c>
      <c r="H154" s="12"/>
      <c r="I154" s="11"/>
    </row>
    <row r="155" spans="1:9" x14ac:dyDescent="0.35">
      <c r="A155" s="12">
        <v>150</v>
      </c>
      <c r="B155" s="12">
        <v>168</v>
      </c>
      <c r="C155" s="11" t="s">
        <v>2410</v>
      </c>
      <c r="D155" s="11">
        <v>89</v>
      </c>
      <c r="E155" s="11" t="s">
        <v>2402</v>
      </c>
      <c r="F155" s="11">
        <v>130</v>
      </c>
      <c r="G155" s="11" t="s">
        <v>2453</v>
      </c>
      <c r="H155" s="12"/>
      <c r="I155" s="11"/>
    </row>
    <row r="156" spans="1:9" x14ac:dyDescent="0.35">
      <c r="A156" s="12">
        <v>150</v>
      </c>
      <c r="B156" s="12">
        <v>168</v>
      </c>
      <c r="C156" s="11">
        <v>8</v>
      </c>
      <c r="D156" s="11">
        <v>89</v>
      </c>
      <c r="E156" s="11">
        <v>6</v>
      </c>
      <c r="F156" s="12">
        <v>130</v>
      </c>
      <c r="G156" s="11" t="s">
        <v>2416</v>
      </c>
      <c r="H156" s="12"/>
      <c r="I156" s="11"/>
    </row>
    <row r="157" spans="1:9" x14ac:dyDescent="0.35">
      <c r="A157" s="12">
        <v>150</v>
      </c>
      <c r="B157" s="12">
        <v>168</v>
      </c>
      <c r="C157" s="11">
        <v>10</v>
      </c>
      <c r="D157" s="12">
        <v>89</v>
      </c>
      <c r="E157" s="11">
        <v>8</v>
      </c>
      <c r="F157" s="12">
        <v>130</v>
      </c>
      <c r="G157" s="11" t="s">
        <v>2483</v>
      </c>
      <c r="H157" s="12"/>
      <c r="I157" s="11"/>
    </row>
    <row r="158" spans="1:9" x14ac:dyDescent="0.35">
      <c r="A158" s="12">
        <v>150</v>
      </c>
      <c r="B158" s="12">
        <v>168</v>
      </c>
      <c r="C158" s="11">
        <v>12</v>
      </c>
      <c r="D158" s="12">
        <v>89</v>
      </c>
      <c r="E158" s="11">
        <v>8</v>
      </c>
      <c r="F158" s="12">
        <v>130</v>
      </c>
      <c r="G158" s="11" t="s">
        <v>2484</v>
      </c>
      <c r="H158" s="12"/>
      <c r="I158" s="11"/>
    </row>
    <row r="159" spans="1:9" x14ac:dyDescent="0.35">
      <c r="A159" s="12">
        <v>150</v>
      </c>
      <c r="B159" s="12">
        <v>168</v>
      </c>
      <c r="C159" s="11" t="s">
        <v>2410</v>
      </c>
      <c r="D159" s="11">
        <v>108</v>
      </c>
      <c r="E159" s="11">
        <v>4</v>
      </c>
      <c r="F159" s="12">
        <v>130</v>
      </c>
      <c r="G159" s="11" t="s">
        <v>2453</v>
      </c>
      <c r="H159" s="12"/>
      <c r="I159" s="11"/>
    </row>
    <row r="160" spans="1:9" x14ac:dyDescent="0.35">
      <c r="A160" s="12">
        <v>150</v>
      </c>
      <c r="B160" s="12">
        <v>168</v>
      </c>
      <c r="C160" s="11">
        <v>8</v>
      </c>
      <c r="D160" s="12">
        <v>108</v>
      </c>
      <c r="E160" s="11">
        <v>6</v>
      </c>
      <c r="F160" s="12">
        <v>130</v>
      </c>
      <c r="G160" s="11" t="s">
        <v>2416</v>
      </c>
      <c r="H160" s="12"/>
      <c r="I160" s="11"/>
    </row>
    <row r="161" spans="1:9" x14ac:dyDescent="0.35">
      <c r="A161" s="12">
        <v>150</v>
      </c>
      <c r="B161" s="12">
        <v>168</v>
      </c>
      <c r="C161" s="11">
        <v>10</v>
      </c>
      <c r="D161" s="12">
        <v>108</v>
      </c>
      <c r="E161" s="11">
        <v>8</v>
      </c>
      <c r="F161" s="12">
        <v>130</v>
      </c>
      <c r="G161" s="11" t="s">
        <v>2483</v>
      </c>
      <c r="H161" s="12"/>
      <c r="I161" s="11"/>
    </row>
    <row r="162" spans="1:9" x14ac:dyDescent="0.35">
      <c r="A162" s="12">
        <v>150</v>
      </c>
      <c r="B162" s="12">
        <v>168</v>
      </c>
      <c r="C162" s="11">
        <v>12</v>
      </c>
      <c r="D162" s="12">
        <v>108</v>
      </c>
      <c r="E162" s="11">
        <v>9</v>
      </c>
      <c r="F162" s="12">
        <v>130</v>
      </c>
      <c r="G162" s="11" t="s">
        <v>2484</v>
      </c>
      <c r="H162" s="12"/>
      <c r="I162" s="11"/>
    </row>
    <row r="163" spans="1:9" x14ac:dyDescent="0.35">
      <c r="A163" s="12">
        <v>150</v>
      </c>
      <c r="B163" s="12">
        <v>168</v>
      </c>
      <c r="C163" s="11" t="s">
        <v>2410</v>
      </c>
      <c r="D163" s="11">
        <v>114</v>
      </c>
      <c r="E163" s="11">
        <v>4</v>
      </c>
      <c r="F163" s="12">
        <v>130</v>
      </c>
      <c r="G163" s="11" t="s">
        <v>2453</v>
      </c>
      <c r="H163" s="12"/>
      <c r="I163" s="11"/>
    </row>
    <row r="164" spans="1:9" x14ac:dyDescent="0.35">
      <c r="A164" s="12">
        <v>150</v>
      </c>
      <c r="B164" s="12">
        <v>168</v>
      </c>
      <c r="C164" s="11">
        <v>8</v>
      </c>
      <c r="D164" s="12">
        <v>114</v>
      </c>
      <c r="E164" s="11">
        <v>6</v>
      </c>
      <c r="F164" s="12">
        <v>130</v>
      </c>
      <c r="G164" s="11" t="s">
        <v>2416</v>
      </c>
      <c r="H164" s="12"/>
      <c r="I164" s="11"/>
    </row>
    <row r="165" spans="1:9" x14ac:dyDescent="0.35">
      <c r="A165" s="12">
        <v>150</v>
      </c>
      <c r="B165" s="12">
        <v>168</v>
      </c>
      <c r="C165" s="11">
        <v>10</v>
      </c>
      <c r="D165" s="12">
        <v>114</v>
      </c>
      <c r="E165" s="11">
        <v>8</v>
      </c>
      <c r="F165" s="12">
        <v>130</v>
      </c>
      <c r="G165" s="11" t="s">
        <v>2483</v>
      </c>
      <c r="H165" s="12"/>
      <c r="I165" s="11"/>
    </row>
    <row r="166" spans="1:9" x14ac:dyDescent="0.35">
      <c r="A166" s="12">
        <v>150</v>
      </c>
      <c r="B166" s="12">
        <v>168</v>
      </c>
      <c r="C166" s="11">
        <v>12</v>
      </c>
      <c r="D166" s="12">
        <v>114</v>
      </c>
      <c r="E166" s="11">
        <v>9</v>
      </c>
      <c r="F166" s="12">
        <v>130</v>
      </c>
      <c r="G166" s="11" t="s">
        <v>2484</v>
      </c>
      <c r="H166" s="12"/>
      <c r="I166" s="11"/>
    </row>
    <row r="167" spans="1:9" x14ac:dyDescent="0.35">
      <c r="A167" s="12">
        <v>150</v>
      </c>
      <c r="B167" s="12">
        <v>168</v>
      </c>
      <c r="C167" s="11" t="s">
        <v>2410</v>
      </c>
      <c r="D167" s="11">
        <v>133</v>
      </c>
      <c r="E167" s="11">
        <v>4</v>
      </c>
      <c r="F167" s="12">
        <v>130</v>
      </c>
      <c r="G167" s="11" t="s">
        <v>2453</v>
      </c>
      <c r="H167" s="12"/>
      <c r="I167" s="11"/>
    </row>
    <row r="168" spans="1:9" x14ac:dyDescent="0.35">
      <c r="A168" s="12">
        <v>150</v>
      </c>
      <c r="B168" s="12">
        <v>168</v>
      </c>
      <c r="C168" s="11">
        <v>8</v>
      </c>
      <c r="D168" s="12">
        <v>133</v>
      </c>
      <c r="E168" s="11">
        <v>8</v>
      </c>
      <c r="F168" s="12">
        <v>130</v>
      </c>
      <c r="G168" s="11" t="s">
        <v>2416</v>
      </c>
      <c r="H168" s="12"/>
      <c r="I168" s="11"/>
    </row>
    <row r="169" spans="1:9" x14ac:dyDescent="0.35">
      <c r="A169" s="12">
        <v>150</v>
      </c>
      <c r="B169" s="12">
        <v>168</v>
      </c>
      <c r="C169" s="11">
        <v>10</v>
      </c>
      <c r="D169" s="12">
        <v>133</v>
      </c>
      <c r="E169" s="11">
        <v>10</v>
      </c>
      <c r="F169" s="12">
        <v>130</v>
      </c>
      <c r="G169" s="11" t="s">
        <v>2483</v>
      </c>
      <c r="H169" s="12"/>
      <c r="I169" s="11"/>
    </row>
    <row r="170" spans="1:9" x14ac:dyDescent="0.35">
      <c r="A170" s="12">
        <v>150</v>
      </c>
      <c r="B170" s="12">
        <v>168</v>
      </c>
      <c r="C170" s="11">
        <v>12</v>
      </c>
      <c r="D170" s="12">
        <v>133</v>
      </c>
      <c r="E170" s="11">
        <v>10</v>
      </c>
      <c r="F170" s="12">
        <v>130</v>
      </c>
      <c r="G170" s="11" t="s">
        <v>2484</v>
      </c>
      <c r="H170" s="11"/>
      <c r="I170" s="11"/>
    </row>
    <row r="171" spans="1:9" x14ac:dyDescent="0.35">
      <c r="A171" s="11">
        <v>200</v>
      </c>
      <c r="B171" s="11">
        <v>219</v>
      </c>
      <c r="C171" s="11">
        <v>6</v>
      </c>
      <c r="D171" s="11">
        <v>57</v>
      </c>
      <c r="E171" s="11">
        <v>3</v>
      </c>
      <c r="F171" s="11">
        <v>95</v>
      </c>
      <c r="G171" s="11" t="s">
        <v>2415</v>
      </c>
      <c r="H171" s="12"/>
      <c r="I171" s="11"/>
    </row>
    <row r="172" spans="1:9" x14ac:dyDescent="0.35">
      <c r="A172" s="12">
        <v>200</v>
      </c>
      <c r="B172" s="12">
        <v>219</v>
      </c>
      <c r="C172" s="11">
        <v>10</v>
      </c>
      <c r="D172" s="12">
        <v>57</v>
      </c>
      <c r="E172" s="11">
        <v>4</v>
      </c>
      <c r="F172" s="12">
        <v>95</v>
      </c>
      <c r="G172" s="11" t="s">
        <v>2485</v>
      </c>
      <c r="H172" s="12"/>
      <c r="I172" s="11"/>
    </row>
    <row r="173" spans="1:9" x14ac:dyDescent="0.35">
      <c r="A173" s="12">
        <v>200</v>
      </c>
      <c r="B173" s="12">
        <v>219</v>
      </c>
      <c r="C173" s="11">
        <v>12</v>
      </c>
      <c r="D173" s="12">
        <v>57</v>
      </c>
      <c r="E173" s="11">
        <v>4</v>
      </c>
      <c r="F173" s="12">
        <v>95</v>
      </c>
      <c r="G173" s="11" t="s">
        <v>2395</v>
      </c>
      <c r="H173" s="12"/>
      <c r="I173" s="11"/>
    </row>
    <row r="174" spans="1:9" x14ac:dyDescent="0.35">
      <c r="A174" s="12">
        <v>200</v>
      </c>
      <c r="B174" s="12">
        <v>219</v>
      </c>
      <c r="C174" s="11">
        <v>14</v>
      </c>
      <c r="D174" s="12">
        <v>57</v>
      </c>
      <c r="E174" s="11">
        <v>5</v>
      </c>
      <c r="F174" s="12">
        <v>95</v>
      </c>
      <c r="G174" s="11" t="s">
        <v>2474</v>
      </c>
      <c r="H174" s="12"/>
      <c r="I174" s="11"/>
    </row>
    <row r="175" spans="1:9" x14ac:dyDescent="0.35">
      <c r="A175" s="11">
        <v>200</v>
      </c>
      <c r="B175" s="12">
        <v>219</v>
      </c>
      <c r="C175" s="11">
        <v>16</v>
      </c>
      <c r="D175" s="12">
        <v>57</v>
      </c>
      <c r="E175" s="11">
        <v>6</v>
      </c>
      <c r="F175" s="12">
        <v>95</v>
      </c>
      <c r="G175" s="11" t="s">
        <v>2486</v>
      </c>
      <c r="H175" s="12"/>
      <c r="I175" s="11"/>
    </row>
    <row r="176" spans="1:9" x14ac:dyDescent="0.35">
      <c r="A176" s="12">
        <v>200</v>
      </c>
      <c r="B176" s="12">
        <v>219</v>
      </c>
      <c r="C176" s="11">
        <v>6</v>
      </c>
      <c r="D176" s="11">
        <v>76</v>
      </c>
      <c r="E176" s="11" t="s">
        <v>2402</v>
      </c>
      <c r="F176" s="12">
        <v>95</v>
      </c>
      <c r="G176" s="11" t="s">
        <v>2415</v>
      </c>
      <c r="H176" s="12"/>
      <c r="I176" s="11"/>
    </row>
    <row r="177" spans="1:9" x14ac:dyDescent="0.35">
      <c r="A177" s="12">
        <v>200</v>
      </c>
      <c r="B177" s="12">
        <v>219</v>
      </c>
      <c r="C177" s="11">
        <v>10</v>
      </c>
      <c r="D177" s="12">
        <v>76</v>
      </c>
      <c r="E177" s="11">
        <v>5</v>
      </c>
      <c r="F177" s="12">
        <v>95</v>
      </c>
      <c r="G177" s="11" t="s">
        <v>2485</v>
      </c>
      <c r="H177" s="12"/>
      <c r="I177" s="11"/>
    </row>
    <row r="178" spans="1:9" x14ac:dyDescent="0.35">
      <c r="A178" s="12">
        <v>200</v>
      </c>
      <c r="B178" s="12">
        <v>219</v>
      </c>
      <c r="C178" s="11">
        <v>12</v>
      </c>
      <c r="D178" s="12">
        <v>76</v>
      </c>
      <c r="E178" s="11">
        <v>5</v>
      </c>
      <c r="F178" s="12">
        <v>95</v>
      </c>
      <c r="G178" s="11" t="s">
        <v>2395</v>
      </c>
      <c r="H178" s="12"/>
      <c r="I178" s="11"/>
    </row>
    <row r="179" spans="1:9" x14ac:dyDescent="0.35">
      <c r="A179" s="12">
        <v>200</v>
      </c>
      <c r="B179" s="12">
        <v>219</v>
      </c>
      <c r="C179" s="11">
        <v>14</v>
      </c>
      <c r="D179" s="12">
        <v>76</v>
      </c>
      <c r="E179" s="11">
        <v>6</v>
      </c>
      <c r="F179" s="12">
        <v>95</v>
      </c>
      <c r="G179" s="11" t="s">
        <v>2474</v>
      </c>
      <c r="H179" s="12"/>
      <c r="I179" s="11"/>
    </row>
    <row r="180" spans="1:9" x14ac:dyDescent="0.35">
      <c r="A180" s="12">
        <v>200</v>
      </c>
      <c r="B180" s="12">
        <v>219</v>
      </c>
      <c r="C180" s="11">
        <v>16</v>
      </c>
      <c r="D180" s="12">
        <v>76</v>
      </c>
      <c r="E180" s="11">
        <v>7</v>
      </c>
      <c r="F180" s="12">
        <v>95</v>
      </c>
      <c r="G180" s="11" t="s">
        <v>2486</v>
      </c>
      <c r="H180" s="12"/>
      <c r="I180" s="11"/>
    </row>
    <row r="181" spans="1:9" x14ac:dyDescent="0.35">
      <c r="A181" s="12">
        <v>200</v>
      </c>
      <c r="B181" s="12">
        <v>219</v>
      </c>
      <c r="C181" s="11">
        <v>6</v>
      </c>
      <c r="D181" s="11">
        <v>89</v>
      </c>
      <c r="E181" s="11" t="s">
        <v>2402</v>
      </c>
      <c r="F181" s="12">
        <v>95</v>
      </c>
      <c r="G181" s="11" t="s">
        <v>2415</v>
      </c>
      <c r="H181" s="12"/>
      <c r="I181" s="11"/>
    </row>
    <row r="182" spans="1:9" x14ac:dyDescent="0.35">
      <c r="A182" s="12">
        <v>200</v>
      </c>
      <c r="B182" s="12">
        <v>219</v>
      </c>
      <c r="C182" s="11">
        <v>10</v>
      </c>
      <c r="D182" s="12">
        <v>89</v>
      </c>
      <c r="E182" s="11">
        <v>5</v>
      </c>
      <c r="F182" s="12">
        <v>95</v>
      </c>
      <c r="G182" s="11" t="s">
        <v>2485</v>
      </c>
    </row>
    <row r="183" spans="1:9" x14ac:dyDescent="0.35">
      <c r="A183" s="12">
        <v>200</v>
      </c>
      <c r="B183" s="12">
        <v>219</v>
      </c>
      <c r="C183" s="11">
        <v>12</v>
      </c>
      <c r="D183" s="12">
        <v>89</v>
      </c>
      <c r="E183" s="11">
        <v>5</v>
      </c>
      <c r="F183" s="12">
        <v>95</v>
      </c>
      <c r="G183" s="11" t="s">
        <v>2395</v>
      </c>
    </row>
    <row r="184" spans="1:9" x14ac:dyDescent="0.35">
      <c r="A184" s="12">
        <v>200</v>
      </c>
      <c r="B184" s="12">
        <v>219</v>
      </c>
      <c r="C184" s="11">
        <v>14</v>
      </c>
      <c r="D184" s="12">
        <v>89</v>
      </c>
      <c r="E184" s="11">
        <v>6</v>
      </c>
      <c r="F184" s="12">
        <v>95</v>
      </c>
      <c r="G184" s="11" t="s">
        <v>2474</v>
      </c>
    </row>
    <row r="185" spans="1:9" x14ac:dyDescent="0.35">
      <c r="A185" s="12">
        <v>200</v>
      </c>
      <c r="B185" s="12">
        <v>219</v>
      </c>
      <c r="C185" s="11">
        <v>16</v>
      </c>
      <c r="D185" s="12">
        <v>89</v>
      </c>
      <c r="E185" s="11">
        <v>8</v>
      </c>
      <c r="F185" s="12">
        <v>95</v>
      </c>
      <c r="G185" s="11" t="s">
        <v>2486</v>
      </c>
    </row>
    <row r="186" spans="1:9" x14ac:dyDescent="0.35">
      <c r="A186" s="12">
        <v>200</v>
      </c>
      <c r="B186" s="12">
        <v>219</v>
      </c>
      <c r="C186" s="11">
        <v>6</v>
      </c>
      <c r="D186" s="11">
        <v>108</v>
      </c>
      <c r="E186" s="11">
        <v>4</v>
      </c>
      <c r="F186" s="12">
        <v>95</v>
      </c>
      <c r="G186" s="11" t="s">
        <v>2415</v>
      </c>
    </row>
    <row r="187" spans="1:9" x14ac:dyDescent="0.35">
      <c r="A187" s="12">
        <v>200</v>
      </c>
      <c r="B187" s="12">
        <v>219</v>
      </c>
      <c r="C187" s="11">
        <v>10</v>
      </c>
      <c r="D187" s="12">
        <v>108</v>
      </c>
      <c r="E187" s="11">
        <v>6</v>
      </c>
      <c r="F187" s="12">
        <v>95</v>
      </c>
      <c r="G187" s="11" t="s">
        <v>2485</v>
      </c>
    </row>
    <row r="188" spans="1:9" x14ac:dyDescent="0.35">
      <c r="A188" s="12">
        <v>200</v>
      </c>
      <c r="B188" s="12">
        <v>219</v>
      </c>
      <c r="C188" s="11">
        <v>12</v>
      </c>
      <c r="D188" s="12">
        <v>108</v>
      </c>
      <c r="E188" s="11">
        <v>8</v>
      </c>
      <c r="F188" s="12">
        <v>95</v>
      </c>
      <c r="G188" s="11" t="s">
        <v>2395</v>
      </c>
    </row>
    <row r="189" spans="1:9" x14ac:dyDescent="0.35">
      <c r="A189" s="12">
        <v>200</v>
      </c>
      <c r="B189" s="12">
        <v>219</v>
      </c>
      <c r="C189" s="11">
        <v>14</v>
      </c>
      <c r="D189" s="12">
        <v>108</v>
      </c>
      <c r="E189" s="11">
        <v>8</v>
      </c>
      <c r="F189" s="12">
        <v>95</v>
      </c>
      <c r="G189" s="11" t="s">
        <v>2474</v>
      </c>
    </row>
    <row r="190" spans="1:9" x14ac:dyDescent="0.35">
      <c r="A190" s="12">
        <v>200</v>
      </c>
      <c r="B190" s="12">
        <v>219</v>
      </c>
      <c r="C190" s="11">
        <v>16</v>
      </c>
      <c r="D190" s="12">
        <v>108</v>
      </c>
      <c r="E190" s="11">
        <v>9</v>
      </c>
      <c r="F190" s="12">
        <v>95</v>
      </c>
      <c r="G190" s="11" t="s">
        <v>2486</v>
      </c>
    </row>
    <row r="191" spans="1:9" x14ac:dyDescent="0.35">
      <c r="A191" s="12">
        <v>200</v>
      </c>
      <c r="B191" s="12">
        <v>219</v>
      </c>
      <c r="C191" s="11">
        <v>6</v>
      </c>
      <c r="D191" s="11">
        <v>114</v>
      </c>
      <c r="E191" s="11">
        <v>4</v>
      </c>
      <c r="F191" s="12">
        <v>95</v>
      </c>
      <c r="G191" s="11" t="s">
        <v>2415</v>
      </c>
    </row>
    <row r="192" spans="1:9" x14ac:dyDescent="0.35">
      <c r="A192" s="12">
        <v>200</v>
      </c>
      <c r="B192" s="12">
        <v>219</v>
      </c>
      <c r="C192" s="11">
        <v>10</v>
      </c>
      <c r="D192" s="12">
        <v>114</v>
      </c>
      <c r="E192" s="11">
        <v>6</v>
      </c>
      <c r="F192" s="12">
        <v>95</v>
      </c>
      <c r="G192" s="11" t="s">
        <v>2485</v>
      </c>
    </row>
    <row r="193" spans="1:7" x14ac:dyDescent="0.35">
      <c r="A193" s="12">
        <v>200</v>
      </c>
      <c r="B193" s="12">
        <v>219</v>
      </c>
      <c r="C193" s="11">
        <v>12</v>
      </c>
      <c r="D193" s="12">
        <v>114</v>
      </c>
      <c r="E193" s="11">
        <v>8</v>
      </c>
      <c r="F193" s="12">
        <v>95</v>
      </c>
      <c r="G193" s="11" t="s">
        <v>2395</v>
      </c>
    </row>
    <row r="194" spans="1:7" x14ac:dyDescent="0.35">
      <c r="A194" s="12">
        <v>200</v>
      </c>
      <c r="B194" s="12">
        <v>219</v>
      </c>
      <c r="C194" s="11">
        <v>14</v>
      </c>
      <c r="D194" s="12">
        <v>114</v>
      </c>
      <c r="E194" s="11">
        <v>8</v>
      </c>
      <c r="F194" s="12">
        <v>95</v>
      </c>
      <c r="G194" s="11" t="s">
        <v>2474</v>
      </c>
    </row>
    <row r="195" spans="1:7" x14ac:dyDescent="0.35">
      <c r="A195" s="12">
        <v>200</v>
      </c>
      <c r="B195" s="12">
        <v>219</v>
      </c>
      <c r="C195" s="11">
        <v>16</v>
      </c>
      <c r="D195" s="12">
        <v>114</v>
      </c>
      <c r="E195" s="11">
        <v>9</v>
      </c>
      <c r="F195" s="12">
        <v>95</v>
      </c>
      <c r="G195" s="11" t="s">
        <v>2486</v>
      </c>
    </row>
    <row r="196" spans="1:7" x14ac:dyDescent="0.35">
      <c r="A196" s="12">
        <v>200</v>
      </c>
      <c r="B196" s="12">
        <v>219</v>
      </c>
      <c r="C196" s="11">
        <v>6</v>
      </c>
      <c r="D196" s="11">
        <v>133</v>
      </c>
      <c r="E196" s="11">
        <v>4</v>
      </c>
      <c r="F196" s="11">
        <v>140</v>
      </c>
      <c r="G196" s="11" t="s">
        <v>2413</v>
      </c>
    </row>
    <row r="197" spans="1:7" x14ac:dyDescent="0.35">
      <c r="A197" s="12">
        <v>200</v>
      </c>
      <c r="B197" s="12">
        <v>219</v>
      </c>
      <c r="C197" s="11">
        <v>10</v>
      </c>
      <c r="D197" s="12">
        <v>133</v>
      </c>
      <c r="E197" s="11">
        <v>8</v>
      </c>
      <c r="F197" s="12">
        <v>140</v>
      </c>
      <c r="G197" s="11" t="s">
        <v>2487</v>
      </c>
    </row>
    <row r="198" spans="1:7" x14ac:dyDescent="0.35">
      <c r="A198" s="12">
        <v>200</v>
      </c>
      <c r="B198" s="12">
        <v>219</v>
      </c>
      <c r="C198" s="11">
        <v>12</v>
      </c>
      <c r="D198" s="11">
        <v>133</v>
      </c>
      <c r="E198" s="11">
        <v>8</v>
      </c>
      <c r="F198" s="12">
        <v>140</v>
      </c>
      <c r="G198" s="11" t="s">
        <v>2388</v>
      </c>
    </row>
    <row r="199" spans="1:7" x14ac:dyDescent="0.35">
      <c r="A199" s="12">
        <v>200</v>
      </c>
      <c r="B199" s="12">
        <v>219</v>
      </c>
      <c r="C199" s="11">
        <v>14</v>
      </c>
      <c r="D199" s="12">
        <v>133</v>
      </c>
      <c r="E199" s="11">
        <v>10</v>
      </c>
      <c r="F199" s="12">
        <v>140</v>
      </c>
      <c r="G199" s="11">
        <v>10</v>
      </c>
    </row>
    <row r="200" spans="1:7" x14ac:dyDescent="0.35">
      <c r="A200" s="12">
        <v>200</v>
      </c>
      <c r="B200" s="12">
        <v>219</v>
      </c>
      <c r="C200" s="11">
        <v>16</v>
      </c>
      <c r="D200" s="12">
        <v>133</v>
      </c>
      <c r="E200" s="11">
        <v>10</v>
      </c>
      <c r="F200" s="12">
        <v>140</v>
      </c>
      <c r="G200" s="11">
        <v>12</v>
      </c>
    </row>
    <row r="201" spans="1:7" x14ac:dyDescent="0.35">
      <c r="A201" s="12">
        <v>200</v>
      </c>
      <c r="B201" s="12">
        <v>219</v>
      </c>
      <c r="C201" s="11">
        <v>6</v>
      </c>
      <c r="D201" s="11">
        <v>159</v>
      </c>
      <c r="E201" s="11" t="s">
        <v>2410</v>
      </c>
      <c r="F201" s="12">
        <v>140</v>
      </c>
      <c r="G201" s="11" t="s">
        <v>2413</v>
      </c>
    </row>
    <row r="202" spans="1:7" x14ac:dyDescent="0.35">
      <c r="A202" s="12">
        <v>200</v>
      </c>
      <c r="B202" s="12">
        <v>219</v>
      </c>
      <c r="C202" s="11">
        <v>10</v>
      </c>
      <c r="D202" s="12">
        <v>159</v>
      </c>
      <c r="E202" s="11">
        <v>8</v>
      </c>
      <c r="F202" s="12">
        <v>140</v>
      </c>
      <c r="G202" s="11" t="s">
        <v>2487</v>
      </c>
    </row>
    <row r="203" spans="1:7" x14ac:dyDescent="0.35">
      <c r="A203" s="12">
        <v>200</v>
      </c>
      <c r="B203" s="12">
        <v>219</v>
      </c>
      <c r="C203" s="11">
        <v>12</v>
      </c>
      <c r="D203" s="12">
        <v>159</v>
      </c>
      <c r="E203" s="11">
        <v>10</v>
      </c>
      <c r="F203" s="12">
        <v>140</v>
      </c>
      <c r="G203" s="11" t="s">
        <v>2388</v>
      </c>
    </row>
    <row r="204" spans="1:7" x14ac:dyDescent="0.35">
      <c r="A204" s="12">
        <v>200</v>
      </c>
      <c r="B204" s="12">
        <v>219</v>
      </c>
      <c r="C204" s="11">
        <v>14</v>
      </c>
      <c r="D204" s="12">
        <v>159</v>
      </c>
      <c r="E204" s="11">
        <v>12</v>
      </c>
      <c r="F204" s="12">
        <v>140</v>
      </c>
      <c r="G204" s="11">
        <v>10</v>
      </c>
    </row>
    <row r="205" spans="1:7" x14ac:dyDescent="0.35">
      <c r="A205" s="12">
        <v>200</v>
      </c>
      <c r="B205" s="12">
        <v>219</v>
      </c>
      <c r="C205" s="11">
        <v>16</v>
      </c>
      <c r="D205" s="12">
        <v>159</v>
      </c>
      <c r="E205" s="11">
        <v>12</v>
      </c>
      <c r="F205" s="12">
        <v>140</v>
      </c>
      <c r="G205" s="11">
        <v>12</v>
      </c>
    </row>
    <row r="206" spans="1:7" x14ac:dyDescent="0.35">
      <c r="A206" s="12">
        <v>200</v>
      </c>
      <c r="B206" s="12">
        <v>219</v>
      </c>
      <c r="C206" s="11">
        <v>6</v>
      </c>
      <c r="D206" s="11">
        <v>168</v>
      </c>
      <c r="E206" s="11" t="s">
        <v>2410</v>
      </c>
      <c r="F206" s="12">
        <v>140</v>
      </c>
      <c r="G206" s="11" t="s">
        <v>2413</v>
      </c>
    </row>
    <row r="207" spans="1:7" x14ac:dyDescent="0.35">
      <c r="A207" s="12">
        <v>200</v>
      </c>
      <c r="B207" s="12">
        <v>219</v>
      </c>
      <c r="C207" s="11">
        <v>10</v>
      </c>
      <c r="D207" s="12">
        <v>168</v>
      </c>
      <c r="E207" s="11">
        <v>8</v>
      </c>
      <c r="F207" s="12">
        <v>140</v>
      </c>
      <c r="G207" s="11" t="s">
        <v>2487</v>
      </c>
    </row>
    <row r="208" spans="1:7" x14ac:dyDescent="0.35">
      <c r="A208" s="12">
        <v>200</v>
      </c>
      <c r="B208" s="12">
        <v>219</v>
      </c>
      <c r="C208" s="11">
        <v>12</v>
      </c>
      <c r="D208" s="12">
        <v>168</v>
      </c>
      <c r="E208" s="11">
        <v>10</v>
      </c>
      <c r="F208" s="12">
        <v>140</v>
      </c>
      <c r="G208" s="11" t="s">
        <v>2388</v>
      </c>
    </row>
    <row r="209" spans="1:7" x14ac:dyDescent="0.35">
      <c r="A209" s="12">
        <v>200</v>
      </c>
      <c r="B209" s="12">
        <v>219</v>
      </c>
      <c r="C209" s="11">
        <v>14</v>
      </c>
      <c r="D209" s="12">
        <v>168</v>
      </c>
      <c r="E209" s="11">
        <v>12</v>
      </c>
      <c r="F209" s="12">
        <v>140</v>
      </c>
      <c r="G209" s="11">
        <v>10</v>
      </c>
    </row>
    <row r="210" spans="1:7" x14ac:dyDescent="0.35">
      <c r="A210" s="12">
        <v>200</v>
      </c>
      <c r="B210" s="12">
        <v>219</v>
      </c>
      <c r="C210" s="11">
        <v>16</v>
      </c>
      <c r="D210" s="12">
        <v>168</v>
      </c>
      <c r="E210" s="11">
        <v>12</v>
      </c>
      <c r="F210" s="12">
        <v>140</v>
      </c>
      <c r="G210" s="11">
        <v>12</v>
      </c>
    </row>
    <row r="211" spans="1:7" x14ac:dyDescent="0.35">
      <c r="A211" s="11">
        <v>250</v>
      </c>
      <c r="B211" s="11">
        <v>273</v>
      </c>
      <c r="C211" s="11">
        <v>7</v>
      </c>
      <c r="D211" s="11">
        <v>108</v>
      </c>
      <c r="E211" s="11">
        <v>4</v>
      </c>
      <c r="F211" s="11">
        <v>140</v>
      </c>
      <c r="G211" s="11">
        <v>6</v>
      </c>
    </row>
    <row r="212" spans="1:7" x14ac:dyDescent="0.35">
      <c r="A212" s="12">
        <v>250</v>
      </c>
      <c r="B212" s="12">
        <v>273</v>
      </c>
      <c r="C212" s="11">
        <v>10</v>
      </c>
      <c r="D212" s="12">
        <v>108</v>
      </c>
      <c r="E212" s="11">
        <v>6</v>
      </c>
      <c r="F212" s="12">
        <v>140</v>
      </c>
      <c r="G212" s="11" t="s">
        <v>2476</v>
      </c>
    </row>
    <row r="213" spans="1:7" x14ac:dyDescent="0.35">
      <c r="A213" s="12">
        <v>250</v>
      </c>
      <c r="B213" s="12">
        <v>273</v>
      </c>
      <c r="C213" s="11">
        <v>12</v>
      </c>
      <c r="D213" s="12">
        <v>108</v>
      </c>
      <c r="E213" s="11">
        <v>8</v>
      </c>
      <c r="F213" s="12">
        <v>140</v>
      </c>
      <c r="G213" s="11">
        <v>10</v>
      </c>
    </row>
    <row r="214" spans="1:7" x14ac:dyDescent="0.35">
      <c r="A214" s="12">
        <v>250</v>
      </c>
      <c r="B214" s="12">
        <v>273</v>
      </c>
      <c r="C214" s="11">
        <v>14</v>
      </c>
      <c r="D214" s="12">
        <v>108</v>
      </c>
      <c r="E214" s="11">
        <v>8</v>
      </c>
      <c r="F214" s="12">
        <v>140</v>
      </c>
      <c r="G214" s="11">
        <v>12</v>
      </c>
    </row>
    <row r="215" spans="1:7" x14ac:dyDescent="0.35">
      <c r="A215" s="12">
        <v>250</v>
      </c>
      <c r="B215" s="12">
        <v>273</v>
      </c>
      <c r="C215" s="11">
        <v>16</v>
      </c>
      <c r="D215" s="12">
        <v>108</v>
      </c>
      <c r="E215" s="11">
        <v>9</v>
      </c>
      <c r="F215" s="12">
        <v>140</v>
      </c>
      <c r="G215" s="11">
        <v>13</v>
      </c>
    </row>
    <row r="216" spans="1:7" x14ac:dyDescent="0.35">
      <c r="A216" s="12">
        <v>250</v>
      </c>
      <c r="B216" s="12">
        <v>273</v>
      </c>
      <c r="C216" s="11">
        <v>18</v>
      </c>
      <c r="D216" s="12">
        <v>108</v>
      </c>
      <c r="E216" s="11">
        <v>9</v>
      </c>
      <c r="F216" s="12">
        <v>140</v>
      </c>
      <c r="G216" s="11">
        <v>15</v>
      </c>
    </row>
    <row r="217" spans="1:7" x14ac:dyDescent="0.35">
      <c r="A217" s="12">
        <v>250</v>
      </c>
      <c r="B217" s="12">
        <v>273</v>
      </c>
      <c r="C217" s="11">
        <v>7</v>
      </c>
      <c r="D217" s="11">
        <v>114</v>
      </c>
      <c r="E217" s="11">
        <v>4</v>
      </c>
      <c r="F217" s="12">
        <v>140</v>
      </c>
      <c r="G217" s="11">
        <v>6</v>
      </c>
    </row>
    <row r="218" spans="1:7" x14ac:dyDescent="0.35">
      <c r="A218" s="12">
        <v>250</v>
      </c>
      <c r="B218" s="12">
        <v>273</v>
      </c>
      <c r="C218" s="11">
        <v>10</v>
      </c>
      <c r="D218" s="12">
        <v>114</v>
      </c>
      <c r="E218" s="11">
        <v>6</v>
      </c>
      <c r="F218" s="12">
        <v>140</v>
      </c>
      <c r="G218" s="11" t="s">
        <v>2476</v>
      </c>
    </row>
    <row r="219" spans="1:7" x14ac:dyDescent="0.35">
      <c r="A219" s="12">
        <v>250</v>
      </c>
      <c r="B219" s="12">
        <v>273</v>
      </c>
      <c r="C219" s="11">
        <v>12</v>
      </c>
      <c r="D219" s="12">
        <v>114</v>
      </c>
      <c r="E219" s="11">
        <v>8</v>
      </c>
      <c r="F219" s="12">
        <v>140</v>
      </c>
      <c r="G219" s="11">
        <v>10</v>
      </c>
    </row>
    <row r="220" spans="1:7" x14ac:dyDescent="0.35">
      <c r="A220" s="12">
        <v>250</v>
      </c>
      <c r="B220" s="12">
        <v>273</v>
      </c>
      <c r="C220" s="11">
        <v>14</v>
      </c>
      <c r="D220" s="12">
        <v>114</v>
      </c>
      <c r="E220" s="11">
        <v>8</v>
      </c>
      <c r="F220" s="12">
        <v>140</v>
      </c>
      <c r="G220" s="11">
        <v>12</v>
      </c>
    </row>
    <row r="221" spans="1:7" x14ac:dyDescent="0.35">
      <c r="A221" s="12">
        <v>250</v>
      </c>
      <c r="B221" s="12">
        <v>273</v>
      </c>
      <c r="C221" s="11">
        <v>16</v>
      </c>
      <c r="D221" s="12">
        <v>114</v>
      </c>
      <c r="E221" s="11">
        <v>9</v>
      </c>
      <c r="F221" s="12">
        <v>140</v>
      </c>
      <c r="G221" s="11">
        <v>13</v>
      </c>
    </row>
    <row r="222" spans="1:7" x14ac:dyDescent="0.35">
      <c r="A222" s="12">
        <v>250</v>
      </c>
      <c r="B222" s="12">
        <v>273</v>
      </c>
      <c r="C222" s="11">
        <v>18</v>
      </c>
      <c r="D222" s="12">
        <v>114</v>
      </c>
      <c r="E222" s="11">
        <v>9</v>
      </c>
      <c r="F222" s="12">
        <v>140</v>
      </c>
      <c r="G222" s="11">
        <v>15</v>
      </c>
    </row>
    <row r="223" spans="1:7" x14ac:dyDescent="0.35">
      <c r="A223" s="12">
        <v>250</v>
      </c>
      <c r="B223" s="12">
        <v>273</v>
      </c>
      <c r="C223" s="11">
        <v>7</v>
      </c>
      <c r="D223" s="11">
        <v>133</v>
      </c>
      <c r="E223" s="11">
        <v>4</v>
      </c>
      <c r="F223" s="12">
        <v>140</v>
      </c>
      <c r="G223" s="11">
        <v>6</v>
      </c>
    </row>
    <row r="224" spans="1:7" x14ac:dyDescent="0.35">
      <c r="A224" s="12">
        <v>250</v>
      </c>
      <c r="B224" s="12">
        <v>273</v>
      </c>
      <c r="C224" s="11">
        <v>10</v>
      </c>
      <c r="D224" s="12">
        <v>133</v>
      </c>
      <c r="E224" s="11">
        <v>6</v>
      </c>
      <c r="F224" s="12">
        <v>140</v>
      </c>
      <c r="G224" s="11" t="s">
        <v>2476</v>
      </c>
    </row>
    <row r="225" spans="1:7" x14ac:dyDescent="0.35">
      <c r="A225" s="12">
        <v>250</v>
      </c>
      <c r="B225" s="12">
        <v>273</v>
      </c>
      <c r="C225" s="11">
        <v>12</v>
      </c>
      <c r="D225" s="12">
        <v>133</v>
      </c>
      <c r="E225" s="11">
        <v>8</v>
      </c>
      <c r="F225" s="12">
        <v>140</v>
      </c>
      <c r="G225" s="11">
        <v>10</v>
      </c>
    </row>
    <row r="226" spans="1:7" x14ac:dyDescent="0.35">
      <c r="A226" s="12">
        <v>250</v>
      </c>
      <c r="B226" s="12">
        <v>273</v>
      </c>
      <c r="C226" s="11">
        <v>14</v>
      </c>
      <c r="D226" s="12">
        <v>133</v>
      </c>
      <c r="E226" s="11">
        <v>8</v>
      </c>
      <c r="F226" s="12">
        <v>140</v>
      </c>
      <c r="G226" s="11">
        <v>12</v>
      </c>
    </row>
    <row r="227" spans="1:7" x14ac:dyDescent="0.35">
      <c r="A227" s="12">
        <v>250</v>
      </c>
      <c r="B227" s="12">
        <v>273</v>
      </c>
      <c r="C227" s="11">
        <v>16</v>
      </c>
      <c r="D227" s="12">
        <v>133</v>
      </c>
      <c r="E227" s="11">
        <v>10</v>
      </c>
      <c r="F227" s="12">
        <v>140</v>
      </c>
      <c r="G227" s="11">
        <v>13</v>
      </c>
    </row>
    <row r="228" spans="1:7" x14ac:dyDescent="0.35">
      <c r="A228" s="12">
        <v>250</v>
      </c>
      <c r="B228" s="12">
        <v>273</v>
      </c>
      <c r="C228" s="11">
        <v>18</v>
      </c>
      <c r="D228" s="12">
        <v>133</v>
      </c>
      <c r="E228" s="11">
        <v>10</v>
      </c>
      <c r="F228" s="12">
        <v>140</v>
      </c>
      <c r="G228" s="11">
        <v>15</v>
      </c>
    </row>
    <row r="229" spans="1:7" x14ac:dyDescent="0.35">
      <c r="A229" s="12">
        <v>250</v>
      </c>
      <c r="B229" s="12">
        <v>273</v>
      </c>
      <c r="C229" s="11">
        <v>7</v>
      </c>
      <c r="D229" s="11">
        <v>159</v>
      </c>
      <c r="E229" s="11" t="s">
        <v>2410</v>
      </c>
      <c r="F229" s="11">
        <v>180</v>
      </c>
      <c r="G229" s="11" t="s">
        <v>2488</v>
      </c>
    </row>
    <row r="230" spans="1:7" x14ac:dyDescent="0.35">
      <c r="A230" s="12">
        <v>250</v>
      </c>
      <c r="B230" s="12">
        <v>273</v>
      </c>
      <c r="C230" s="11">
        <v>10</v>
      </c>
      <c r="D230" s="12">
        <v>159</v>
      </c>
      <c r="E230" s="11">
        <v>8</v>
      </c>
      <c r="F230" s="12">
        <v>180</v>
      </c>
      <c r="G230" s="11">
        <v>12</v>
      </c>
    </row>
    <row r="231" spans="1:7" x14ac:dyDescent="0.35">
      <c r="A231" s="12">
        <v>250</v>
      </c>
      <c r="B231" s="12">
        <v>273</v>
      </c>
      <c r="C231" s="11">
        <v>12</v>
      </c>
      <c r="D231" s="12">
        <v>159</v>
      </c>
      <c r="E231" s="11">
        <v>10</v>
      </c>
      <c r="F231" s="12">
        <v>180</v>
      </c>
      <c r="G231" s="11">
        <v>14</v>
      </c>
    </row>
    <row r="232" spans="1:7" x14ac:dyDescent="0.35">
      <c r="A232" s="12">
        <v>250</v>
      </c>
      <c r="B232" s="12">
        <v>273</v>
      </c>
      <c r="C232" s="11">
        <v>14</v>
      </c>
      <c r="D232" s="12">
        <v>159</v>
      </c>
      <c r="E232" s="11">
        <v>10</v>
      </c>
      <c r="F232" s="12">
        <v>180</v>
      </c>
      <c r="G232" s="11">
        <v>16</v>
      </c>
    </row>
    <row r="233" spans="1:7" x14ac:dyDescent="0.35">
      <c r="A233" s="12">
        <v>250</v>
      </c>
      <c r="B233" s="12">
        <v>273</v>
      </c>
      <c r="C233" s="11">
        <v>16</v>
      </c>
      <c r="D233" s="12">
        <v>159</v>
      </c>
      <c r="E233" s="11">
        <v>12</v>
      </c>
      <c r="F233" s="12">
        <v>180</v>
      </c>
      <c r="G233" s="11">
        <v>18</v>
      </c>
    </row>
    <row r="234" spans="1:7" x14ac:dyDescent="0.35">
      <c r="A234" s="12">
        <v>250</v>
      </c>
      <c r="B234" s="12">
        <v>273</v>
      </c>
      <c r="C234" s="11">
        <v>18</v>
      </c>
      <c r="D234" s="12">
        <v>159</v>
      </c>
      <c r="E234" s="11">
        <v>12</v>
      </c>
      <c r="F234" s="12">
        <v>180</v>
      </c>
      <c r="G234" s="11">
        <v>20</v>
      </c>
    </row>
    <row r="235" spans="1:7" x14ac:dyDescent="0.35">
      <c r="A235" s="12">
        <v>250</v>
      </c>
      <c r="B235" s="12">
        <v>273</v>
      </c>
      <c r="C235" s="11">
        <v>7</v>
      </c>
      <c r="D235" s="11">
        <v>168</v>
      </c>
      <c r="E235" s="11" t="s">
        <v>2410</v>
      </c>
      <c r="F235" s="12">
        <v>180</v>
      </c>
      <c r="G235" s="11" t="s">
        <v>2488</v>
      </c>
    </row>
    <row r="236" spans="1:7" x14ac:dyDescent="0.35">
      <c r="A236" s="12">
        <v>250</v>
      </c>
      <c r="B236" s="12">
        <v>273</v>
      </c>
      <c r="C236" s="11">
        <v>10</v>
      </c>
      <c r="D236" s="12">
        <v>168</v>
      </c>
      <c r="E236" s="11">
        <v>8</v>
      </c>
      <c r="F236" s="12">
        <v>180</v>
      </c>
      <c r="G236" s="11">
        <v>12</v>
      </c>
    </row>
    <row r="237" spans="1:7" x14ac:dyDescent="0.35">
      <c r="A237" s="12">
        <v>250</v>
      </c>
      <c r="B237" s="12">
        <v>273</v>
      </c>
      <c r="C237" s="11">
        <v>12</v>
      </c>
      <c r="D237" s="11">
        <v>168</v>
      </c>
      <c r="E237" s="11">
        <v>10</v>
      </c>
      <c r="F237" s="12">
        <v>180</v>
      </c>
      <c r="G237" s="11">
        <v>14</v>
      </c>
    </row>
    <row r="238" spans="1:7" x14ac:dyDescent="0.35">
      <c r="A238" s="12">
        <v>250</v>
      </c>
      <c r="B238" s="12">
        <v>273</v>
      </c>
      <c r="C238" s="11">
        <v>14</v>
      </c>
      <c r="D238" s="12">
        <v>168</v>
      </c>
      <c r="E238" s="11">
        <v>10</v>
      </c>
      <c r="F238" s="12">
        <v>180</v>
      </c>
      <c r="G238" s="11">
        <v>16</v>
      </c>
    </row>
    <row r="239" spans="1:7" x14ac:dyDescent="0.35">
      <c r="A239" s="12">
        <v>250</v>
      </c>
      <c r="B239" s="12">
        <v>273</v>
      </c>
      <c r="C239" s="11">
        <v>16</v>
      </c>
      <c r="D239" s="12">
        <v>168</v>
      </c>
      <c r="E239" s="11">
        <v>12</v>
      </c>
      <c r="F239" s="12">
        <v>180</v>
      </c>
      <c r="G239" s="11">
        <v>18</v>
      </c>
    </row>
    <row r="240" spans="1:7" x14ac:dyDescent="0.35">
      <c r="A240" s="12">
        <v>250</v>
      </c>
      <c r="B240" s="12">
        <v>273</v>
      </c>
      <c r="C240" s="11">
        <v>18</v>
      </c>
      <c r="D240" s="12">
        <v>168</v>
      </c>
      <c r="E240" s="11">
        <v>12</v>
      </c>
      <c r="F240" s="12">
        <v>180</v>
      </c>
      <c r="G240" s="11">
        <v>20</v>
      </c>
    </row>
    <row r="241" spans="1:7" x14ac:dyDescent="0.35">
      <c r="A241" s="12">
        <v>250</v>
      </c>
      <c r="B241" s="12">
        <v>273</v>
      </c>
      <c r="C241" s="11">
        <v>7</v>
      </c>
      <c r="D241" s="11">
        <v>219</v>
      </c>
      <c r="E241" s="11">
        <v>6</v>
      </c>
      <c r="F241" s="12">
        <v>180</v>
      </c>
      <c r="G241" s="11" t="s">
        <v>2488</v>
      </c>
    </row>
    <row r="242" spans="1:7" x14ac:dyDescent="0.35">
      <c r="A242" s="12">
        <v>250</v>
      </c>
      <c r="B242" s="12">
        <v>273</v>
      </c>
      <c r="C242" s="11">
        <v>10</v>
      </c>
      <c r="D242" s="12">
        <v>219</v>
      </c>
      <c r="E242" s="11">
        <v>8</v>
      </c>
      <c r="F242" s="12">
        <v>180</v>
      </c>
      <c r="G242" s="11">
        <v>12</v>
      </c>
    </row>
    <row r="243" spans="1:7" x14ac:dyDescent="0.35">
      <c r="A243" s="12">
        <v>250</v>
      </c>
      <c r="B243" s="12">
        <v>273</v>
      </c>
      <c r="C243" s="11">
        <v>12</v>
      </c>
      <c r="D243" s="12">
        <v>219</v>
      </c>
      <c r="E243" s="11">
        <v>10</v>
      </c>
      <c r="F243" s="12">
        <v>180</v>
      </c>
      <c r="G243" s="11">
        <v>14</v>
      </c>
    </row>
    <row r="244" spans="1:7" x14ac:dyDescent="0.35">
      <c r="A244" s="12">
        <v>250</v>
      </c>
      <c r="B244" s="12">
        <v>273</v>
      </c>
      <c r="C244" s="11">
        <v>14</v>
      </c>
      <c r="D244" s="12">
        <v>219</v>
      </c>
      <c r="E244" s="11">
        <v>12</v>
      </c>
      <c r="F244" s="12">
        <v>180</v>
      </c>
      <c r="G244" s="11">
        <v>16</v>
      </c>
    </row>
    <row r="245" spans="1:7" x14ac:dyDescent="0.35">
      <c r="A245" s="12">
        <v>250</v>
      </c>
      <c r="B245" s="12">
        <v>273</v>
      </c>
      <c r="C245" s="11">
        <v>16</v>
      </c>
      <c r="D245" s="12">
        <v>219</v>
      </c>
      <c r="E245" s="11">
        <v>14</v>
      </c>
      <c r="F245" s="12">
        <v>180</v>
      </c>
      <c r="G245" s="11">
        <v>18</v>
      </c>
    </row>
    <row r="246" spans="1:7" x14ac:dyDescent="0.35">
      <c r="A246" s="12">
        <v>250</v>
      </c>
      <c r="B246" s="12">
        <v>273</v>
      </c>
      <c r="C246" s="11">
        <v>18</v>
      </c>
      <c r="D246" s="12">
        <v>219</v>
      </c>
      <c r="E246" s="11">
        <v>16</v>
      </c>
      <c r="F246" s="12">
        <v>180</v>
      </c>
      <c r="G246" s="11">
        <v>20</v>
      </c>
    </row>
    <row r="247" spans="1:7" x14ac:dyDescent="0.35">
      <c r="A247" s="11">
        <v>300</v>
      </c>
      <c r="B247" s="11">
        <v>325</v>
      </c>
      <c r="C247" s="11">
        <v>8</v>
      </c>
      <c r="D247" s="11">
        <v>108</v>
      </c>
      <c r="E247" s="11">
        <v>4</v>
      </c>
      <c r="F247" s="11">
        <v>140</v>
      </c>
      <c r="G247" s="11">
        <v>9</v>
      </c>
    </row>
    <row r="248" spans="1:7" x14ac:dyDescent="0.35">
      <c r="A248" s="12">
        <v>300</v>
      </c>
      <c r="B248" s="12">
        <v>325</v>
      </c>
      <c r="C248" s="11">
        <v>10</v>
      </c>
      <c r="D248" s="12">
        <v>108</v>
      </c>
      <c r="E248" s="11">
        <v>4</v>
      </c>
      <c r="F248" s="12">
        <v>140</v>
      </c>
      <c r="G248" s="11">
        <v>11</v>
      </c>
    </row>
    <row r="249" spans="1:7" x14ac:dyDescent="0.35">
      <c r="A249" s="12">
        <v>300</v>
      </c>
      <c r="B249" s="12">
        <v>325</v>
      </c>
      <c r="C249" s="11">
        <v>12</v>
      </c>
      <c r="D249" s="12">
        <v>108</v>
      </c>
      <c r="E249" s="11">
        <v>6</v>
      </c>
      <c r="F249" s="12">
        <v>140</v>
      </c>
      <c r="G249" s="11">
        <v>16</v>
      </c>
    </row>
    <row r="250" spans="1:7" x14ac:dyDescent="0.35">
      <c r="A250" s="12">
        <v>300</v>
      </c>
      <c r="B250" s="12">
        <v>325</v>
      </c>
      <c r="C250" s="11">
        <v>14</v>
      </c>
      <c r="D250" s="12">
        <v>108</v>
      </c>
      <c r="E250" s="11">
        <v>6</v>
      </c>
      <c r="F250" s="12">
        <v>140</v>
      </c>
      <c r="G250" s="11">
        <v>18</v>
      </c>
    </row>
    <row r="251" spans="1:7" x14ac:dyDescent="0.35">
      <c r="A251" s="12">
        <v>300</v>
      </c>
      <c r="B251" s="12">
        <v>325</v>
      </c>
      <c r="C251" s="11">
        <v>16</v>
      </c>
      <c r="D251" s="12">
        <v>108</v>
      </c>
      <c r="E251" s="11">
        <v>8</v>
      </c>
      <c r="F251" s="12">
        <v>140</v>
      </c>
      <c r="G251" s="11">
        <v>20</v>
      </c>
    </row>
    <row r="252" spans="1:7" x14ac:dyDescent="0.35">
      <c r="A252" s="12">
        <v>300</v>
      </c>
      <c r="B252" s="12">
        <v>325</v>
      </c>
      <c r="C252" s="11">
        <v>18</v>
      </c>
      <c r="D252" s="12">
        <v>108</v>
      </c>
      <c r="E252" s="11">
        <v>8</v>
      </c>
      <c r="F252" s="12">
        <v>140</v>
      </c>
      <c r="G252" s="11">
        <v>23</v>
      </c>
    </row>
    <row r="253" spans="1:7" x14ac:dyDescent="0.35">
      <c r="A253" s="12">
        <v>300</v>
      </c>
      <c r="B253" s="12">
        <v>325</v>
      </c>
      <c r="C253" s="11">
        <v>22</v>
      </c>
      <c r="D253" s="12">
        <v>108</v>
      </c>
      <c r="E253" s="11">
        <v>9</v>
      </c>
      <c r="F253" s="12">
        <v>140</v>
      </c>
      <c r="G253" s="11">
        <v>28</v>
      </c>
    </row>
    <row r="254" spans="1:7" x14ac:dyDescent="0.35">
      <c r="A254" s="12">
        <v>300</v>
      </c>
      <c r="B254" s="12">
        <v>325</v>
      </c>
      <c r="C254" s="11">
        <v>8</v>
      </c>
      <c r="D254" s="11">
        <v>114</v>
      </c>
      <c r="E254" s="11">
        <v>4</v>
      </c>
      <c r="F254" s="12">
        <v>140</v>
      </c>
      <c r="G254" s="11">
        <v>9</v>
      </c>
    </row>
    <row r="255" spans="1:7" x14ac:dyDescent="0.35">
      <c r="A255" s="12">
        <v>300</v>
      </c>
      <c r="B255" s="12">
        <v>325</v>
      </c>
      <c r="C255" s="11">
        <v>10</v>
      </c>
      <c r="D255" s="12">
        <v>114</v>
      </c>
      <c r="E255" s="11">
        <v>4</v>
      </c>
      <c r="F255" s="12">
        <v>140</v>
      </c>
      <c r="G255" s="11">
        <v>11</v>
      </c>
    </row>
    <row r="256" spans="1:7" x14ac:dyDescent="0.35">
      <c r="A256" s="12">
        <v>300</v>
      </c>
      <c r="B256" s="12">
        <v>325</v>
      </c>
      <c r="C256" s="11">
        <v>12</v>
      </c>
      <c r="D256" s="12">
        <v>114</v>
      </c>
      <c r="E256" s="11">
        <v>6</v>
      </c>
      <c r="F256" s="12">
        <v>140</v>
      </c>
      <c r="G256" s="11">
        <v>16</v>
      </c>
    </row>
    <row r="257" spans="1:7" x14ac:dyDescent="0.35">
      <c r="A257" s="12">
        <v>300</v>
      </c>
      <c r="B257" s="12">
        <v>325</v>
      </c>
      <c r="C257" s="11">
        <v>14</v>
      </c>
      <c r="D257" s="12">
        <v>114</v>
      </c>
      <c r="E257" s="11">
        <v>6</v>
      </c>
      <c r="F257" s="12">
        <v>140</v>
      </c>
      <c r="G257" s="11">
        <v>18</v>
      </c>
    </row>
    <row r="258" spans="1:7" x14ac:dyDescent="0.35">
      <c r="A258" s="12">
        <v>300</v>
      </c>
      <c r="B258" s="12">
        <v>325</v>
      </c>
      <c r="C258" s="11">
        <v>16</v>
      </c>
      <c r="D258" s="12">
        <v>114</v>
      </c>
      <c r="E258" s="11">
        <v>8</v>
      </c>
      <c r="F258" s="12">
        <v>140</v>
      </c>
      <c r="G258" s="11">
        <v>20</v>
      </c>
    </row>
    <row r="259" spans="1:7" x14ac:dyDescent="0.35">
      <c r="A259" s="12">
        <v>300</v>
      </c>
      <c r="B259" s="12">
        <v>325</v>
      </c>
      <c r="C259" s="11">
        <v>18</v>
      </c>
      <c r="D259" s="12">
        <v>114</v>
      </c>
      <c r="E259" s="11">
        <v>8</v>
      </c>
      <c r="F259" s="12">
        <v>140</v>
      </c>
      <c r="G259" s="11">
        <v>23</v>
      </c>
    </row>
    <row r="260" spans="1:7" x14ac:dyDescent="0.35">
      <c r="A260" s="12">
        <v>300</v>
      </c>
      <c r="B260" s="12">
        <v>325</v>
      </c>
      <c r="C260" s="11">
        <v>22</v>
      </c>
      <c r="D260" s="12">
        <v>114</v>
      </c>
      <c r="E260" s="11">
        <v>9</v>
      </c>
      <c r="F260" s="12">
        <v>140</v>
      </c>
      <c r="G260" s="11">
        <v>28</v>
      </c>
    </row>
    <row r="261" spans="1:7" x14ac:dyDescent="0.35">
      <c r="A261" s="12">
        <v>300</v>
      </c>
      <c r="B261" s="12">
        <v>325</v>
      </c>
      <c r="C261" s="11">
        <v>8</v>
      </c>
      <c r="D261" s="11">
        <v>133</v>
      </c>
      <c r="E261" s="11">
        <v>5</v>
      </c>
      <c r="F261" s="12">
        <v>140</v>
      </c>
      <c r="G261" s="11">
        <v>11</v>
      </c>
    </row>
    <row r="262" spans="1:7" x14ac:dyDescent="0.35">
      <c r="A262" s="12">
        <v>300</v>
      </c>
      <c r="B262" s="12">
        <v>325</v>
      </c>
      <c r="C262" s="11">
        <v>10</v>
      </c>
      <c r="D262" s="12">
        <v>133</v>
      </c>
      <c r="E262" s="11">
        <v>6</v>
      </c>
      <c r="F262" s="12">
        <v>140</v>
      </c>
      <c r="G262" s="11">
        <v>13</v>
      </c>
    </row>
    <row r="263" spans="1:7" x14ac:dyDescent="0.35">
      <c r="A263" s="12">
        <v>300</v>
      </c>
      <c r="B263" s="12">
        <v>325</v>
      </c>
      <c r="C263" s="11">
        <v>12</v>
      </c>
      <c r="D263" s="12">
        <v>133</v>
      </c>
      <c r="E263" s="11">
        <v>8</v>
      </c>
      <c r="F263" s="12">
        <v>140</v>
      </c>
      <c r="G263" s="11">
        <v>16</v>
      </c>
    </row>
    <row r="264" spans="1:7" x14ac:dyDescent="0.35">
      <c r="A264" s="12">
        <v>300</v>
      </c>
      <c r="B264" s="12">
        <v>325</v>
      </c>
      <c r="C264" s="11">
        <v>14</v>
      </c>
      <c r="D264" s="12">
        <v>133</v>
      </c>
      <c r="E264" s="11">
        <v>8</v>
      </c>
      <c r="F264" s="12">
        <v>140</v>
      </c>
      <c r="G264" s="11">
        <v>18</v>
      </c>
    </row>
    <row r="265" spans="1:7" x14ac:dyDescent="0.35">
      <c r="A265" s="12">
        <v>300</v>
      </c>
      <c r="B265" s="12">
        <v>325</v>
      </c>
      <c r="C265" s="11">
        <v>16</v>
      </c>
      <c r="D265" s="12">
        <v>133</v>
      </c>
      <c r="E265" s="11">
        <v>8</v>
      </c>
      <c r="F265" s="12">
        <v>140</v>
      </c>
      <c r="G265" s="11">
        <v>20</v>
      </c>
    </row>
    <row r="266" spans="1:7" x14ac:dyDescent="0.35">
      <c r="A266" s="12">
        <v>300</v>
      </c>
      <c r="B266" s="12">
        <v>325</v>
      </c>
      <c r="C266" s="11">
        <v>18</v>
      </c>
      <c r="D266" s="12">
        <v>133</v>
      </c>
      <c r="E266" s="11">
        <v>10</v>
      </c>
      <c r="F266" s="12">
        <v>140</v>
      </c>
      <c r="G266" s="11">
        <v>23</v>
      </c>
    </row>
    <row r="267" spans="1:7" x14ac:dyDescent="0.35">
      <c r="A267" s="12">
        <v>300</v>
      </c>
      <c r="B267" s="12">
        <v>325</v>
      </c>
      <c r="C267" s="11">
        <v>22</v>
      </c>
      <c r="D267" s="12">
        <v>133</v>
      </c>
      <c r="E267" s="11">
        <v>10</v>
      </c>
      <c r="F267" s="12">
        <v>140</v>
      </c>
      <c r="G267" s="11">
        <v>28</v>
      </c>
    </row>
    <row r="268" spans="1:7" x14ac:dyDescent="0.35">
      <c r="A268" s="12">
        <v>300</v>
      </c>
      <c r="B268" s="12">
        <v>325</v>
      </c>
      <c r="C268" s="11">
        <v>8</v>
      </c>
      <c r="D268" s="11">
        <v>159</v>
      </c>
      <c r="E268" s="11" t="s">
        <v>2410</v>
      </c>
      <c r="F268" s="12">
        <v>140</v>
      </c>
      <c r="G268" s="11">
        <v>11</v>
      </c>
    </row>
    <row r="269" spans="1:7" x14ac:dyDescent="0.35">
      <c r="A269" s="12">
        <v>300</v>
      </c>
      <c r="B269" s="12">
        <v>325</v>
      </c>
      <c r="C269" s="11">
        <v>10</v>
      </c>
      <c r="D269" s="12">
        <v>159</v>
      </c>
      <c r="E269" s="11">
        <v>6</v>
      </c>
      <c r="F269" s="12">
        <v>140</v>
      </c>
      <c r="G269" s="11">
        <v>14</v>
      </c>
    </row>
    <row r="270" spans="1:7" x14ac:dyDescent="0.35">
      <c r="A270" s="12">
        <v>300</v>
      </c>
      <c r="B270" s="12">
        <v>325</v>
      </c>
      <c r="C270" s="11">
        <v>12</v>
      </c>
      <c r="D270" s="12">
        <v>159</v>
      </c>
      <c r="E270" s="11">
        <v>8</v>
      </c>
      <c r="F270" s="12">
        <v>140</v>
      </c>
      <c r="G270" s="11">
        <v>16</v>
      </c>
    </row>
    <row r="271" spans="1:7" x14ac:dyDescent="0.35">
      <c r="A271" s="12">
        <v>300</v>
      </c>
      <c r="B271" s="12">
        <v>325</v>
      </c>
      <c r="C271" s="11">
        <v>14</v>
      </c>
      <c r="D271" s="12">
        <v>159</v>
      </c>
      <c r="E271" s="11">
        <v>8</v>
      </c>
      <c r="F271" s="12">
        <v>140</v>
      </c>
      <c r="G271" s="11">
        <v>18</v>
      </c>
    </row>
    <row r="272" spans="1:7" x14ac:dyDescent="0.35">
      <c r="A272" s="12">
        <v>300</v>
      </c>
      <c r="B272" s="12">
        <v>325</v>
      </c>
      <c r="C272" s="11">
        <v>16</v>
      </c>
      <c r="D272" s="12">
        <v>159</v>
      </c>
      <c r="E272" s="11">
        <v>10</v>
      </c>
      <c r="F272" s="12">
        <v>140</v>
      </c>
      <c r="G272" s="11">
        <v>20</v>
      </c>
    </row>
    <row r="273" spans="1:7" x14ac:dyDescent="0.35">
      <c r="A273" s="12">
        <v>300</v>
      </c>
      <c r="B273" s="12">
        <v>325</v>
      </c>
      <c r="C273" s="11">
        <v>18</v>
      </c>
      <c r="D273" s="12">
        <v>159</v>
      </c>
      <c r="E273" s="11">
        <v>10</v>
      </c>
      <c r="F273" s="12">
        <v>140</v>
      </c>
      <c r="G273" s="11">
        <v>23</v>
      </c>
    </row>
    <row r="274" spans="1:7" x14ac:dyDescent="0.35">
      <c r="A274" s="12">
        <v>300</v>
      </c>
      <c r="B274" s="12">
        <v>325</v>
      </c>
      <c r="C274" s="11">
        <v>22</v>
      </c>
      <c r="D274" s="12">
        <v>159</v>
      </c>
      <c r="E274" s="11">
        <v>12</v>
      </c>
      <c r="F274" s="12">
        <v>140</v>
      </c>
      <c r="G274" s="11">
        <v>28</v>
      </c>
    </row>
    <row r="275" spans="1:7" x14ac:dyDescent="0.35">
      <c r="A275" s="12">
        <v>300</v>
      </c>
      <c r="B275" s="12">
        <v>325</v>
      </c>
      <c r="C275" s="11">
        <v>8</v>
      </c>
      <c r="D275" s="11">
        <v>168</v>
      </c>
      <c r="E275" s="11">
        <v>4</v>
      </c>
      <c r="F275" s="12">
        <v>140</v>
      </c>
      <c r="G275" s="11">
        <v>11</v>
      </c>
    </row>
    <row r="276" spans="1:7" x14ac:dyDescent="0.35">
      <c r="A276" s="12">
        <v>300</v>
      </c>
      <c r="B276" s="12">
        <v>325</v>
      </c>
      <c r="C276" s="11">
        <v>10</v>
      </c>
      <c r="D276" s="12">
        <v>168</v>
      </c>
      <c r="E276" s="11">
        <v>6</v>
      </c>
      <c r="F276" s="12">
        <v>140</v>
      </c>
      <c r="G276" s="11">
        <v>14</v>
      </c>
    </row>
    <row r="277" spans="1:7" x14ac:dyDescent="0.35">
      <c r="A277" s="12">
        <v>300</v>
      </c>
      <c r="B277" s="12">
        <v>325</v>
      </c>
      <c r="C277" s="11">
        <v>12</v>
      </c>
      <c r="D277" s="12">
        <v>168</v>
      </c>
      <c r="E277" s="11">
        <v>8</v>
      </c>
      <c r="F277" s="12">
        <v>140</v>
      </c>
      <c r="G277" s="11">
        <v>16</v>
      </c>
    </row>
    <row r="278" spans="1:7" x14ac:dyDescent="0.35">
      <c r="A278" s="12">
        <v>300</v>
      </c>
      <c r="B278" s="12">
        <v>325</v>
      </c>
      <c r="C278" s="11">
        <v>14</v>
      </c>
      <c r="D278" s="12">
        <v>168</v>
      </c>
      <c r="E278" s="11">
        <v>8</v>
      </c>
      <c r="F278" s="12">
        <v>140</v>
      </c>
      <c r="G278" s="11">
        <v>18</v>
      </c>
    </row>
    <row r="279" spans="1:7" x14ac:dyDescent="0.35">
      <c r="A279" s="12">
        <v>300</v>
      </c>
      <c r="B279" s="12">
        <v>325</v>
      </c>
      <c r="C279" s="11">
        <v>16</v>
      </c>
      <c r="D279" s="12">
        <v>168</v>
      </c>
      <c r="E279" s="11">
        <v>10</v>
      </c>
      <c r="F279" s="12">
        <v>140</v>
      </c>
      <c r="G279" s="11">
        <v>20</v>
      </c>
    </row>
    <row r="280" spans="1:7" x14ac:dyDescent="0.35">
      <c r="A280" s="12">
        <v>300</v>
      </c>
      <c r="B280" s="12">
        <v>325</v>
      </c>
      <c r="C280" s="11">
        <v>18</v>
      </c>
      <c r="D280" s="12">
        <v>168</v>
      </c>
      <c r="E280" s="11">
        <v>10</v>
      </c>
      <c r="F280" s="12">
        <v>140</v>
      </c>
      <c r="G280" s="11">
        <v>23</v>
      </c>
    </row>
    <row r="281" spans="1:7" x14ac:dyDescent="0.35">
      <c r="A281" s="12">
        <v>300</v>
      </c>
      <c r="B281" s="12">
        <v>325</v>
      </c>
      <c r="C281" s="11">
        <v>22</v>
      </c>
      <c r="D281" s="12">
        <v>168</v>
      </c>
      <c r="E281" s="11">
        <v>12</v>
      </c>
      <c r="F281" s="12">
        <v>140</v>
      </c>
      <c r="G281" s="11">
        <v>28</v>
      </c>
    </row>
    <row r="282" spans="1:7" x14ac:dyDescent="0.35">
      <c r="A282" s="12">
        <v>300</v>
      </c>
      <c r="B282" s="12">
        <v>325</v>
      </c>
      <c r="C282" s="11">
        <v>8</v>
      </c>
      <c r="D282" s="11">
        <v>219</v>
      </c>
      <c r="E282" s="11">
        <v>7</v>
      </c>
      <c r="F282" s="11">
        <v>180</v>
      </c>
      <c r="G282" s="11">
        <v>11</v>
      </c>
    </row>
    <row r="283" spans="1:7" x14ac:dyDescent="0.35">
      <c r="A283" s="12">
        <v>300</v>
      </c>
      <c r="B283" s="12">
        <v>325</v>
      </c>
      <c r="C283" s="11">
        <v>10</v>
      </c>
      <c r="D283" s="12">
        <v>219</v>
      </c>
      <c r="E283" s="11">
        <v>8</v>
      </c>
      <c r="F283" s="12">
        <v>180</v>
      </c>
      <c r="G283" s="11">
        <v>14</v>
      </c>
    </row>
    <row r="284" spans="1:7" x14ac:dyDescent="0.35">
      <c r="A284" s="12">
        <v>300</v>
      </c>
      <c r="B284" s="12">
        <v>325</v>
      </c>
      <c r="C284" s="11">
        <v>12</v>
      </c>
      <c r="D284" s="12">
        <v>219</v>
      </c>
      <c r="E284" s="11">
        <v>10</v>
      </c>
      <c r="F284" s="12">
        <v>180</v>
      </c>
      <c r="G284" s="11">
        <v>17</v>
      </c>
    </row>
    <row r="285" spans="1:7" x14ac:dyDescent="0.35">
      <c r="A285" s="12">
        <v>300</v>
      </c>
      <c r="B285" s="12">
        <v>325</v>
      </c>
      <c r="C285" s="11">
        <v>14</v>
      </c>
      <c r="D285" s="12">
        <v>219</v>
      </c>
      <c r="E285" s="11">
        <v>10</v>
      </c>
      <c r="F285" s="12">
        <v>180</v>
      </c>
      <c r="G285" s="11">
        <v>20</v>
      </c>
    </row>
    <row r="286" spans="1:7" x14ac:dyDescent="0.35">
      <c r="A286" s="12">
        <v>300</v>
      </c>
      <c r="B286" s="12">
        <v>325</v>
      </c>
      <c r="C286" s="11">
        <v>16</v>
      </c>
      <c r="D286" s="12">
        <v>219</v>
      </c>
      <c r="E286" s="11">
        <v>12</v>
      </c>
      <c r="F286" s="12">
        <v>180</v>
      </c>
      <c r="G286" s="11">
        <v>22</v>
      </c>
    </row>
    <row r="287" spans="1:7" x14ac:dyDescent="0.35">
      <c r="A287" s="12">
        <v>300</v>
      </c>
      <c r="B287" s="12">
        <v>325</v>
      </c>
      <c r="C287" s="11">
        <v>18</v>
      </c>
      <c r="D287" s="12">
        <v>219</v>
      </c>
      <c r="E287" s="11">
        <v>14</v>
      </c>
      <c r="F287" s="12">
        <v>180</v>
      </c>
      <c r="G287" s="11">
        <v>25</v>
      </c>
    </row>
    <row r="288" spans="1:7" x14ac:dyDescent="0.35">
      <c r="A288" s="12">
        <v>300</v>
      </c>
      <c r="B288" s="11">
        <v>325</v>
      </c>
      <c r="C288" s="11">
        <v>22</v>
      </c>
      <c r="D288" s="12">
        <v>219</v>
      </c>
      <c r="E288" s="11">
        <v>16</v>
      </c>
      <c r="F288" s="11">
        <v>180</v>
      </c>
      <c r="G288" s="11">
        <v>31</v>
      </c>
    </row>
    <row r="289" spans="1:7" x14ac:dyDescent="0.35">
      <c r="A289" s="12">
        <v>300</v>
      </c>
      <c r="B289" s="12">
        <v>325</v>
      </c>
      <c r="C289" s="11">
        <v>8</v>
      </c>
      <c r="D289" s="11">
        <v>273</v>
      </c>
      <c r="E289" s="11">
        <v>7</v>
      </c>
      <c r="F289" s="12">
        <v>180</v>
      </c>
      <c r="G289" s="11">
        <v>11</v>
      </c>
    </row>
    <row r="290" spans="1:7" x14ac:dyDescent="0.35">
      <c r="A290" s="12">
        <v>300</v>
      </c>
      <c r="B290" s="12">
        <v>325</v>
      </c>
      <c r="C290" s="11">
        <v>10</v>
      </c>
      <c r="D290" s="12">
        <v>273</v>
      </c>
      <c r="E290" s="11">
        <v>10</v>
      </c>
      <c r="F290" s="12">
        <v>180</v>
      </c>
      <c r="G290" s="11">
        <v>14</v>
      </c>
    </row>
    <row r="291" spans="1:7" x14ac:dyDescent="0.35">
      <c r="A291" s="12">
        <v>300</v>
      </c>
      <c r="B291" s="12">
        <v>325</v>
      </c>
      <c r="C291" s="11">
        <v>12</v>
      </c>
      <c r="D291" s="12">
        <v>273</v>
      </c>
      <c r="E291" s="11">
        <v>12</v>
      </c>
      <c r="F291" s="12">
        <v>180</v>
      </c>
      <c r="G291" s="11">
        <v>17</v>
      </c>
    </row>
    <row r="292" spans="1:7" x14ac:dyDescent="0.35">
      <c r="A292" s="12">
        <v>300</v>
      </c>
      <c r="B292" s="12">
        <v>325</v>
      </c>
      <c r="C292" s="11">
        <v>14</v>
      </c>
      <c r="D292" s="12">
        <v>273</v>
      </c>
      <c r="E292" s="11">
        <v>12</v>
      </c>
      <c r="F292" s="12">
        <v>180</v>
      </c>
      <c r="G292" s="11">
        <v>20</v>
      </c>
    </row>
    <row r="293" spans="1:7" x14ac:dyDescent="0.35">
      <c r="A293" s="12">
        <v>300</v>
      </c>
      <c r="B293" s="12">
        <v>325</v>
      </c>
      <c r="C293" s="11">
        <v>16</v>
      </c>
      <c r="D293" s="12">
        <v>273</v>
      </c>
      <c r="E293" s="11">
        <v>14</v>
      </c>
      <c r="F293" s="12">
        <v>180</v>
      </c>
      <c r="G293" s="11">
        <v>22</v>
      </c>
    </row>
    <row r="294" spans="1:7" x14ac:dyDescent="0.35">
      <c r="A294" s="12">
        <v>300</v>
      </c>
      <c r="B294" s="12">
        <v>325</v>
      </c>
      <c r="C294" s="11">
        <v>18</v>
      </c>
      <c r="D294" s="12">
        <v>273</v>
      </c>
      <c r="E294" s="11">
        <v>16</v>
      </c>
      <c r="F294" s="12">
        <v>180</v>
      </c>
      <c r="G294" s="11">
        <v>25</v>
      </c>
    </row>
    <row r="295" spans="1:7" x14ac:dyDescent="0.35">
      <c r="A295" s="12">
        <v>300</v>
      </c>
      <c r="B295" s="12">
        <v>325</v>
      </c>
      <c r="C295" s="11">
        <v>22</v>
      </c>
      <c r="D295" s="12">
        <v>273</v>
      </c>
      <c r="E295" s="11">
        <v>18</v>
      </c>
      <c r="F295" s="12">
        <v>180</v>
      </c>
      <c r="G295" s="11">
        <v>31</v>
      </c>
    </row>
    <row r="296" spans="1:7" x14ac:dyDescent="0.35">
      <c r="A296" s="11">
        <v>350</v>
      </c>
      <c r="B296" s="11">
        <v>377</v>
      </c>
      <c r="C296" s="11">
        <v>12</v>
      </c>
      <c r="D296" s="11">
        <v>159</v>
      </c>
      <c r="E296" s="11">
        <v>6</v>
      </c>
      <c r="F296" s="11">
        <v>220</v>
      </c>
      <c r="G296" s="11">
        <v>22</v>
      </c>
    </row>
    <row r="297" spans="1:7" x14ac:dyDescent="0.35">
      <c r="A297" s="12">
        <v>350</v>
      </c>
      <c r="B297" s="12">
        <v>377</v>
      </c>
      <c r="C297" s="11">
        <v>16</v>
      </c>
      <c r="D297" s="12">
        <v>159</v>
      </c>
      <c r="E297" s="11">
        <v>8</v>
      </c>
      <c r="F297" s="12">
        <v>220</v>
      </c>
      <c r="G297" s="11">
        <v>29</v>
      </c>
    </row>
    <row r="298" spans="1:7" x14ac:dyDescent="0.35">
      <c r="A298" s="12">
        <v>350</v>
      </c>
      <c r="B298" s="12">
        <v>377</v>
      </c>
      <c r="C298" s="11">
        <v>20</v>
      </c>
      <c r="D298" s="12">
        <v>159</v>
      </c>
      <c r="E298" s="11">
        <v>10</v>
      </c>
      <c r="F298" s="12">
        <v>220</v>
      </c>
      <c r="G298" s="11">
        <v>35</v>
      </c>
    </row>
    <row r="299" spans="1:7" x14ac:dyDescent="0.35">
      <c r="A299" s="12">
        <v>350</v>
      </c>
      <c r="B299" s="12">
        <v>377</v>
      </c>
      <c r="C299" s="11">
        <v>24</v>
      </c>
      <c r="D299" s="12">
        <v>159</v>
      </c>
      <c r="E299" s="11">
        <v>12</v>
      </c>
      <c r="F299" s="12">
        <v>220</v>
      </c>
      <c r="G299" s="11">
        <v>42</v>
      </c>
    </row>
    <row r="300" spans="1:7" x14ac:dyDescent="0.35">
      <c r="A300" s="12">
        <v>350</v>
      </c>
      <c r="B300" s="12">
        <v>377</v>
      </c>
      <c r="C300" s="11">
        <v>26</v>
      </c>
      <c r="D300" s="12">
        <v>159</v>
      </c>
      <c r="E300" s="11">
        <v>12</v>
      </c>
      <c r="F300" s="12">
        <v>220</v>
      </c>
      <c r="G300" s="11">
        <v>45</v>
      </c>
    </row>
    <row r="301" spans="1:7" x14ac:dyDescent="0.35">
      <c r="A301" s="12">
        <v>350</v>
      </c>
      <c r="B301" s="12">
        <v>377</v>
      </c>
      <c r="C301" s="11">
        <v>12</v>
      </c>
      <c r="D301" s="11">
        <v>168</v>
      </c>
      <c r="E301" s="11">
        <v>6</v>
      </c>
      <c r="F301" s="12">
        <v>220</v>
      </c>
      <c r="G301" s="11">
        <v>22</v>
      </c>
    </row>
    <row r="302" spans="1:7" x14ac:dyDescent="0.35">
      <c r="A302" s="12">
        <v>350</v>
      </c>
      <c r="B302" s="12">
        <v>377</v>
      </c>
      <c r="C302" s="11">
        <v>16</v>
      </c>
      <c r="D302" s="12">
        <v>168</v>
      </c>
      <c r="E302" s="11">
        <v>8</v>
      </c>
      <c r="F302" s="12">
        <v>220</v>
      </c>
      <c r="G302" s="11">
        <v>29</v>
      </c>
    </row>
    <row r="303" spans="1:7" x14ac:dyDescent="0.35">
      <c r="A303" s="12">
        <v>350</v>
      </c>
      <c r="B303" s="12">
        <v>377</v>
      </c>
      <c r="C303" s="11">
        <v>20</v>
      </c>
      <c r="D303" s="12">
        <v>168</v>
      </c>
      <c r="E303" s="11">
        <v>10</v>
      </c>
      <c r="F303" s="12">
        <v>220</v>
      </c>
      <c r="G303" s="11">
        <v>35</v>
      </c>
    </row>
    <row r="304" spans="1:7" x14ac:dyDescent="0.35">
      <c r="A304" s="12">
        <v>350</v>
      </c>
      <c r="B304" s="12">
        <v>377</v>
      </c>
      <c r="C304" s="11">
        <v>24</v>
      </c>
      <c r="D304" s="12">
        <v>168</v>
      </c>
      <c r="E304" s="11">
        <v>12</v>
      </c>
      <c r="F304" s="12">
        <v>220</v>
      </c>
      <c r="G304" s="11">
        <v>42</v>
      </c>
    </row>
    <row r="305" spans="1:7" x14ac:dyDescent="0.35">
      <c r="A305" s="12">
        <v>350</v>
      </c>
      <c r="B305" s="12">
        <v>377</v>
      </c>
      <c r="C305" s="11">
        <v>26</v>
      </c>
      <c r="D305" s="12">
        <v>168</v>
      </c>
      <c r="E305" s="11">
        <v>12</v>
      </c>
      <c r="F305" s="12">
        <v>220</v>
      </c>
      <c r="G305" s="11">
        <v>45</v>
      </c>
    </row>
    <row r="306" spans="1:7" x14ac:dyDescent="0.35">
      <c r="A306" s="12">
        <v>350</v>
      </c>
      <c r="B306" s="12">
        <v>377</v>
      </c>
      <c r="C306" s="11">
        <v>12</v>
      </c>
      <c r="D306" s="11">
        <v>219</v>
      </c>
      <c r="E306" s="11">
        <v>8</v>
      </c>
      <c r="F306" s="12">
        <v>220</v>
      </c>
      <c r="G306" s="11">
        <v>22</v>
      </c>
    </row>
    <row r="307" spans="1:7" x14ac:dyDescent="0.35">
      <c r="A307" s="12">
        <v>350</v>
      </c>
      <c r="B307" s="12">
        <v>377</v>
      </c>
      <c r="C307" s="11">
        <v>16</v>
      </c>
      <c r="D307" s="12">
        <v>219</v>
      </c>
      <c r="E307" s="11">
        <v>10</v>
      </c>
      <c r="F307" s="12">
        <v>220</v>
      </c>
      <c r="G307" s="11">
        <v>29</v>
      </c>
    </row>
    <row r="308" spans="1:7" x14ac:dyDescent="0.35">
      <c r="A308" s="12">
        <v>350</v>
      </c>
      <c r="B308" s="12">
        <v>377</v>
      </c>
      <c r="C308" s="11">
        <v>20</v>
      </c>
      <c r="D308" s="12">
        <v>219</v>
      </c>
      <c r="E308" s="11">
        <v>12</v>
      </c>
      <c r="F308" s="12">
        <v>220</v>
      </c>
      <c r="G308" s="11">
        <v>35</v>
      </c>
    </row>
    <row r="309" spans="1:7" x14ac:dyDescent="0.35">
      <c r="A309" s="12">
        <v>350</v>
      </c>
      <c r="B309" s="12">
        <v>377</v>
      </c>
      <c r="C309" s="11">
        <v>24</v>
      </c>
      <c r="D309" s="12">
        <v>219</v>
      </c>
      <c r="E309" s="11">
        <v>14</v>
      </c>
      <c r="F309" s="12">
        <v>220</v>
      </c>
      <c r="G309" s="11">
        <v>42</v>
      </c>
    </row>
    <row r="310" spans="1:7" x14ac:dyDescent="0.35">
      <c r="A310" s="12">
        <v>350</v>
      </c>
      <c r="B310" s="12">
        <v>377</v>
      </c>
      <c r="C310" s="11">
        <v>26</v>
      </c>
      <c r="D310" s="12">
        <v>219</v>
      </c>
      <c r="E310" s="11">
        <v>16</v>
      </c>
      <c r="F310" s="12">
        <v>220</v>
      </c>
      <c r="G310" s="11">
        <v>45</v>
      </c>
    </row>
    <row r="311" spans="1:7" x14ac:dyDescent="0.35">
      <c r="A311" s="12">
        <v>350</v>
      </c>
      <c r="B311" s="12">
        <v>377</v>
      </c>
      <c r="C311" s="11">
        <v>10</v>
      </c>
      <c r="D311" s="11">
        <v>273</v>
      </c>
      <c r="E311" s="11">
        <v>7</v>
      </c>
      <c r="F311" s="12">
        <v>220</v>
      </c>
      <c r="G311" s="11">
        <v>20</v>
      </c>
    </row>
    <row r="312" spans="1:7" x14ac:dyDescent="0.35">
      <c r="A312" s="12">
        <v>350</v>
      </c>
      <c r="B312" s="12">
        <v>377</v>
      </c>
      <c r="C312" s="11">
        <v>12</v>
      </c>
      <c r="D312" s="12">
        <v>273</v>
      </c>
      <c r="E312" s="11">
        <v>10</v>
      </c>
      <c r="F312" s="12">
        <v>220</v>
      </c>
      <c r="G312" s="11">
        <v>24</v>
      </c>
    </row>
    <row r="313" spans="1:7" x14ac:dyDescent="0.35">
      <c r="A313" s="12">
        <v>350</v>
      </c>
      <c r="B313" s="12">
        <v>377</v>
      </c>
      <c r="C313" s="11">
        <v>14</v>
      </c>
      <c r="D313" s="12">
        <v>273</v>
      </c>
      <c r="E313" s="11">
        <v>12</v>
      </c>
      <c r="F313" s="12">
        <v>220</v>
      </c>
      <c r="G313" s="11">
        <v>28</v>
      </c>
    </row>
    <row r="314" spans="1:7" x14ac:dyDescent="0.35">
      <c r="A314" s="12">
        <v>350</v>
      </c>
      <c r="B314" s="12">
        <v>377</v>
      </c>
      <c r="C314" s="11">
        <v>16</v>
      </c>
      <c r="D314" s="12">
        <v>273</v>
      </c>
      <c r="E314" s="11">
        <v>12</v>
      </c>
      <c r="F314" s="12">
        <v>220</v>
      </c>
      <c r="G314" s="11">
        <v>31</v>
      </c>
    </row>
    <row r="315" spans="1:7" x14ac:dyDescent="0.35">
      <c r="A315" s="12">
        <v>350</v>
      </c>
      <c r="B315" s="12">
        <v>377</v>
      </c>
      <c r="C315" s="11">
        <v>20</v>
      </c>
      <c r="D315" s="12">
        <v>273</v>
      </c>
      <c r="E315" s="11">
        <v>16</v>
      </c>
      <c r="F315" s="12">
        <v>220</v>
      </c>
      <c r="G315" s="11">
        <v>38</v>
      </c>
    </row>
    <row r="316" spans="1:7" x14ac:dyDescent="0.35">
      <c r="A316" s="12">
        <v>350</v>
      </c>
      <c r="B316" s="12">
        <v>377</v>
      </c>
      <c r="C316" s="11">
        <v>24</v>
      </c>
      <c r="D316" s="12">
        <v>273</v>
      </c>
      <c r="E316" s="11">
        <v>18</v>
      </c>
      <c r="F316" s="12">
        <v>220</v>
      </c>
      <c r="G316" s="11">
        <v>45</v>
      </c>
    </row>
    <row r="317" spans="1:7" x14ac:dyDescent="0.35">
      <c r="A317" s="12">
        <v>350</v>
      </c>
      <c r="B317" s="12">
        <v>377</v>
      </c>
      <c r="C317" s="11">
        <v>26</v>
      </c>
      <c r="D317" s="12">
        <v>273</v>
      </c>
      <c r="E317" s="11">
        <v>18</v>
      </c>
      <c r="F317" s="12">
        <v>220</v>
      </c>
      <c r="G317" s="11">
        <v>49</v>
      </c>
    </row>
    <row r="318" spans="1:7" x14ac:dyDescent="0.35">
      <c r="A318" s="12">
        <v>350</v>
      </c>
      <c r="B318" s="12">
        <v>377</v>
      </c>
      <c r="C318" s="11">
        <v>10</v>
      </c>
      <c r="D318" s="11">
        <v>325</v>
      </c>
      <c r="E318" s="11">
        <v>8</v>
      </c>
      <c r="F318" s="12">
        <v>220</v>
      </c>
      <c r="G318" s="11">
        <v>20</v>
      </c>
    </row>
    <row r="319" spans="1:7" x14ac:dyDescent="0.35">
      <c r="A319" s="12">
        <v>350</v>
      </c>
      <c r="B319" s="12">
        <v>377</v>
      </c>
      <c r="C319" s="11">
        <v>12</v>
      </c>
      <c r="D319" s="12">
        <v>325</v>
      </c>
      <c r="E319" s="11">
        <v>10</v>
      </c>
      <c r="F319" s="12">
        <v>220</v>
      </c>
      <c r="G319" s="11">
        <v>24</v>
      </c>
    </row>
    <row r="320" spans="1:7" x14ac:dyDescent="0.35">
      <c r="A320" s="12">
        <v>350</v>
      </c>
      <c r="B320" s="12">
        <v>377</v>
      </c>
      <c r="C320" s="11">
        <v>14</v>
      </c>
      <c r="D320" s="12">
        <v>325</v>
      </c>
      <c r="E320" s="11">
        <v>12</v>
      </c>
      <c r="F320" s="12">
        <v>220</v>
      </c>
      <c r="G320" s="11">
        <v>28</v>
      </c>
    </row>
    <row r="321" spans="1:7" x14ac:dyDescent="0.35">
      <c r="A321" s="12">
        <v>350</v>
      </c>
      <c r="B321" s="12">
        <v>377</v>
      </c>
      <c r="C321" s="11">
        <v>16</v>
      </c>
      <c r="D321" s="12">
        <v>325</v>
      </c>
      <c r="E321" s="11">
        <v>16</v>
      </c>
      <c r="F321" s="12">
        <v>220</v>
      </c>
      <c r="G321" s="11">
        <v>31</v>
      </c>
    </row>
    <row r="322" spans="1:7" x14ac:dyDescent="0.35">
      <c r="A322" s="12">
        <v>350</v>
      </c>
      <c r="B322" s="12">
        <v>377</v>
      </c>
      <c r="C322" s="11">
        <v>20</v>
      </c>
      <c r="D322" s="12">
        <v>325</v>
      </c>
      <c r="E322" s="11">
        <v>18</v>
      </c>
      <c r="F322" s="12">
        <v>220</v>
      </c>
      <c r="G322" s="11">
        <v>38</v>
      </c>
    </row>
    <row r="323" spans="1:7" x14ac:dyDescent="0.35">
      <c r="A323" s="12">
        <v>350</v>
      </c>
      <c r="B323" s="12">
        <v>377</v>
      </c>
      <c r="C323" s="11">
        <v>24</v>
      </c>
      <c r="D323" s="12">
        <v>325</v>
      </c>
      <c r="E323" s="11">
        <v>22</v>
      </c>
      <c r="F323" s="12">
        <v>220</v>
      </c>
      <c r="G323" s="11">
        <v>45</v>
      </c>
    </row>
    <row r="324" spans="1:7" x14ac:dyDescent="0.35">
      <c r="A324" s="12">
        <v>350</v>
      </c>
      <c r="B324" s="12">
        <v>377</v>
      </c>
      <c r="C324" s="11">
        <v>26</v>
      </c>
      <c r="D324" s="12">
        <v>325</v>
      </c>
      <c r="E324" s="11">
        <v>22</v>
      </c>
      <c r="F324" s="12">
        <v>220</v>
      </c>
      <c r="G324" s="11">
        <v>49</v>
      </c>
    </row>
    <row r="325" spans="1:7" x14ac:dyDescent="0.35">
      <c r="A325" s="11">
        <v>400</v>
      </c>
      <c r="B325" s="11">
        <v>426</v>
      </c>
      <c r="C325" s="11">
        <v>12</v>
      </c>
      <c r="D325" s="11">
        <v>159</v>
      </c>
      <c r="E325" s="11">
        <v>8</v>
      </c>
      <c r="F325" s="12">
        <v>220</v>
      </c>
      <c r="G325" s="11">
        <v>37</v>
      </c>
    </row>
    <row r="326" spans="1:7" x14ac:dyDescent="0.35">
      <c r="A326" s="12">
        <v>400</v>
      </c>
      <c r="B326" s="12">
        <v>426</v>
      </c>
      <c r="C326" s="11">
        <v>16</v>
      </c>
      <c r="D326" s="12">
        <v>159</v>
      </c>
      <c r="E326" s="11">
        <v>10</v>
      </c>
      <c r="F326" s="12">
        <v>220</v>
      </c>
      <c r="G326" s="11">
        <v>53</v>
      </c>
    </row>
    <row r="327" spans="1:7" x14ac:dyDescent="0.35">
      <c r="A327" s="12">
        <v>400</v>
      </c>
      <c r="B327" s="12">
        <v>426</v>
      </c>
      <c r="C327" s="11">
        <v>20</v>
      </c>
      <c r="D327" s="12">
        <v>159</v>
      </c>
      <c r="E327" s="11">
        <v>10</v>
      </c>
      <c r="F327" s="12">
        <v>220</v>
      </c>
      <c r="G327" s="11">
        <v>65</v>
      </c>
    </row>
    <row r="328" spans="1:7" x14ac:dyDescent="0.35">
      <c r="A328" s="12">
        <v>400</v>
      </c>
      <c r="B328" s="12">
        <v>426</v>
      </c>
      <c r="C328" s="11">
        <v>22</v>
      </c>
      <c r="D328" s="12">
        <v>159</v>
      </c>
      <c r="E328" s="11">
        <v>10</v>
      </c>
      <c r="F328" s="12">
        <v>220</v>
      </c>
      <c r="G328" s="11">
        <v>71</v>
      </c>
    </row>
    <row r="329" spans="1:7" x14ac:dyDescent="0.35">
      <c r="A329" s="12">
        <v>400</v>
      </c>
      <c r="B329" s="12">
        <v>426</v>
      </c>
      <c r="C329" s="11">
        <v>26</v>
      </c>
      <c r="D329" s="12">
        <v>159</v>
      </c>
      <c r="E329" s="11">
        <v>12</v>
      </c>
      <c r="F329" s="12">
        <v>220</v>
      </c>
      <c r="G329" s="11">
        <v>83</v>
      </c>
    </row>
    <row r="330" spans="1:7" x14ac:dyDescent="0.35">
      <c r="A330" s="12">
        <v>400</v>
      </c>
      <c r="B330" s="12">
        <v>426</v>
      </c>
      <c r="C330" s="11">
        <v>28</v>
      </c>
      <c r="D330" s="12">
        <v>159</v>
      </c>
      <c r="E330" s="11">
        <v>12</v>
      </c>
      <c r="F330" s="12">
        <v>220</v>
      </c>
      <c r="G330" s="11">
        <v>89</v>
      </c>
    </row>
    <row r="331" spans="1:7" x14ac:dyDescent="0.35">
      <c r="A331" s="12">
        <v>400</v>
      </c>
      <c r="B331" s="12">
        <v>426</v>
      </c>
      <c r="C331" s="11">
        <v>12</v>
      </c>
      <c r="D331" s="11">
        <v>168</v>
      </c>
      <c r="E331" s="11">
        <v>8</v>
      </c>
      <c r="F331" s="12">
        <v>220</v>
      </c>
      <c r="G331" s="11">
        <v>37</v>
      </c>
    </row>
    <row r="332" spans="1:7" x14ac:dyDescent="0.35">
      <c r="A332" s="12">
        <v>400</v>
      </c>
      <c r="B332" s="12">
        <v>426</v>
      </c>
      <c r="C332" s="11">
        <v>16</v>
      </c>
      <c r="D332" s="12">
        <v>168</v>
      </c>
      <c r="E332" s="11">
        <v>10</v>
      </c>
      <c r="F332" s="12">
        <v>220</v>
      </c>
      <c r="G332" s="11">
        <v>53</v>
      </c>
    </row>
    <row r="333" spans="1:7" x14ac:dyDescent="0.35">
      <c r="A333" s="12">
        <v>400</v>
      </c>
      <c r="B333" s="12">
        <v>426</v>
      </c>
      <c r="C333" s="11">
        <v>20</v>
      </c>
      <c r="D333" s="12">
        <v>168</v>
      </c>
      <c r="E333" s="11">
        <v>10</v>
      </c>
      <c r="F333" s="12">
        <v>220</v>
      </c>
      <c r="G333" s="11">
        <v>65</v>
      </c>
    </row>
    <row r="334" spans="1:7" x14ac:dyDescent="0.35">
      <c r="A334" s="12">
        <v>400</v>
      </c>
      <c r="B334" s="12">
        <v>426</v>
      </c>
      <c r="C334" s="11">
        <v>22</v>
      </c>
      <c r="D334" s="12">
        <v>168</v>
      </c>
      <c r="E334" s="11">
        <v>10</v>
      </c>
      <c r="F334" s="12">
        <v>220</v>
      </c>
      <c r="G334" s="11">
        <v>71</v>
      </c>
    </row>
    <row r="335" spans="1:7" x14ac:dyDescent="0.35">
      <c r="A335" s="12">
        <v>400</v>
      </c>
      <c r="B335" s="12">
        <v>426</v>
      </c>
      <c r="C335" s="11">
        <v>26</v>
      </c>
      <c r="D335" s="12">
        <v>168</v>
      </c>
      <c r="E335" s="11">
        <v>12</v>
      </c>
      <c r="F335" s="12">
        <v>220</v>
      </c>
      <c r="G335" s="11">
        <v>83</v>
      </c>
    </row>
    <row r="336" spans="1:7" x14ac:dyDescent="0.35">
      <c r="A336" s="12">
        <v>400</v>
      </c>
      <c r="B336" s="12">
        <v>426</v>
      </c>
      <c r="C336" s="11">
        <v>28</v>
      </c>
      <c r="D336" s="12">
        <v>168</v>
      </c>
      <c r="E336" s="11">
        <v>12</v>
      </c>
      <c r="F336" s="12">
        <v>220</v>
      </c>
      <c r="G336" s="11">
        <v>89</v>
      </c>
    </row>
    <row r="337" spans="1:7" x14ac:dyDescent="0.35">
      <c r="A337" s="12">
        <v>400</v>
      </c>
      <c r="B337" s="12">
        <v>426</v>
      </c>
      <c r="C337" s="11">
        <v>12</v>
      </c>
      <c r="D337" s="11">
        <v>219</v>
      </c>
      <c r="E337" s="11">
        <v>8</v>
      </c>
      <c r="F337" s="12">
        <v>220</v>
      </c>
      <c r="G337" s="11">
        <v>32</v>
      </c>
    </row>
    <row r="338" spans="1:7" x14ac:dyDescent="0.35">
      <c r="A338" s="12">
        <v>400</v>
      </c>
      <c r="B338" s="12">
        <v>426</v>
      </c>
      <c r="C338" s="11">
        <v>16</v>
      </c>
      <c r="D338" s="12">
        <v>219</v>
      </c>
      <c r="E338" s="11">
        <v>10</v>
      </c>
      <c r="F338" s="12">
        <v>220</v>
      </c>
      <c r="G338" s="11">
        <v>45</v>
      </c>
    </row>
    <row r="339" spans="1:7" x14ac:dyDescent="0.35">
      <c r="A339" s="12">
        <v>400</v>
      </c>
      <c r="B339" s="12">
        <v>426</v>
      </c>
      <c r="C339" s="11">
        <v>20</v>
      </c>
      <c r="D339" s="12">
        <v>219</v>
      </c>
      <c r="E339" s="11">
        <v>12</v>
      </c>
      <c r="F339" s="12">
        <v>220</v>
      </c>
      <c r="G339" s="11">
        <v>56</v>
      </c>
    </row>
    <row r="340" spans="1:7" x14ac:dyDescent="0.35">
      <c r="A340" s="12">
        <v>400</v>
      </c>
      <c r="B340" s="12">
        <v>426</v>
      </c>
      <c r="C340" s="11">
        <v>22</v>
      </c>
      <c r="D340" s="12">
        <v>219</v>
      </c>
      <c r="E340" s="11">
        <v>12</v>
      </c>
      <c r="F340" s="12">
        <v>220</v>
      </c>
      <c r="G340" s="11">
        <v>61</v>
      </c>
    </row>
    <row r="341" spans="1:7" x14ac:dyDescent="0.35">
      <c r="A341" s="12">
        <v>400</v>
      </c>
      <c r="B341" s="12">
        <v>426</v>
      </c>
      <c r="C341" s="11">
        <v>26</v>
      </c>
      <c r="D341" s="12">
        <v>219</v>
      </c>
      <c r="E341" s="11">
        <v>14</v>
      </c>
      <c r="F341" s="12">
        <v>220</v>
      </c>
      <c r="G341" s="11">
        <v>72</v>
      </c>
    </row>
    <row r="342" spans="1:7" x14ac:dyDescent="0.35">
      <c r="A342" s="12">
        <v>400</v>
      </c>
      <c r="B342" s="12">
        <v>426</v>
      </c>
      <c r="C342" s="11">
        <v>28</v>
      </c>
      <c r="D342" s="12">
        <v>219</v>
      </c>
      <c r="E342" s="11">
        <v>16</v>
      </c>
      <c r="F342" s="12">
        <v>220</v>
      </c>
      <c r="G342" s="11">
        <v>76</v>
      </c>
    </row>
    <row r="343" spans="1:7" x14ac:dyDescent="0.35">
      <c r="A343" s="12">
        <v>400</v>
      </c>
      <c r="B343" s="12">
        <v>426</v>
      </c>
      <c r="C343" s="11">
        <v>12</v>
      </c>
      <c r="D343" s="11">
        <v>273</v>
      </c>
      <c r="E343" s="11">
        <v>10</v>
      </c>
      <c r="F343" s="12">
        <v>220</v>
      </c>
      <c r="G343" s="11">
        <v>27</v>
      </c>
    </row>
    <row r="344" spans="1:7" x14ac:dyDescent="0.35">
      <c r="A344" s="12">
        <v>400</v>
      </c>
      <c r="B344" s="12">
        <v>426</v>
      </c>
      <c r="C344" s="11">
        <v>16</v>
      </c>
      <c r="D344" s="12">
        <v>273</v>
      </c>
      <c r="E344" s="11">
        <v>12</v>
      </c>
      <c r="F344" s="12">
        <v>220</v>
      </c>
      <c r="G344" s="11">
        <v>36</v>
      </c>
    </row>
    <row r="345" spans="1:7" x14ac:dyDescent="0.35">
      <c r="A345" s="12">
        <v>400</v>
      </c>
      <c r="B345" s="12">
        <v>426</v>
      </c>
      <c r="C345" s="11">
        <v>20</v>
      </c>
      <c r="D345" s="12">
        <v>273</v>
      </c>
      <c r="E345" s="11">
        <v>14</v>
      </c>
      <c r="F345" s="12">
        <v>220</v>
      </c>
      <c r="G345" s="11">
        <v>44</v>
      </c>
    </row>
    <row r="346" spans="1:7" x14ac:dyDescent="0.35">
      <c r="A346" s="12">
        <v>400</v>
      </c>
      <c r="B346" s="12">
        <v>426</v>
      </c>
      <c r="C346" s="11">
        <v>22</v>
      </c>
      <c r="D346" s="12">
        <v>273</v>
      </c>
      <c r="E346" s="11">
        <v>14</v>
      </c>
      <c r="F346" s="12">
        <v>220</v>
      </c>
      <c r="G346" s="11">
        <v>48</v>
      </c>
    </row>
    <row r="347" spans="1:7" x14ac:dyDescent="0.35">
      <c r="A347" s="12">
        <v>400</v>
      </c>
      <c r="B347" s="12">
        <v>426</v>
      </c>
      <c r="C347" s="11">
        <v>26</v>
      </c>
      <c r="D347" s="12">
        <v>273</v>
      </c>
      <c r="E347" s="11">
        <v>18</v>
      </c>
      <c r="F347" s="12">
        <v>220</v>
      </c>
      <c r="G347" s="11">
        <v>56</v>
      </c>
    </row>
    <row r="348" spans="1:7" x14ac:dyDescent="0.35">
      <c r="A348" s="12">
        <v>400</v>
      </c>
      <c r="B348" s="12">
        <v>426</v>
      </c>
      <c r="C348" s="11">
        <v>28</v>
      </c>
      <c r="D348" s="12">
        <v>273</v>
      </c>
      <c r="E348" s="11">
        <v>18</v>
      </c>
      <c r="F348" s="12">
        <v>220</v>
      </c>
      <c r="G348" s="11">
        <v>59</v>
      </c>
    </row>
    <row r="349" spans="1:7" x14ac:dyDescent="0.35">
      <c r="A349" s="12">
        <v>400</v>
      </c>
      <c r="B349" s="12">
        <v>426</v>
      </c>
      <c r="C349" s="11">
        <v>10</v>
      </c>
      <c r="D349" s="11">
        <v>325</v>
      </c>
      <c r="E349" s="11">
        <v>8</v>
      </c>
      <c r="F349" s="12">
        <v>220</v>
      </c>
      <c r="G349" s="11">
        <v>23</v>
      </c>
    </row>
    <row r="350" spans="1:7" x14ac:dyDescent="0.35">
      <c r="A350" s="12">
        <v>400</v>
      </c>
      <c r="B350" s="12">
        <v>426</v>
      </c>
      <c r="C350" s="11">
        <v>12</v>
      </c>
      <c r="D350" s="12">
        <v>325</v>
      </c>
      <c r="E350" s="11">
        <v>10</v>
      </c>
      <c r="F350" s="12">
        <v>220</v>
      </c>
      <c r="G350" s="11">
        <v>27</v>
      </c>
    </row>
    <row r="351" spans="1:7" x14ac:dyDescent="0.35">
      <c r="A351" s="12">
        <v>400</v>
      </c>
      <c r="B351" s="12">
        <v>426</v>
      </c>
      <c r="C351" s="11">
        <v>14</v>
      </c>
      <c r="D351" s="12">
        <v>325</v>
      </c>
      <c r="E351" s="11">
        <v>12</v>
      </c>
      <c r="F351" s="12">
        <v>220</v>
      </c>
      <c r="G351" s="11">
        <v>31</v>
      </c>
    </row>
    <row r="352" spans="1:7" x14ac:dyDescent="0.35">
      <c r="A352" s="12">
        <v>400</v>
      </c>
      <c r="B352" s="12">
        <v>426</v>
      </c>
      <c r="C352" s="11">
        <v>16</v>
      </c>
      <c r="D352" s="12">
        <v>325</v>
      </c>
      <c r="E352" s="11">
        <v>12</v>
      </c>
      <c r="F352" s="12">
        <v>220</v>
      </c>
      <c r="G352" s="11">
        <v>36</v>
      </c>
    </row>
    <row r="353" spans="1:7" x14ac:dyDescent="0.35">
      <c r="A353" s="12">
        <v>400</v>
      </c>
      <c r="B353" s="12">
        <v>426</v>
      </c>
      <c r="C353" s="11">
        <v>20</v>
      </c>
      <c r="D353" s="12">
        <v>325</v>
      </c>
      <c r="E353" s="11">
        <v>16</v>
      </c>
      <c r="F353" s="12">
        <v>220</v>
      </c>
      <c r="G353" s="11">
        <v>44</v>
      </c>
    </row>
    <row r="354" spans="1:7" x14ac:dyDescent="0.35">
      <c r="A354" s="12">
        <v>400</v>
      </c>
      <c r="B354" s="12">
        <v>426</v>
      </c>
      <c r="C354" s="11">
        <v>22</v>
      </c>
      <c r="D354" s="12">
        <v>325</v>
      </c>
      <c r="E354" s="11">
        <v>18</v>
      </c>
      <c r="F354" s="12">
        <v>220</v>
      </c>
      <c r="G354" s="11">
        <v>48</v>
      </c>
    </row>
    <row r="355" spans="1:7" x14ac:dyDescent="0.35">
      <c r="A355" s="12">
        <v>400</v>
      </c>
      <c r="B355" s="12">
        <v>426</v>
      </c>
      <c r="C355" s="11">
        <v>26</v>
      </c>
      <c r="D355" s="12">
        <v>325</v>
      </c>
      <c r="E355" s="11">
        <v>20</v>
      </c>
      <c r="F355" s="12">
        <v>220</v>
      </c>
      <c r="G355" s="11">
        <v>56</v>
      </c>
    </row>
    <row r="356" spans="1:7" x14ac:dyDescent="0.35">
      <c r="A356" s="12">
        <v>400</v>
      </c>
      <c r="B356" s="12">
        <v>426</v>
      </c>
      <c r="C356" s="11">
        <v>28</v>
      </c>
      <c r="D356" s="12">
        <v>325</v>
      </c>
      <c r="E356" s="11">
        <v>22</v>
      </c>
      <c r="F356" s="12">
        <v>220</v>
      </c>
      <c r="G356" s="11">
        <v>59</v>
      </c>
    </row>
    <row r="357" spans="1:7" x14ac:dyDescent="0.35">
      <c r="A357" s="12">
        <v>400</v>
      </c>
      <c r="B357" s="12">
        <v>426</v>
      </c>
      <c r="C357" s="11">
        <v>10</v>
      </c>
      <c r="D357" s="11">
        <v>377</v>
      </c>
      <c r="E357" s="11">
        <v>10</v>
      </c>
      <c r="F357" s="12">
        <v>220</v>
      </c>
      <c r="G357" s="11">
        <v>23</v>
      </c>
    </row>
    <row r="358" spans="1:7" x14ac:dyDescent="0.35">
      <c r="A358" s="12">
        <v>400</v>
      </c>
      <c r="B358" s="12">
        <v>426</v>
      </c>
      <c r="C358" s="11">
        <v>12</v>
      </c>
      <c r="D358" s="12">
        <v>377</v>
      </c>
      <c r="E358" s="11">
        <v>12</v>
      </c>
      <c r="F358" s="12">
        <v>220</v>
      </c>
      <c r="G358" s="11">
        <v>27</v>
      </c>
    </row>
    <row r="359" spans="1:7" x14ac:dyDescent="0.35">
      <c r="A359" s="12">
        <v>400</v>
      </c>
      <c r="B359" s="12">
        <v>426</v>
      </c>
      <c r="C359" s="11">
        <v>14</v>
      </c>
      <c r="D359" s="12">
        <v>377</v>
      </c>
      <c r="E359" s="11">
        <v>14</v>
      </c>
      <c r="F359" s="12">
        <v>220</v>
      </c>
      <c r="G359" s="11">
        <v>31</v>
      </c>
    </row>
    <row r="360" spans="1:7" x14ac:dyDescent="0.35">
      <c r="A360" s="12">
        <v>400</v>
      </c>
      <c r="B360" s="12">
        <v>426</v>
      </c>
      <c r="C360" s="11">
        <v>16</v>
      </c>
      <c r="D360" s="12">
        <v>377</v>
      </c>
      <c r="E360" s="11">
        <v>16</v>
      </c>
      <c r="F360" s="12">
        <v>220</v>
      </c>
      <c r="G360" s="11">
        <v>36</v>
      </c>
    </row>
    <row r="361" spans="1:7" x14ac:dyDescent="0.35">
      <c r="A361" s="12">
        <v>400</v>
      </c>
      <c r="B361" s="12">
        <v>426</v>
      </c>
      <c r="C361" s="11">
        <v>20</v>
      </c>
      <c r="D361" s="12">
        <v>377</v>
      </c>
      <c r="E361" s="11">
        <v>20</v>
      </c>
      <c r="F361" s="12">
        <v>220</v>
      </c>
      <c r="G361" s="11">
        <v>44</v>
      </c>
    </row>
    <row r="362" spans="1:7" x14ac:dyDescent="0.35">
      <c r="A362" s="12">
        <v>400</v>
      </c>
      <c r="B362" s="12">
        <v>426</v>
      </c>
      <c r="C362" s="11">
        <v>22</v>
      </c>
      <c r="D362" s="12">
        <v>377</v>
      </c>
      <c r="E362" s="11">
        <v>20</v>
      </c>
      <c r="F362" s="12">
        <v>220</v>
      </c>
      <c r="G362" s="11">
        <v>48</v>
      </c>
    </row>
    <row r="363" spans="1:7" x14ac:dyDescent="0.35">
      <c r="A363" s="12">
        <v>400</v>
      </c>
      <c r="B363" s="12">
        <v>426</v>
      </c>
      <c r="C363" s="11">
        <v>26</v>
      </c>
      <c r="D363" s="12">
        <v>377</v>
      </c>
      <c r="E363" s="11">
        <v>24</v>
      </c>
      <c r="F363" s="12">
        <v>220</v>
      </c>
      <c r="G363" s="11">
        <v>56</v>
      </c>
    </row>
    <row r="364" spans="1:7" x14ac:dyDescent="0.35">
      <c r="A364" s="12">
        <v>400</v>
      </c>
      <c r="B364" s="12">
        <v>426</v>
      </c>
      <c r="C364" s="11">
        <v>28</v>
      </c>
      <c r="D364" s="12">
        <v>377</v>
      </c>
      <c r="E364" s="11">
        <v>26</v>
      </c>
      <c r="F364" s="12">
        <v>220</v>
      </c>
      <c r="G364" s="11">
        <v>59</v>
      </c>
    </row>
    <row r="365" spans="1:7" x14ac:dyDescent="0.35">
      <c r="A365" s="11">
        <v>500</v>
      </c>
      <c r="B365" s="11">
        <v>530</v>
      </c>
      <c r="C365" s="11">
        <v>12</v>
      </c>
      <c r="D365" s="11">
        <v>377</v>
      </c>
      <c r="E365" s="11">
        <v>10</v>
      </c>
      <c r="F365" s="11">
        <v>300</v>
      </c>
      <c r="G365" s="11">
        <v>46</v>
      </c>
    </row>
    <row r="366" spans="1:7" x14ac:dyDescent="0.35">
      <c r="A366" s="12">
        <v>500</v>
      </c>
      <c r="B366" s="12">
        <v>530</v>
      </c>
      <c r="C366" s="11">
        <v>14</v>
      </c>
      <c r="D366" s="12">
        <v>377</v>
      </c>
      <c r="E366" s="11">
        <v>12</v>
      </c>
      <c r="F366" s="12">
        <v>300</v>
      </c>
      <c r="G366" s="11">
        <v>54</v>
      </c>
    </row>
    <row r="367" spans="1:7" x14ac:dyDescent="0.35">
      <c r="A367" s="12">
        <v>500</v>
      </c>
      <c r="B367" s="12">
        <v>530</v>
      </c>
      <c r="C367" s="11">
        <v>16</v>
      </c>
      <c r="D367" s="12">
        <v>377</v>
      </c>
      <c r="E367" s="11">
        <v>12</v>
      </c>
      <c r="F367" s="12">
        <v>300</v>
      </c>
      <c r="G367" s="11">
        <v>61</v>
      </c>
    </row>
    <row r="368" spans="1:7" x14ac:dyDescent="0.35">
      <c r="A368" s="12">
        <v>500</v>
      </c>
      <c r="B368" s="12">
        <v>530</v>
      </c>
      <c r="C368" s="11">
        <v>20</v>
      </c>
      <c r="D368" s="12">
        <v>377</v>
      </c>
      <c r="E368" s="11">
        <v>16</v>
      </c>
      <c r="F368" s="12">
        <v>300</v>
      </c>
      <c r="G368" s="11">
        <v>75</v>
      </c>
    </row>
    <row r="369" spans="1:7" x14ac:dyDescent="0.35">
      <c r="A369" s="12">
        <v>500</v>
      </c>
      <c r="B369" s="12">
        <v>530</v>
      </c>
      <c r="C369" s="11">
        <v>22</v>
      </c>
      <c r="D369" s="12">
        <v>377</v>
      </c>
      <c r="E369" s="11">
        <v>20</v>
      </c>
      <c r="F369" s="12">
        <v>300</v>
      </c>
      <c r="G369" s="11">
        <v>81</v>
      </c>
    </row>
    <row r="370" spans="1:7" x14ac:dyDescent="0.35">
      <c r="A370" s="12">
        <v>500</v>
      </c>
      <c r="B370" s="12">
        <v>530</v>
      </c>
      <c r="C370" s="11">
        <v>26</v>
      </c>
      <c r="D370" s="12">
        <v>377</v>
      </c>
      <c r="E370" s="11">
        <v>22</v>
      </c>
      <c r="F370" s="12">
        <v>300</v>
      </c>
      <c r="G370" s="11">
        <v>94</v>
      </c>
    </row>
    <row r="371" spans="1:7" x14ac:dyDescent="0.35">
      <c r="A371" s="12">
        <v>500</v>
      </c>
      <c r="B371" s="12">
        <v>530</v>
      </c>
      <c r="C371" s="11">
        <v>12</v>
      </c>
      <c r="D371" s="11">
        <v>426</v>
      </c>
      <c r="E371" s="11">
        <v>10</v>
      </c>
      <c r="F371" s="12">
        <v>300</v>
      </c>
      <c r="G371" s="11">
        <v>46</v>
      </c>
    </row>
    <row r="372" spans="1:7" x14ac:dyDescent="0.35">
      <c r="A372" s="12">
        <v>500</v>
      </c>
      <c r="B372" s="12">
        <v>530</v>
      </c>
      <c r="C372" s="11">
        <v>14</v>
      </c>
      <c r="D372" s="12">
        <v>426</v>
      </c>
      <c r="E372" s="11">
        <v>12</v>
      </c>
      <c r="F372" s="12">
        <v>300</v>
      </c>
      <c r="G372" s="11">
        <v>54</v>
      </c>
    </row>
    <row r="373" spans="1:7" x14ac:dyDescent="0.35">
      <c r="A373" s="12">
        <v>500</v>
      </c>
      <c r="B373" s="12">
        <v>530</v>
      </c>
      <c r="C373" s="11">
        <v>16</v>
      </c>
      <c r="D373" s="12">
        <v>426</v>
      </c>
      <c r="E373" s="11">
        <v>16</v>
      </c>
      <c r="F373" s="12">
        <v>300</v>
      </c>
      <c r="G373" s="11">
        <v>61</v>
      </c>
    </row>
    <row r="374" spans="1:7" x14ac:dyDescent="0.35">
      <c r="A374" s="12">
        <v>500</v>
      </c>
      <c r="B374" s="12">
        <v>530</v>
      </c>
      <c r="C374" s="11">
        <v>20</v>
      </c>
      <c r="D374" s="12">
        <v>426</v>
      </c>
      <c r="E374" s="11">
        <v>16</v>
      </c>
      <c r="F374" s="12">
        <v>300</v>
      </c>
      <c r="G374" s="11">
        <v>75</v>
      </c>
    </row>
    <row r="375" spans="1:7" x14ac:dyDescent="0.35">
      <c r="A375" s="12">
        <v>500</v>
      </c>
      <c r="B375" s="12">
        <v>530</v>
      </c>
      <c r="C375" s="11">
        <v>22</v>
      </c>
      <c r="D375" s="12">
        <v>426</v>
      </c>
      <c r="E375" s="11">
        <v>20</v>
      </c>
      <c r="F375" s="12">
        <v>300</v>
      </c>
      <c r="G375" s="11">
        <v>81</v>
      </c>
    </row>
    <row r="376" spans="1:7" x14ac:dyDescent="0.35">
      <c r="A376" s="12">
        <v>500</v>
      </c>
      <c r="B376" s="12">
        <v>530</v>
      </c>
      <c r="C376" s="11">
        <v>26</v>
      </c>
      <c r="D376" s="12">
        <v>426</v>
      </c>
      <c r="E376" s="11">
        <v>22</v>
      </c>
      <c r="F376" s="12">
        <v>300</v>
      </c>
      <c r="G376" s="11">
        <v>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R47" sqref="R47"/>
    </sheetView>
  </sheetViews>
  <sheetFormatPr defaultRowHeight="14.5" x14ac:dyDescent="0.35"/>
  <sheetData>
    <row r="1" spans="1:8" ht="30" customHeight="1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2982</v>
      </c>
    </row>
    <row r="2" spans="1:8" x14ac:dyDescent="0.35">
      <c r="A2" t="s">
        <v>3075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2988</v>
      </c>
      <c r="H2" t="s">
        <v>2399</v>
      </c>
    </row>
    <row r="3" spans="1:8" x14ac:dyDescent="0.35">
      <c r="A3" t="s">
        <v>3076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2989</v>
      </c>
      <c r="H3" t="s">
        <v>2399</v>
      </c>
    </row>
    <row r="4" spans="1:8" x14ac:dyDescent="0.35">
      <c r="A4" t="s">
        <v>3077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2990</v>
      </c>
      <c r="H4" t="s">
        <v>2399</v>
      </c>
    </row>
    <row r="5" spans="1:8" x14ac:dyDescent="0.35">
      <c r="A5" t="s">
        <v>3078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2991</v>
      </c>
      <c r="H5" t="s">
        <v>2399</v>
      </c>
    </row>
    <row r="6" spans="1:8" x14ac:dyDescent="0.35">
      <c r="A6" t="s">
        <v>3079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2992</v>
      </c>
      <c r="H6" t="s">
        <v>2399</v>
      </c>
    </row>
    <row r="7" spans="1:8" x14ac:dyDescent="0.35">
      <c r="A7" t="s">
        <v>3080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2993</v>
      </c>
      <c r="H7" t="s">
        <v>2399</v>
      </c>
    </row>
    <row r="8" spans="1:8" x14ac:dyDescent="0.35">
      <c r="A8" t="s">
        <v>3081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2399</v>
      </c>
    </row>
    <row r="9" spans="1:8" x14ac:dyDescent="0.35">
      <c r="A9" t="s">
        <v>3079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2826</v>
      </c>
      <c r="H9" t="s">
        <v>2399</v>
      </c>
    </row>
    <row r="10" spans="1:8" x14ac:dyDescent="0.35">
      <c r="A10" t="s">
        <v>3082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2994</v>
      </c>
      <c r="H10" t="s">
        <v>2399</v>
      </c>
    </row>
    <row r="11" spans="1:8" x14ac:dyDescent="0.35">
      <c r="A11" t="s">
        <v>3083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2995</v>
      </c>
      <c r="H11" t="s">
        <v>2399</v>
      </c>
    </row>
    <row r="12" spans="1:8" x14ac:dyDescent="0.35">
      <c r="A12" t="s">
        <v>3084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2996</v>
      </c>
      <c r="H12" t="s">
        <v>2399</v>
      </c>
    </row>
    <row r="13" spans="1:8" x14ac:dyDescent="0.35">
      <c r="A13" t="s">
        <v>3085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2997</v>
      </c>
      <c r="H13" t="s">
        <v>2399</v>
      </c>
    </row>
    <row r="14" spans="1:8" x14ac:dyDescent="0.35">
      <c r="A14" t="s">
        <v>3086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2998</v>
      </c>
      <c r="H14" t="s">
        <v>2399</v>
      </c>
    </row>
    <row r="15" spans="1:8" x14ac:dyDescent="0.35">
      <c r="A15" t="s">
        <v>3087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2999</v>
      </c>
      <c r="H15" t="s">
        <v>2399</v>
      </c>
    </row>
    <row r="16" spans="1:8" x14ac:dyDescent="0.35">
      <c r="A16" t="s">
        <v>3088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3000</v>
      </c>
      <c r="H16" t="s">
        <v>2399</v>
      </c>
    </row>
    <row r="17" spans="1:8" x14ac:dyDescent="0.35">
      <c r="A17" t="s">
        <v>3089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3001</v>
      </c>
      <c r="H17" t="s">
        <v>2399</v>
      </c>
    </row>
    <row r="18" spans="1:8" x14ac:dyDescent="0.35">
      <c r="A18" t="s">
        <v>3090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3002</v>
      </c>
      <c r="H18" t="s">
        <v>2399</v>
      </c>
    </row>
    <row r="19" spans="1:8" x14ac:dyDescent="0.35">
      <c r="A19" t="s">
        <v>3091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3003</v>
      </c>
      <c r="H19" t="s">
        <v>2399</v>
      </c>
    </row>
    <row r="20" spans="1:8" x14ac:dyDescent="0.35">
      <c r="A20" t="s">
        <v>3092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3004</v>
      </c>
      <c r="H20" t="s">
        <v>2399</v>
      </c>
    </row>
    <row r="21" spans="1:8" x14ac:dyDescent="0.35">
      <c r="A21" t="s">
        <v>3093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3005</v>
      </c>
      <c r="H21" t="s">
        <v>2399</v>
      </c>
    </row>
    <row r="22" spans="1:8" ht="15" customHeight="1" x14ac:dyDescent="0.35">
      <c r="A22" t="s">
        <v>3094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3006</v>
      </c>
      <c r="H22" t="s">
        <v>2399</v>
      </c>
    </row>
    <row r="23" spans="1:8" x14ac:dyDescent="0.35">
      <c r="A23" t="s">
        <v>3095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2920</v>
      </c>
      <c r="H23" t="s">
        <v>2399</v>
      </c>
    </row>
    <row r="24" spans="1:8" x14ac:dyDescent="0.35">
      <c r="A24" t="s">
        <v>3096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3007</v>
      </c>
      <c r="H24" t="s">
        <v>2399</v>
      </c>
    </row>
    <row r="25" spans="1:8" x14ac:dyDescent="0.35">
      <c r="A25" t="s">
        <v>3097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3008</v>
      </c>
      <c r="H25" t="s">
        <v>2399</v>
      </c>
    </row>
    <row r="26" spans="1:8" x14ac:dyDescent="0.35">
      <c r="A26" t="s">
        <v>3098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3009</v>
      </c>
      <c r="H26" t="s">
        <v>2405</v>
      </c>
    </row>
    <row r="27" spans="1:8" x14ac:dyDescent="0.35">
      <c r="A27" t="s">
        <v>3081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2835</v>
      </c>
      <c r="H27" t="s">
        <v>2405</v>
      </c>
    </row>
    <row r="28" spans="1:8" x14ac:dyDescent="0.35">
      <c r="A28" t="s">
        <v>3079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3010</v>
      </c>
      <c r="H28" t="s">
        <v>2405</v>
      </c>
    </row>
    <row r="29" spans="1:8" x14ac:dyDescent="0.35">
      <c r="A29" t="s">
        <v>3083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3011</v>
      </c>
      <c r="H29" t="s">
        <v>2405</v>
      </c>
    </row>
    <row r="30" spans="1:8" x14ac:dyDescent="0.35">
      <c r="A30" t="s">
        <v>3084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2996</v>
      </c>
      <c r="H30" t="s">
        <v>2405</v>
      </c>
    </row>
    <row r="31" spans="1:8" x14ac:dyDescent="0.35">
      <c r="A31" t="s">
        <v>3085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2405</v>
      </c>
    </row>
    <row r="32" spans="1:8" x14ac:dyDescent="0.35">
      <c r="A32" t="s">
        <v>3086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3012</v>
      </c>
      <c r="H32" t="s">
        <v>2405</v>
      </c>
    </row>
    <row r="33" spans="1:8" x14ac:dyDescent="0.35">
      <c r="A33" t="s">
        <v>3087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3013</v>
      </c>
      <c r="H33" t="s">
        <v>2405</v>
      </c>
    </row>
    <row r="34" spans="1:8" x14ac:dyDescent="0.35">
      <c r="A34" t="s">
        <v>3088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2405</v>
      </c>
    </row>
    <row r="35" spans="1:8" x14ac:dyDescent="0.35">
      <c r="A35" t="s">
        <v>3089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3014</v>
      </c>
      <c r="H35" t="s">
        <v>2405</v>
      </c>
    </row>
    <row r="36" spans="1:8" x14ac:dyDescent="0.35">
      <c r="A36" t="s">
        <v>3090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3015</v>
      </c>
      <c r="H36" t="s">
        <v>2405</v>
      </c>
    </row>
    <row r="37" spans="1:8" x14ac:dyDescent="0.35">
      <c r="A37" t="s">
        <v>3091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3016</v>
      </c>
      <c r="H37" t="s">
        <v>2405</v>
      </c>
    </row>
    <row r="38" spans="1:8" x14ac:dyDescent="0.35">
      <c r="A38" t="s">
        <v>3092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2405</v>
      </c>
    </row>
    <row r="39" spans="1:8" x14ac:dyDescent="0.35">
      <c r="A39" t="s">
        <v>3093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3017</v>
      </c>
      <c r="H39" t="s">
        <v>2405</v>
      </c>
    </row>
    <row r="40" spans="1:8" x14ac:dyDescent="0.35">
      <c r="A40" t="s">
        <v>3094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3018</v>
      </c>
      <c r="H40" t="s">
        <v>2405</v>
      </c>
    </row>
    <row r="41" spans="1:8" x14ac:dyDescent="0.35">
      <c r="A41" t="s">
        <v>3095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2405</v>
      </c>
    </row>
    <row r="42" spans="1:8" x14ac:dyDescent="0.35">
      <c r="A42" t="s">
        <v>3096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3019</v>
      </c>
      <c r="H42" t="s">
        <v>2405</v>
      </c>
    </row>
    <row r="43" spans="1:8" x14ac:dyDescent="0.35">
      <c r="A43" t="s">
        <v>3097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3020</v>
      </c>
      <c r="H43" t="s">
        <v>2405</v>
      </c>
    </row>
    <row r="44" spans="1:8" x14ac:dyDescent="0.35">
      <c r="A44" t="s">
        <v>3099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2405</v>
      </c>
    </row>
    <row r="45" spans="1:8" x14ac:dyDescent="0.35">
      <c r="A45" t="s">
        <v>3100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3021</v>
      </c>
      <c r="H45" t="s">
        <v>2405</v>
      </c>
    </row>
    <row r="46" spans="1:8" x14ac:dyDescent="0.35">
      <c r="A46" t="s">
        <v>3101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3022</v>
      </c>
      <c r="H46" t="s">
        <v>2405</v>
      </c>
    </row>
    <row r="47" spans="1:8" x14ac:dyDescent="0.35">
      <c r="A47" t="s">
        <v>3102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3023</v>
      </c>
      <c r="H47" t="s">
        <v>2405</v>
      </c>
    </row>
    <row r="48" spans="1:8" x14ac:dyDescent="0.35">
      <c r="A48" t="s">
        <v>3103</v>
      </c>
      <c r="B48" t="s">
        <v>2985</v>
      </c>
      <c r="C48" t="s">
        <v>58</v>
      </c>
      <c r="D48" t="s">
        <v>2042</v>
      </c>
      <c r="E48" t="s">
        <v>45</v>
      </c>
      <c r="F48">
        <v>1875</v>
      </c>
      <c r="G48" t="s">
        <v>3024</v>
      </c>
      <c r="H48" t="s">
        <v>2405</v>
      </c>
    </row>
    <row r="49" spans="1:8" x14ac:dyDescent="0.35">
      <c r="A49" t="s">
        <v>3104</v>
      </c>
      <c r="B49" t="s">
        <v>2985</v>
      </c>
      <c r="C49" t="s">
        <v>58</v>
      </c>
      <c r="D49" t="s">
        <v>2155</v>
      </c>
      <c r="E49" t="s">
        <v>17</v>
      </c>
      <c r="F49">
        <v>1410</v>
      </c>
      <c r="G49" t="s">
        <v>3025</v>
      </c>
      <c r="H49" t="s">
        <v>2405</v>
      </c>
    </row>
    <row r="50" spans="1:8" x14ac:dyDescent="0.35">
      <c r="A50" t="s">
        <v>3105</v>
      </c>
      <c r="B50" t="s">
        <v>2985</v>
      </c>
      <c r="C50" t="s">
        <v>58</v>
      </c>
      <c r="D50" t="s">
        <v>2269</v>
      </c>
      <c r="E50" t="s">
        <v>51</v>
      </c>
      <c r="F50">
        <v>945</v>
      </c>
      <c r="G50" t="s">
        <v>3026</v>
      </c>
      <c r="H50" t="s">
        <v>2405</v>
      </c>
    </row>
    <row r="51" spans="1:8" x14ac:dyDescent="0.35">
      <c r="A51" t="s">
        <v>3106</v>
      </c>
      <c r="B51" t="s">
        <v>2985</v>
      </c>
      <c r="C51" t="s">
        <v>58</v>
      </c>
      <c r="D51" t="s">
        <v>2306</v>
      </c>
      <c r="E51" t="s">
        <v>58</v>
      </c>
      <c r="F51">
        <v>490</v>
      </c>
      <c r="G51" t="s">
        <v>3027</v>
      </c>
      <c r="H51" t="s">
        <v>2405</v>
      </c>
    </row>
    <row r="52" spans="1:8" x14ac:dyDescent="0.35">
      <c r="A52" t="s">
        <v>3075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3028</v>
      </c>
      <c r="H52" t="s">
        <v>2399</v>
      </c>
    </row>
    <row r="53" spans="1:8" x14ac:dyDescent="0.35">
      <c r="A53" t="s">
        <v>3076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3029</v>
      </c>
      <c r="H53" t="s">
        <v>2399</v>
      </c>
    </row>
    <row r="54" spans="1:8" x14ac:dyDescent="0.35">
      <c r="A54" t="s">
        <v>3077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3030</v>
      </c>
      <c r="H54" t="s">
        <v>2399</v>
      </c>
    </row>
    <row r="55" spans="1:8" x14ac:dyDescent="0.35">
      <c r="A55" t="s">
        <v>3078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2991</v>
      </c>
      <c r="H55" t="s">
        <v>2399</v>
      </c>
    </row>
    <row r="56" spans="1:8" x14ac:dyDescent="0.35">
      <c r="A56" t="s">
        <v>3098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3031</v>
      </c>
      <c r="H56" t="s">
        <v>2399</v>
      </c>
    </row>
    <row r="57" spans="1:8" x14ac:dyDescent="0.35">
      <c r="A57" t="s">
        <v>3080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3032</v>
      </c>
      <c r="H57" t="s">
        <v>2399</v>
      </c>
    </row>
    <row r="58" spans="1:8" x14ac:dyDescent="0.35">
      <c r="A58" t="s">
        <v>3081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3033</v>
      </c>
      <c r="H58" t="s">
        <v>2399</v>
      </c>
    </row>
    <row r="59" spans="1:8" x14ac:dyDescent="0.35">
      <c r="A59" t="s">
        <v>3079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3034</v>
      </c>
      <c r="H59" t="s">
        <v>2399</v>
      </c>
    </row>
    <row r="60" spans="1:8" x14ac:dyDescent="0.35">
      <c r="A60" t="s">
        <v>3082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3035</v>
      </c>
      <c r="H60" t="s">
        <v>2399</v>
      </c>
    </row>
    <row r="61" spans="1:8" x14ac:dyDescent="0.35">
      <c r="A61" t="s">
        <v>3083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3036</v>
      </c>
      <c r="H61" t="s">
        <v>2399</v>
      </c>
    </row>
    <row r="62" spans="1:8" x14ac:dyDescent="0.35">
      <c r="A62" t="s">
        <v>3084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3037</v>
      </c>
      <c r="H62" t="s">
        <v>2399</v>
      </c>
    </row>
    <row r="63" spans="1:8" x14ac:dyDescent="0.35">
      <c r="A63" t="s">
        <v>3085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3038</v>
      </c>
      <c r="H63" t="s">
        <v>2399</v>
      </c>
    </row>
    <row r="64" spans="1:8" x14ac:dyDescent="0.35">
      <c r="A64" t="s">
        <v>3086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3039</v>
      </c>
      <c r="H64" t="s">
        <v>2399</v>
      </c>
    </row>
    <row r="65" spans="1:8" x14ac:dyDescent="0.35">
      <c r="A65" t="s">
        <v>3087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3040</v>
      </c>
      <c r="H65" t="s">
        <v>2399</v>
      </c>
    </row>
    <row r="66" spans="1:8" x14ac:dyDescent="0.35">
      <c r="A66" t="s">
        <v>3088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3041</v>
      </c>
      <c r="H66" t="s">
        <v>2399</v>
      </c>
    </row>
    <row r="67" spans="1:8" x14ac:dyDescent="0.35">
      <c r="A67" t="s">
        <v>3089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3042</v>
      </c>
      <c r="H67" t="s">
        <v>2399</v>
      </c>
    </row>
    <row r="68" spans="1:8" x14ac:dyDescent="0.35">
      <c r="A68" t="s">
        <v>3090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3043</v>
      </c>
      <c r="H68" t="s">
        <v>2399</v>
      </c>
    </row>
    <row r="69" spans="1:8" x14ac:dyDescent="0.35">
      <c r="A69" t="s">
        <v>3091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3044</v>
      </c>
      <c r="H69" t="s">
        <v>2399</v>
      </c>
    </row>
    <row r="70" spans="1:8" x14ac:dyDescent="0.35">
      <c r="A70" t="s">
        <v>3092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3045</v>
      </c>
      <c r="H70" t="s">
        <v>2399</v>
      </c>
    </row>
    <row r="71" spans="1:8" x14ac:dyDescent="0.35">
      <c r="A71" t="s">
        <v>3093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3046</v>
      </c>
      <c r="H71" t="s">
        <v>2399</v>
      </c>
    </row>
    <row r="72" spans="1:8" x14ac:dyDescent="0.35">
      <c r="A72" t="s">
        <v>3094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3047</v>
      </c>
      <c r="H72" t="s">
        <v>2399</v>
      </c>
    </row>
    <row r="73" spans="1:8" x14ac:dyDescent="0.35">
      <c r="A73" t="s">
        <v>3095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3048</v>
      </c>
      <c r="H73" t="s">
        <v>2399</v>
      </c>
    </row>
    <row r="74" spans="1:8" x14ac:dyDescent="0.35">
      <c r="A74" t="s">
        <v>3096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3049</v>
      </c>
      <c r="H74" t="s">
        <v>2399</v>
      </c>
    </row>
    <row r="75" spans="1:8" x14ac:dyDescent="0.35">
      <c r="A75" t="s">
        <v>3097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3050</v>
      </c>
      <c r="H75" t="s">
        <v>2399</v>
      </c>
    </row>
    <row r="76" spans="1:8" x14ac:dyDescent="0.35">
      <c r="A76" t="s">
        <v>3098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3051</v>
      </c>
      <c r="H76" t="s">
        <v>2405</v>
      </c>
    </row>
    <row r="77" spans="1:8" x14ac:dyDescent="0.35">
      <c r="A77" t="s">
        <v>3081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3052</v>
      </c>
      <c r="H77" t="s">
        <v>2405</v>
      </c>
    </row>
    <row r="78" spans="1:8" x14ac:dyDescent="0.35">
      <c r="A78" t="s">
        <v>3079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3053</v>
      </c>
      <c r="H78" t="s">
        <v>2405</v>
      </c>
    </row>
    <row r="79" spans="1:8" x14ac:dyDescent="0.35">
      <c r="A79" t="s">
        <v>3083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3054</v>
      </c>
      <c r="H79" t="s">
        <v>2405</v>
      </c>
    </row>
    <row r="80" spans="1:8" x14ac:dyDescent="0.35">
      <c r="A80" t="s">
        <v>3084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3037</v>
      </c>
      <c r="H80" t="s">
        <v>2405</v>
      </c>
    </row>
    <row r="81" spans="1:8" x14ac:dyDescent="0.35">
      <c r="A81" t="s">
        <v>3085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3055</v>
      </c>
      <c r="H81" t="s">
        <v>2405</v>
      </c>
    </row>
    <row r="82" spans="1:8" x14ac:dyDescent="0.35">
      <c r="A82" t="s">
        <v>3086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3056</v>
      </c>
      <c r="H82" t="s">
        <v>2405</v>
      </c>
    </row>
    <row r="83" spans="1:8" x14ac:dyDescent="0.35">
      <c r="A83" t="s">
        <v>3087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3057</v>
      </c>
      <c r="H83" t="s">
        <v>2405</v>
      </c>
    </row>
    <row r="84" spans="1:8" x14ac:dyDescent="0.35">
      <c r="A84" t="s">
        <v>3088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3058</v>
      </c>
      <c r="H84" t="s">
        <v>2405</v>
      </c>
    </row>
    <row r="85" spans="1:8" x14ac:dyDescent="0.35">
      <c r="A85" t="s">
        <v>3089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2709</v>
      </c>
      <c r="H85" t="s">
        <v>2405</v>
      </c>
    </row>
    <row r="86" spans="1:8" x14ac:dyDescent="0.35">
      <c r="A86" t="s">
        <v>3090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3059</v>
      </c>
      <c r="H86" t="s">
        <v>2405</v>
      </c>
    </row>
    <row r="87" spans="1:8" x14ac:dyDescent="0.35">
      <c r="A87" t="s">
        <v>3091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3060</v>
      </c>
      <c r="H87" t="s">
        <v>2405</v>
      </c>
    </row>
    <row r="88" spans="1:8" x14ac:dyDescent="0.35">
      <c r="A88" t="s">
        <v>3092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3061</v>
      </c>
      <c r="H88" t="s">
        <v>2405</v>
      </c>
    </row>
    <row r="89" spans="1:8" x14ac:dyDescent="0.35">
      <c r="A89" t="s">
        <v>3093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3062</v>
      </c>
      <c r="H89" t="s">
        <v>2405</v>
      </c>
    </row>
    <row r="90" spans="1:8" x14ac:dyDescent="0.35">
      <c r="A90" t="s">
        <v>3094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3063</v>
      </c>
      <c r="H90" t="s">
        <v>2405</v>
      </c>
    </row>
    <row r="91" spans="1:8" x14ac:dyDescent="0.35">
      <c r="A91" t="s">
        <v>3095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2405</v>
      </c>
    </row>
    <row r="92" spans="1:8" x14ac:dyDescent="0.35">
      <c r="A92" t="s">
        <v>3096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2405</v>
      </c>
    </row>
    <row r="93" spans="1:8" x14ac:dyDescent="0.35">
      <c r="A93" t="s">
        <v>3097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3064</v>
      </c>
      <c r="H93" t="s">
        <v>2405</v>
      </c>
    </row>
    <row r="94" spans="1:8" x14ac:dyDescent="0.35">
      <c r="A94" t="s">
        <v>3099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3065</v>
      </c>
      <c r="H94" t="s">
        <v>2405</v>
      </c>
    </row>
    <row r="95" spans="1:8" x14ac:dyDescent="0.35">
      <c r="A95" t="s">
        <v>3100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3066</v>
      </c>
      <c r="H95" t="s">
        <v>2405</v>
      </c>
    </row>
    <row r="96" spans="1:8" x14ac:dyDescent="0.35">
      <c r="A96" t="s">
        <v>3101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3067</v>
      </c>
      <c r="H96" t="s">
        <v>2405</v>
      </c>
    </row>
    <row r="97" spans="1:8" x14ac:dyDescent="0.35">
      <c r="A97" t="s">
        <v>3102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3068</v>
      </c>
      <c r="H97" t="s">
        <v>2405</v>
      </c>
    </row>
    <row r="98" spans="1:8" x14ac:dyDescent="0.35">
      <c r="A98" t="s">
        <v>3103</v>
      </c>
      <c r="B98" t="s">
        <v>2985</v>
      </c>
      <c r="C98" t="s">
        <v>58</v>
      </c>
      <c r="D98" t="s">
        <v>2042</v>
      </c>
      <c r="E98" t="s">
        <v>45</v>
      </c>
      <c r="F98">
        <v>1875</v>
      </c>
      <c r="G98" t="s">
        <v>2975</v>
      </c>
      <c r="H98" t="s">
        <v>2405</v>
      </c>
    </row>
    <row r="99" spans="1:8" x14ac:dyDescent="0.35">
      <c r="A99" t="s">
        <v>3104</v>
      </c>
      <c r="B99" t="s">
        <v>2985</v>
      </c>
      <c r="C99" t="s">
        <v>58</v>
      </c>
      <c r="D99" t="s">
        <v>2155</v>
      </c>
      <c r="E99" t="s">
        <v>17</v>
      </c>
      <c r="F99">
        <v>1410</v>
      </c>
      <c r="G99" t="s">
        <v>3069</v>
      </c>
      <c r="H99" t="s">
        <v>2405</v>
      </c>
    </row>
    <row r="100" spans="1:8" x14ac:dyDescent="0.35">
      <c r="A100" t="s">
        <v>3105</v>
      </c>
      <c r="B100" t="s">
        <v>2985</v>
      </c>
      <c r="C100" t="s">
        <v>58</v>
      </c>
      <c r="D100" t="s">
        <v>2269</v>
      </c>
      <c r="E100" t="s">
        <v>51</v>
      </c>
      <c r="F100">
        <v>945</v>
      </c>
      <c r="G100" t="s">
        <v>3070</v>
      </c>
      <c r="H100" t="s">
        <v>2405</v>
      </c>
    </row>
    <row r="101" spans="1:8" x14ac:dyDescent="0.35">
      <c r="A101" t="s">
        <v>3106</v>
      </c>
      <c r="B101" t="s">
        <v>2985</v>
      </c>
      <c r="C101" t="s">
        <v>58</v>
      </c>
      <c r="D101" t="s">
        <v>2306</v>
      </c>
      <c r="E101" t="s">
        <v>58</v>
      </c>
      <c r="F101">
        <v>490</v>
      </c>
      <c r="G101" t="s">
        <v>3071</v>
      </c>
      <c r="H101" t="s">
        <v>2405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O30" sqref="O30"/>
    </sheetView>
  </sheetViews>
  <sheetFormatPr defaultRowHeight="14.5" x14ac:dyDescent="0.35"/>
  <sheetData>
    <row r="1" spans="1:14" ht="30" customHeight="1" x14ac:dyDescent="0.35">
      <c r="A1" s="13"/>
      <c r="B1" s="13" t="s">
        <v>2492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 t="s">
        <v>2493</v>
      </c>
    </row>
    <row r="2" spans="1:14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35">
      <c r="A3" s="12"/>
      <c r="B3" s="12"/>
      <c r="C3" s="11" t="s">
        <v>2494</v>
      </c>
      <c r="D3" s="12"/>
      <c r="E3" s="11" t="s">
        <v>2494</v>
      </c>
      <c r="F3" s="11" t="s">
        <v>2494</v>
      </c>
      <c r="G3" s="11" t="s">
        <v>2494</v>
      </c>
      <c r="H3" s="11" t="s">
        <v>2494</v>
      </c>
      <c r="I3" s="12"/>
      <c r="J3" s="11" t="s">
        <v>2494</v>
      </c>
      <c r="K3" s="12"/>
      <c r="L3" s="11" t="s">
        <v>2494</v>
      </c>
      <c r="M3" s="11" t="s">
        <v>2494</v>
      </c>
      <c r="N3" s="11" t="s">
        <v>2494</v>
      </c>
    </row>
    <row r="4" spans="1:14" x14ac:dyDescent="0.35">
      <c r="A4" s="11">
        <v>10</v>
      </c>
      <c r="B4" s="11">
        <v>1</v>
      </c>
      <c r="C4" s="11">
        <v>16</v>
      </c>
      <c r="D4" s="11">
        <v>35</v>
      </c>
      <c r="E4" s="11">
        <v>15</v>
      </c>
      <c r="F4" s="11">
        <v>10</v>
      </c>
      <c r="G4" s="11">
        <v>8</v>
      </c>
      <c r="H4" s="11">
        <v>4</v>
      </c>
      <c r="I4" s="11">
        <v>2</v>
      </c>
      <c r="J4" s="11">
        <v>75</v>
      </c>
      <c r="K4" s="11">
        <v>50</v>
      </c>
      <c r="L4" s="11">
        <v>11</v>
      </c>
      <c r="M4" s="11">
        <v>4</v>
      </c>
      <c r="N4" s="11">
        <v>10</v>
      </c>
    </row>
    <row r="5" spans="1:14" ht="15" customHeight="1" x14ac:dyDescent="0.35">
      <c r="A5" s="12">
        <v>10</v>
      </c>
      <c r="B5" s="11" t="s">
        <v>2399</v>
      </c>
      <c r="C5" s="12">
        <v>16</v>
      </c>
      <c r="D5" s="12">
        <v>35</v>
      </c>
      <c r="E5" s="12">
        <v>15</v>
      </c>
      <c r="F5" s="12">
        <v>10</v>
      </c>
      <c r="G5" s="12">
        <v>8</v>
      </c>
      <c r="H5" s="12">
        <v>4</v>
      </c>
      <c r="I5" s="12">
        <v>2</v>
      </c>
      <c r="J5" s="11">
        <v>75</v>
      </c>
      <c r="K5" s="12">
        <v>50</v>
      </c>
      <c r="L5" s="11">
        <v>11</v>
      </c>
      <c r="M5" s="11">
        <v>4</v>
      </c>
      <c r="N5" s="11">
        <v>10</v>
      </c>
    </row>
    <row r="6" spans="1:14" x14ac:dyDescent="0.35">
      <c r="A6" s="12">
        <v>10</v>
      </c>
      <c r="B6" s="11">
        <v>6</v>
      </c>
      <c r="C6" s="12">
        <v>16</v>
      </c>
      <c r="D6" s="12">
        <v>35</v>
      </c>
      <c r="E6" s="12">
        <v>15</v>
      </c>
      <c r="F6" s="12">
        <v>10</v>
      </c>
      <c r="G6" s="12">
        <v>8</v>
      </c>
      <c r="H6" s="12">
        <v>4</v>
      </c>
      <c r="I6" s="12">
        <v>2</v>
      </c>
      <c r="J6" s="12">
        <v>75</v>
      </c>
      <c r="K6" s="12">
        <v>50</v>
      </c>
      <c r="L6" s="12">
        <v>11</v>
      </c>
      <c r="M6" s="12">
        <v>4</v>
      </c>
      <c r="N6" s="12">
        <v>10</v>
      </c>
    </row>
    <row r="7" spans="1:14" ht="15" customHeight="1" x14ac:dyDescent="0.35">
      <c r="A7" s="12">
        <v>10</v>
      </c>
      <c r="B7" s="11">
        <v>10</v>
      </c>
      <c r="C7" s="12">
        <v>16</v>
      </c>
      <c r="D7" s="11">
        <v>42</v>
      </c>
      <c r="E7" s="12">
        <v>15</v>
      </c>
      <c r="F7" s="11">
        <v>12</v>
      </c>
      <c r="G7" s="11">
        <v>10</v>
      </c>
      <c r="H7" s="12">
        <v>4</v>
      </c>
      <c r="I7" s="12">
        <v>2</v>
      </c>
      <c r="J7" s="11">
        <v>90</v>
      </c>
      <c r="K7" s="11">
        <v>60</v>
      </c>
      <c r="L7" s="11">
        <v>14</v>
      </c>
      <c r="M7" s="12">
        <v>4</v>
      </c>
      <c r="N7" s="11">
        <v>12</v>
      </c>
    </row>
    <row r="8" spans="1:14" x14ac:dyDescent="0.35">
      <c r="A8" s="12">
        <v>10</v>
      </c>
      <c r="B8" s="11">
        <v>16</v>
      </c>
      <c r="C8" s="12">
        <v>16</v>
      </c>
      <c r="D8" s="12">
        <v>42</v>
      </c>
      <c r="E8" s="12">
        <v>15</v>
      </c>
      <c r="F8" s="11">
        <v>14</v>
      </c>
      <c r="G8" s="11">
        <v>12</v>
      </c>
      <c r="H8" s="12">
        <v>4</v>
      </c>
      <c r="I8" s="12">
        <v>2</v>
      </c>
      <c r="J8" s="12">
        <v>90</v>
      </c>
      <c r="K8" s="12">
        <v>60</v>
      </c>
      <c r="L8" s="12">
        <v>14</v>
      </c>
      <c r="M8" s="12">
        <v>4</v>
      </c>
      <c r="N8" s="12">
        <v>12</v>
      </c>
    </row>
    <row r="9" spans="1:14" x14ac:dyDescent="0.35">
      <c r="A9" s="12">
        <v>10</v>
      </c>
      <c r="B9" s="11">
        <v>25</v>
      </c>
      <c r="C9" s="12">
        <v>16</v>
      </c>
      <c r="D9" s="12">
        <v>42</v>
      </c>
      <c r="E9" s="12">
        <v>15</v>
      </c>
      <c r="F9" s="11">
        <v>16</v>
      </c>
      <c r="G9" s="11">
        <v>14</v>
      </c>
      <c r="H9" s="12">
        <v>4</v>
      </c>
      <c r="I9" s="12">
        <v>2</v>
      </c>
      <c r="J9" s="12">
        <v>90</v>
      </c>
      <c r="K9" s="12">
        <v>60</v>
      </c>
      <c r="L9" s="12">
        <v>14</v>
      </c>
      <c r="M9" s="12">
        <v>4</v>
      </c>
      <c r="N9" s="12">
        <v>12</v>
      </c>
    </row>
    <row r="10" spans="1:14" x14ac:dyDescent="0.35">
      <c r="A10" s="11">
        <v>15</v>
      </c>
      <c r="B10" s="11">
        <v>1</v>
      </c>
      <c r="C10" s="11">
        <v>20</v>
      </c>
      <c r="D10" s="11">
        <v>40</v>
      </c>
      <c r="E10" s="11">
        <v>19</v>
      </c>
      <c r="F10" s="11">
        <v>10</v>
      </c>
      <c r="G10" s="11">
        <v>8</v>
      </c>
      <c r="H10" s="11">
        <v>4</v>
      </c>
      <c r="I10" s="11">
        <v>2</v>
      </c>
      <c r="J10" s="11">
        <v>80</v>
      </c>
      <c r="K10" s="11">
        <v>55</v>
      </c>
      <c r="L10" s="11">
        <v>11</v>
      </c>
      <c r="M10" s="11">
        <v>4</v>
      </c>
      <c r="N10" s="11">
        <v>10</v>
      </c>
    </row>
    <row r="11" spans="1:14" ht="15" customHeight="1" x14ac:dyDescent="0.35">
      <c r="A11" s="12">
        <v>15</v>
      </c>
      <c r="B11" s="11" t="s">
        <v>2399</v>
      </c>
      <c r="C11" s="12">
        <v>20</v>
      </c>
      <c r="D11" s="12">
        <v>40</v>
      </c>
      <c r="E11" s="12">
        <v>19</v>
      </c>
      <c r="F11" s="12">
        <v>10</v>
      </c>
      <c r="G11" s="12">
        <v>8</v>
      </c>
      <c r="H11" s="12">
        <v>4</v>
      </c>
      <c r="I11" s="12">
        <v>2</v>
      </c>
      <c r="J11" s="11">
        <v>80</v>
      </c>
      <c r="K11" s="12">
        <v>55</v>
      </c>
      <c r="L11" s="11">
        <v>11</v>
      </c>
      <c r="M11" s="11">
        <v>4</v>
      </c>
      <c r="N11" s="11">
        <v>10</v>
      </c>
    </row>
    <row r="12" spans="1:14" x14ac:dyDescent="0.35">
      <c r="A12" s="12">
        <v>15</v>
      </c>
      <c r="B12" s="11">
        <v>6</v>
      </c>
      <c r="C12" s="12">
        <v>20</v>
      </c>
      <c r="D12" s="12">
        <v>40</v>
      </c>
      <c r="E12" s="12">
        <v>19</v>
      </c>
      <c r="F12" s="12">
        <v>10</v>
      </c>
      <c r="G12" s="12">
        <v>8</v>
      </c>
      <c r="H12" s="12">
        <v>4</v>
      </c>
      <c r="I12" s="12">
        <v>2</v>
      </c>
      <c r="J12" s="12">
        <v>80</v>
      </c>
      <c r="K12" s="12">
        <v>55</v>
      </c>
      <c r="L12" s="12">
        <v>11</v>
      </c>
      <c r="M12" s="12">
        <v>4</v>
      </c>
      <c r="N12" s="12">
        <v>10</v>
      </c>
    </row>
    <row r="13" spans="1:14" ht="15" customHeight="1" x14ac:dyDescent="0.35">
      <c r="A13" s="12">
        <v>15</v>
      </c>
      <c r="B13" s="11">
        <v>10</v>
      </c>
      <c r="C13" s="12">
        <v>20</v>
      </c>
      <c r="D13" s="11">
        <v>47</v>
      </c>
      <c r="E13" s="12">
        <v>19</v>
      </c>
      <c r="F13" s="11">
        <v>12</v>
      </c>
      <c r="G13" s="11">
        <v>10</v>
      </c>
      <c r="H13" s="12">
        <v>4</v>
      </c>
      <c r="I13" s="12">
        <v>2</v>
      </c>
      <c r="J13" s="11">
        <v>95</v>
      </c>
      <c r="K13" s="11">
        <v>65</v>
      </c>
      <c r="L13" s="11">
        <v>14</v>
      </c>
      <c r="M13" s="12">
        <v>4</v>
      </c>
      <c r="N13" s="11">
        <v>12</v>
      </c>
    </row>
    <row r="14" spans="1:14" x14ac:dyDescent="0.35">
      <c r="A14" s="12">
        <v>15</v>
      </c>
      <c r="B14" s="11">
        <v>16</v>
      </c>
      <c r="C14" s="12">
        <v>20</v>
      </c>
      <c r="D14" s="12">
        <v>47</v>
      </c>
      <c r="E14" s="12">
        <v>19</v>
      </c>
      <c r="F14" s="11">
        <v>14</v>
      </c>
      <c r="G14" s="11">
        <v>12</v>
      </c>
      <c r="H14" s="12">
        <v>4</v>
      </c>
      <c r="I14" s="12">
        <v>2</v>
      </c>
      <c r="J14" s="12">
        <v>95</v>
      </c>
      <c r="K14" s="12">
        <v>65</v>
      </c>
      <c r="L14" s="12">
        <v>14</v>
      </c>
      <c r="M14" s="12">
        <v>4</v>
      </c>
      <c r="N14" s="12">
        <v>12</v>
      </c>
    </row>
    <row r="15" spans="1:14" x14ac:dyDescent="0.35">
      <c r="A15" s="12">
        <v>15</v>
      </c>
      <c r="B15" s="11">
        <v>25</v>
      </c>
      <c r="C15" s="12">
        <v>20</v>
      </c>
      <c r="D15" s="12">
        <v>47</v>
      </c>
      <c r="E15" s="12">
        <v>19</v>
      </c>
      <c r="F15" s="11">
        <v>16</v>
      </c>
      <c r="G15" s="11">
        <v>14</v>
      </c>
      <c r="H15" s="12">
        <v>4</v>
      </c>
      <c r="I15" s="12">
        <v>2</v>
      </c>
      <c r="J15" s="12">
        <v>95</v>
      </c>
      <c r="K15" s="12">
        <v>65</v>
      </c>
      <c r="L15" s="12">
        <v>14</v>
      </c>
      <c r="M15" s="12">
        <v>4</v>
      </c>
      <c r="N15" s="12">
        <v>12</v>
      </c>
    </row>
    <row r="16" spans="1:14" x14ac:dyDescent="0.35">
      <c r="A16" s="11">
        <v>20</v>
      </c>
      <c r="B16" s="11">
        <v>1</v>
      </c>
      <c r="C16" s="11">
        <v>27</v>
      </c>
      <c r="D16" s="11">
        <v>50</v>
      </c>
      <c r="E16" s="11">
        <v>26</v>
      </c>
      <c r="F16" s="11">
        <v>10</v>
      </c>
      <c r="G16" s="11">
        <v>10</v>
      </c>
      <c r="H16" s="11">
        <v>4</v>
      </c>
      <c r="I16" s="11">
        <v>2</v>
      </c>
      <c r="J16" s="11">
        <v>90</v>
      </c>
      <c r="K16" s="11">
        <v>65</v>
      </c>
      <c r="L16" s="11">
        <v>11</v>
      </c>
      <c r="M16" s="11">
        <v>4</v>
      </c>
      <c r="N16" s="11">
        <v>10</v>
      </c>
    </row>
    <row r="17" spans="1:14" ht="15" customHeight="1" x14ac:dyDescent="0.35">
      <c r="A17" s="12">
        <v>20</v>
      </c>
      <c r="B17" s="11" t="s">
        <v>2399</v>
      </c>
      <c r="C17" s="12">
        <v>27</v>
      </c>
      <c r="D17" s="12">
        <v>50</v>
      </c>
      <c r="E17" s="12">
        <v>26</v>
      </c>
      <c r="F17" s="12">
        <v>10</v>
      </c>
      <c r="G17" s="12">
        <v>10</v>
      </c>
      <c r="H17" s="12">
        <v>4</v>
      </c>
      <c r="I17" s="12">
        <v>2</v>
      </c>
      <c r="J17" s="11">
        <v>90</v>
      </c>
      <c r="K17" s="12">
        <v>65</v>
      </c>
      <c r="L17" s="11">
        <v>11</v>
      </c>
      <c r="M17" s="11">
        <v>4</v>
      </c>
      <c r="N17" s="11">
        <v>10</v>
      </c>
    </row>
    <row r="18" spans="1:14" x14ac:dyDescent="0.35">
      <c r="A18" s="12">
        <v>20</v>
      </c>
      <c r="B18" s="11">
        <v>6</v>
      </c>
      <c r="C18" s="12">
        <v>27</v>
      </c>
      <c r="D18" s="12">
        <v>50</v>
      </c>
      <c r="E18" s="12">
        <v>26</v>
      </c>
      <c r="F18" s="12">
        <v>10</v>
      </c>
      <c r="G18" s="12">
        <v>10</v>
      </c>
      <c r="H18" s="12">
        <v>4</v>
      </c>
      <c r="I18" s="12">
        <v>2</v>
      </c>
      <c r="J18" s="12">
        <v>90</v>
      </c>
      <c r="K18" s="12">
        <v>65</v>
      </c>
      <c r="L18" s="12">
        <v>11</v>
      </c>
      <c r="M18" s="12">
        <v>4</v>
      </c>
      <c r="N18" s="12">
        <v>10</v>
      </c>
    </row>
    <row r="19" spans="1:14" ht="15" customHeight="1" x14ac:dyDescent="0.35">
      <c r="A19" s="12">
        <v>20</v>
      </c>
      <c r="B19" s="11">
        <v>10</v>
      </c>
      <c r="C19" s="12">
        <v>27</v>
      </c>
      <c r="D19" s="11">
        <v>58</v>
      </c>
      <c r="E19" s="12">
        <v>26</v>
      </c>
      <c r="F19" s="11">
        <v>14</v>
      </c>
      <c r="G19" s="11">
        <v>12</v>
      </c>
      <c r="H19" s="12">
        <v>4</v>
      </c>
      <c r="I19" s="12">
        <v>2</v>
      </c>
      <c r="J19" s="11">
        <v>105</v>
      </c>
      <c r="K19" s="11">
        <v>75</v>
      </c>
      <c r="L19" s="11">
        <v>14</v>
      </c>
      <c r="M19" s="12">
        <v>4</v>
      </c>
      <c r="N19" s="11">
        <v>12</v>
      </c>
    </row>
    <row r="20" spans="1:14" x14ac:dyDescent="0.35">
      <c r="A20" s="12">
        <v>20</v>
      </c>
      <c r="B20" s="11">
        <v>16</v>
      </c>
      <c r="C20" s="12">
        <v>27</v>
      </c>
      <c r="D20" s="12">
        <v>58</v>
      </c>
      <c r="E20" s="12">
        <v>26</v>
      </c>
      <c r="F20" s="11">
        <v>16</v>
      </c>
      <c r="G20" s="11">
        <v>14</v>
      </c>
      <c r="H20" s="12">
        <v>4</v>
      </c>
      <c r="I20" s="12">
        <v>2</v>
      </c>
      <c r="J20" s="12">
        <v>105</v>
      </c>
      <c r="K20" s="12">
        <v>75</v>
      </c>
      <c r="L20" s="12">
        <v>14</v>
      </c>
      <c r="M20" s="12">
        <v>4</v>
      </c>
      <c r="N20" s="12">
        <v>12</v>
      </c>
    </row>
    <row r="21" spans="1:14" x14ac:dyDescent="0.35">
      <c r="A21" s="12">
        <v>20</v>
      </c>
      <c r="B21" s="11">
        <v>25</v>
      </c>
      <c r="C21" s="12">
        <v>27</v>
      </c>
      <c r="D21" s="12">
        <v>58</v>
      </c>
      <c r="E21" s="12">
        <v>26</v>
      </c>
      <c r="F21" s="11">
        <v>18</v>
      </c>
      <c r="G21" s="11">
        <v>16</v>
      </c>
      <c r="H21" s="12">
        <v>4</v>
      </c>
      <c r="I21" s="12">
        <v>2</v>
      </c>
      <c r="J21" s="12">
        <v>105</v>
      </c>
      <c r="K21" s="12">
        <v>75</v>
      </c>
      <c r="L21" s="12">
        <v>14</v>
      </c>
      <c r="M21" s="12">
        <v>4</v>
      </c>
      <c r="N21" s="12">
        <v>12</v>
      </c>
    </row>
    <row r="22" spans="1:14" x14ac:dyDescent="0.35">
      <c r="A22" s="11">
        <v>25</v>
      </c>
      <c r="B22" s="11">
        <v>1</v>
      </c>
      <c r="C22" s="11">
        <v>34</v>
      </c>
      <c r="D22" s="11">
        <v>60</v>
      </c>
      <c r="E22" s="11">
        <v>33</v>
      </c>
      <c r="F22" s="11">
        <v>12</v>
      </c>
      <c r="G22" s="11">
        <v>10</v>
      </c>
      <c r="H22" s="11">
        <v>5</v>
      </c>
      <c r="I22" s="11">
        <v>3</v>
      </c>
      <c r="J22" s="11">
        <v>100</v>
      </c>
      <c r="K22" s="11">
        <v>75</v>
      </c>
      <c r="L22" s="11">
        <v>11</v>
      </c>
      <c r="M22" s="11">
        <v>4</v>
      </c>
      <c r="N22" s="11">
        <v>10</v>
      </c>
    </row>
    <row r="23" spans="1:14" ht="15" customHeight="1" x14ac:dyDescent="0.35">
      <c r="A23" s="12">
        <v>25</v>
      </c>
      <c r="B23" s="11" t="s">
        <v>2399</v>
      </c>
      <c r="C23" s="12">
        <v>34</v>
      </c>
      <c r="D23" s="12">
        <v>60</v>
      </c>
      <c r="E23" s="12">
        <v>33</v>
      </c>
      <c r="F23" s="12">
        <v>12</v>
      </c>
      <c r="G23" s="12">
        <v>10</v>
      </c>
      <c r="H23" s="12">
        <v>5</v>
      </c>
      <c r="I23" s="12">
        <v>3</v>
      </c>
      <c r="J23" s="11">
        <v>100</v>
      </c>
      <c r="K23" s="12">
        <v>75</v>
      </c>
      <c r="L23" s="11">
        <v>11</v>
      </c>
      <c r="M23" s="11">
        <v>4</v>
      </c>
      <c r="N23" s="11">
        <v>10</v>
      </c>
    </row>
    <row r="24" spans="1:14" x14ac:dyDescent="0.35">
      <c r="A24" s="12">
        <v>25</v>
      </c>
      <c r="B24" s="11">
        <v>6</v>
      </c>
      <c r="C24" s="12">
        <v>34</v>
      </c>
      <c r="D24" s="12">
        <v>60</v>
      </c>
      <c r="E24" s="12">
        <v>33</v>
      </c>
      <c r="F24" s="12">
        <v>12</v>
      </c>
      <c r="G24" s="12">
        <v>10</v>
      </c>
      <c r="H24" s="12">
        <v>5</v>
      </c>
      <c r="I24" s="12">
        <v>3</v>
      </c>
      <c r="J24" s="12">
        <v>100</v>
      </c>
      <c r="K24" s="12">
        <v>75</v>
      </c>
      <c r="L24" s="12">
        <v>11</v>
      </c>
      <c r="M24" s="12">
        <v>4</v>
      </c>
      <c r="N24" s="12">
        <v>10</v>
      </c>
    </row>
    <row r="25" spans="1:14" ht="15" customHeight="1" x14ac:dyDescent="0.35">
      <c r="A25" s="12">
        <v>25</v>
      </c>
      <c r="B25" s="11">
        <v>10</v>
      </c>
      <c r="C25" s="12">
        <v>34</v>
      </c>
      <c r="D25" s="11">
        <v>68</v>
      </c>
      <c r="E25" s="12">
        <v>33</v>
      </c>
      <c r="F25" s="11">
        <v>14</v>
      </c>
      <c r="G25" s="11">
        <v>12</v>
      </c>
      <c r="H25" s="12">
        <v>5</v>
      </c>
      <c r="I25" s="12">
        <v>3</v>
      </c>
      <c r="J25" s="11">
        <v>115</v>
      </c>
      <c r="K25" s="11">
        <v>85</v>
      </c>
      <c r="L25" s="11">
        <v>14</v>
      </c>
      <c r="M25" s="12">
        <v>4</v>
      </c>
      <c r="N25" s="11">
        <v>12</v>
      </c>
    </row>
    <row r="26" spans="1:14" x14ac:dyDescent="0.35">
      <c r="A26" s="12">
        <v>25</v>
      </c>
      <c r="B26" s="11">
        <v>16</v>
      </c>
      <c r="C26" s="12">
        <v>34</v>
      </c>
      <c r="D26" s="12">
        <v>68</v>
      </c>
      <c r="E26" s="12">
        <v>33</v>
      </c>
      <c r="F26" s="11">
        <v>16</v>
      </c>
      <c r="G26" s="11">
        <v>14</v>
      </c>
      <c r="H26" s="12">
        <v>5</v>
      </c>
      <c r="I26" s="12">
        <v>3</v>
      </c>
      <c r="J26" s="12">
        <v>115</v>
      </c>
      <c r="K26" s="12">
        <v>85</v>
      </c>
      <c r="L26" s="12">
        <v>14</v>
      </c>
      <c r="M26" s="12">
        <v>4</v>
      </c>
      <c r="N26" s="12">
        <v>12</v>
      </c>
    </row>
    <row r="27" spans="1:14" x14ac:dyDescent="0.35">
      <c r="A27" s="12">
        <v>25</v>
      </c>
      <c r="B27" s="11">
        <v>25</v>
      </c>
      <c r="C27" s="12">
        <v>34</v>
      </c>
      <c r="D27" s="12">
        <v>68</v>
      </c>
      <c r="E27" s="12">
        <v>33</v>
      </c>
      <c r="F27" s="11">
        <v>18</v>
      </c>
      <c r="G27" s="11">
        <v>16</v>
      </c>
      <c r="H27" s="12">
        <v>5</v>
      </c>
      <c r="I27" s="12">
        <v>3</v>
      </c>
      <c r="J27" s="12">
        <v>115</v>
      </c>
      <c r="K27" s="12">
        <v>85</v>
      </c>
      <c r="L27" s="12">
        <v>14</v>
      </c>
      <c r="M27" s="12">
        <v>4</v>
      </c>
      <c r="N27" s="12">
        <v>12</v>
      </c>
    </row>
    <row r="28" spans="1:14" x14ac:dyDescent="0.35">
      <c r="A28" s="11">
        <v>32</v>
      </c>
      <c r="B28" s="11">
        <v>1</v>
      </c>
      <c r="C28" s="11">
        <v>41</v>
      </c>
      <c r="D28" s="11">
        <v>70</v>
      </c>
      <c r="E28" s="11">
        <v>39</v>
      </c>
      <c r="F28" s="11">
        <v>12</v>
      </c>
      <c r="G28" s="11">
        <v>10</v>
      </c>
      <c r="H28" s="11">
        <v>5</v>
      </c>
      <c r="I28" s="11">
        <v>3</v>
      </c>
      <c r="J28" s="11">
        <v>120</v>
      </c>
      <c r="K28" s="11">
        <v>90</v>
      </c>
      <c r="L28" s="11">
        <v>14</v>
      </c>
      <c r="M28" s="11">
        <v>4</v>
      </c>
      <c r="N28" s="11">
        <v>12</v>
      </c>
    </row>
    <row r="29" spans="1:14" ht="15" customHeight="1" x14ac:dyDescent="0.35">
      <c r="A29" s="12">
        <v>32</v>
      </c>
      <c r="B29" s="11" t="s">
        <v>2399</v>
      </c>
      <c r="C29" s="12">
        <v>41</v>
      </c>
      <c r="D29" s="12">
        <v>70</v>
      </c>
      <c r="E29" s="12">
        <v>39</v>
      </c>
      <c r="F29" s="12">
        <v>12</v>
      </c>
      <c r="G29" s="12">
        <v>10</v>
      </c>
      <c r="H29" s="12">
        <v>5</v>
      </c>
      <c r="I29" s="12">
        <v>3</v>
      </c>
      <c r="J29" s="11">
        <v>120</v>
      </c>
      <c r="K29" s="12">
        <v>90</v>
      </c>
      <c r="L29" s="11">
        <v>14</v>
      </c>
      <c r="M29" s="11">
        <v>4</v>
      </c>
      <c r="N29" s="11">
        <v>12</v>
      </c>
    </row>
    <row r="30" spans="1:14" x14ac:dyDescent="0.35">
      <c r="A30" s="12">
        <v>32</v>
      </c>
      <c r="B30" s="11">
        <v>6</v>
      </c>
      <c r="C30" s="12">
        <v>41</v>
      </c>
      <c r="D30" s="12">
        <v>70</v>
      </c>
      <c r="E30" s="12">
        <v>39</v>
      </c>
      <c r="F30" s="12">
        <v>12</v>
      </c>
      <c r="G30" s="12">
        <v>10</v>
      </c>
      <c r="H30" s="12">
        <v>5</v>
      </c>
      <c r="I30" s="12">
        <v>3</v>
      </c>
      <c r="J30" s="12">
        <v>120</v>
      </c>
      <c r="K30" s="12">
        <v>90</v>
      </c>
      <c r="L30" s="12">
        <v>14</v>
      </c>
      <c r="M30" s="12">
        <v>4</v>
      </c>
      <c r="N30" s="12">
        <v>12</v>
      </c>
    </row>
    <row r="31" spans="1:14" ht="15" customHeight="1" x14ac:dyDescent="0.35">
      <c r="A31" s="12">
        <v>32</v>
      </c>
      <c r="B31" s="11">
        <v>10</v>
      </c>
      <c r="C31" s="12">
        <v>41</v>
      </c>
      <c r="D31" s="11">
        <v>78</v>
      </c>
      <c r="E31" s="12">
        <v>39</v>
      </c>
      <c r="F31" s="11">
        <v>16</v>
      </c>
      <c r="G31" s="11">
        <v>12</v>
      </c>
      <c r="H31" s="12">
        <v>5</v>
      </c>
      <c r="I31" s="12">
        <v>3</v>
      </c>
      <c r="J31" s="11">
        <v>135</v>
      </c>
      <c r="K31" s="11">
        <v>100</v>
      </c>
      <c r="L31" s="11">
        <v>18</v>
      </c>
      <c r="M31" s="12">
        <v>4</v>
      </c>
      <c r="N31" s="11">
        <v>16</v>
      </c>
    </row>
    <row r="32" spans="1:14" x14ac:dyDescent="0.35">
      <c r="A32" s="12">
        <v>32</v>
      </c>
      <c r="B32" s="11">
        <v>16</v>
      </c>
      <c r="C32" s="12">
        <v>41</v>
      </c>
      <c r="D32" s="12">
        <v>78</v>
      </c>
      <c r="E32" s="12">
        <v>39</v>
      </c>
      <c r="F32" s="11">
        <v>18</v>
      </c>
      <c r="G32" s="11">
        <v>16</v>
      </c>
      <c r="H32" s="12">
        <v>5</v>
      </c>
      <c r="I32" s="12">
        <v>3</v>
      </c>
      <c r="J32" s="12">
        <v>135</v>
      </c>
      <c r="K32" s="12">
        <v>100</v>
      </c>
      <c r="L32" s="12">
        <v>18</v>
      </c>
      <c r="M32" s="12">
        <v>4</v>
      </c>
      <c r="N32" s="12">
        <v>16</v>
      </c>
    </row>
    <row r="33" spans="1:14" x14ac:dyDescent="0.35">
      <c r="A33" s="12">
        <v>32</v>
      </c>
      <c r="B33" s="11">
        <v>25</v>
      </c>
      <c r="C33" s="12">
        <v>41</v>
      </c>
      <c r="D33" s="12">
        <v>78</v>
      </c>
      <c r="E33" s="12">
        <v>39</v>
      </c>
      <c r="F33" s="11">
        <v>20</v>
      </c>
      <c r="G33" s="12">
        <v>16</v>
      </c>
      <c r="H33" s="12">
        <v>5</v>
      </c>
      <c r="I33" s="12">
        <v>3</v>
      </c>
      <c r="J33" s="12">
        <v>135</v>
      </c>
      <c r="K33" s="12">
        <v>100</v>
      </c>
      <c r="L33" s="12">
        <v>18</v>
      </c>
      <c r="M33" s="12">
        <v>4</v>
      </c>
      <c r="N33" s="12">
        <v>16</v>
      </c>
    </row>
    <row r="34" spans="1:14" x14ac:dyDescent="0.35">
      <c r="A34" s="11">
        <v>40</v>
      </c>
      <c r="B34" s="11">
        <v>1</v>
      </c>
      <c r="C34" s="11">
        <v>48</v>
      </c>
      <c r="D34" s="11">
        <v>80</v>
      </c>
      <c r="E34" s="11">
        <v>46</v>
      </c>
      <c r="F34" s="11">
        <v>12</v>
      </c>
      <c r="G34" s="11">
        <v>10</v>
      </c>
      <c r="H34" s="11">
        <v>5</v>
      </c>
      <c r="I34" s="11">
        <v>3</v>
      </c>
      <c r="J34" s="11">
        <v>130</v>
      </c>
      <c r="K34" s="11">
        <v>100</v>
      </c>
      <c r="L34" s="11">
        <v>14</v>
      </c>
      <c r="M34" s="11">
        <v>4</v>
      </c>
      <c r="N34" s="11">
        <v>12</v>
      </c>
    </row>
    <row r="35" spans="1:14" ht="15" customHeight="1" x14ac:dyDescent="0.35">
      <c r="A35" s="12">
        <v>40</v>
      </c>
      <c r="B35" s="11" t="s">
        <v>2399</v>
      </c>
      <c r="C35" s="12">
        <v>48</v>
      </c>
      <c r="D35" s="12">
        <v>80</v>
      </c>
      <c r="E35" s="12">
        <v>46</v>
      </c>
      <c r="F35" s="12">
        <v>12</v>
      </c>
      <c r="G35" s="12">
        <v>10</v>
      </c>
      <c r="H35" s="12">
        <v>5</v>
      </c>
      <c r="I35" s="12">
        <v>3</v>
      </c>
      <c r="J35" s="11">
        <v>130</v>
      </c>
      <c r="K35" s="12">
        <v>100</v>
      </c>
      <c r="L35" s="11">
        <v>14</v>
      </c>
      <c r="M35" s="11">
        <v>4</v>
      </c>
      <c r="N35" s="11">
        <v>12</v>
      </c>
    </row>
    <row r="36" spans="1:14" x14ac:dyDescent="0.35">
      <c r="A36" s="12">
        <v>40</v>
      </c>
      <c r="B36" s="11">
        <v>6</v>
      </c>
      <c r="C36" s="12">
        <v>48</v>
      </c>
      <c r="D36" s="12">
        <v>80</v>
      </c>
      <c r="E36" s="12">
        <v>46</v>
      </c>
      <c r="F36" s="12">
        <v>12</v>
      </c>
      <c r="G36" s="12">
        <v>10</v>
      </c>
      <c r="H36" s="12">
        <v>5</v>
      </c>
      <c r="I36" s="12">
        <v>3</v>
      </c>
      <c r="J36" s="12">
        <v>130</v>
      </c>
      <c r="K36" s="12">
        <v>100</v>
      </c>
      <c r="L36" s="12">
        <v>14</v>
      </c>
      <c r="M36" s="12">
        <v>4</v>
      </c>
      <c r="N36" s="12">
        <v>12</v>
      </c>
    </row>
    <row r="37" spans="1:14" ht="15" customHeight="1" x14ac:dyDescent="0.35">
      <c r="A37" s="12">
        <v>40</v>
      </c>
      <c r="B37" s="11">
        <v>10</v>
      </c>
      <c r="C37" s="12">
        <v>48</v>
      </c>
      <c r="D37" s="11">
        <v>88</v>
      </c>
      <c r="E37" s="12">
        <v>46</v>
      </c>
      <c r="F37" s="11">
        <v>18</v>
      </c>
      <c r="G37" s="11">
        <v>12</v>
      </c>
      <c r="H37" s="12">
        <v>5</v>
      </c>
      <c r="I37" s="12">
        <v>3</v>
      </c>
      <c r="J37" s="11">
        <v>145</v>
      </c>
      <c r="K37" s="11">
        <v>110</v>
      </c>
      <c r="L37" s="11">
        <v>18</v>
      </c>
      <c r="M37" s="12">
        <v>4</v>
      </c>
      <c r="N37" s="11">
        <v>16</v>
      </c>
    </row>
    <row r="38" spans="1:14" x14ac:dyDescent="0.35">
      <c r="A38" s="12">
        <v>40</v>
      </c>
      <c r="B38" s="11">
        <v>16</v>
      </c>
      <c r="C38" s="12">
        <v>48</v>
      </c>
      <c r="D38" s="12">
        <v>88</v>
      </c>
      <c r="E38" s="12">
        <v>46</v>
      </c>
      <c r="F38" s="11">
        <v>20</v>
      </c>
      <c r="G38" s="11">
        <v>16</v>
      </c>
      <c r="H38" s="12">
        <v>5</v>
      </c>
      <c r="I38" s="12">
        <v>3</v>
      </c>
      <c r="J38" s="12">
        <v>145</v>
      </c>
      <c r="K38" s="12">
        <v>110</v>
      </c>
      <c r="L38" s="12">
        <v>18</v>
      </c>
      <c r="M38" s="12">
        <v>4</v>
      </c>
      <c r="N38" s="12">
        <v>16</v>
      </c>
    </row>
    <row r="39" spans="1:14" x14ac:dyDescent="0.35">
      <c r="A39" s="12">
        <v>40</v>
      </c>
      <c r="B39" s="11">
        <v>25</v>
      </c>
      <c r="C39" s="12">
        <v>48</v>
      </c>
      <c r="D39" s="12">
        <v>88</v>
      </c>
      <c r="E39" s="12">
        <v>46</v>
      </c>
      <c r="F39" s="11">
        <v>22</v>
      </c>
      <c r="G39" s="11">
        <v>18</v>
      </c>
      <c r="H39" s="12">
        <v>5</v>
      </c>
      <c r="I39" s="12">
        <v>3</v>
      </c>
      <c r="J39" s="12">
        <v>145</v>
      </c>
      <c r="K39" s="12">
        <v>110</v>
      </c>
      <c r="L39" s="12">
        <v>18</v>
      </c>
      <c r="M39" s="12">
        <v>4</v>
      </c>
      <c r="N39" s="12">
        <v>16</v>
      </c>
    </row>
    <row r="40" spans="1:14" x14ac:dyDescent="0.35">
      <c r="A40" s="11">
        <v>50</v>
      </c>
      <c r="B40" s="11">
        <v>1</v>
      </c>
      <c r="C40" s="11">
        <v>61</v>
      </c>
      <c r="D40" s="11">
        <v>90</v>
      </c>
      <c r="E40" s="11">
        <v>59</v>
      </c>
      <c r="F40" s="11">
        <v>12</v>
      </c>
      <c r="G40" s="11">
        <v>12</v>
      </c>
      <c r="H40" s="11">
        <v>5</v>
      </c>
      <c r="I40" s="11">
        <v>3</v>
      </c>
      <c r="J40" s="11">
        <v>140</v>
      </c>
      <c r="K40" s="11">
        <v>110</v>
      </c>
      <c r="L40" s="11">
        <v>14</v>
      </c>
      <c r="M40" s="11">
        <v>4</v>
      </c>
      <c r="N40" s="11">
        <v>12</v>
      </c>
    </row>
    <row r="41" spans="1:14" ht="15" customHeight="1" x14ac:dyDescent="0.35">
      <c r="A41" s="12">
        <v>50</v>
      </c>
      <c r="B41" s="11" t="s">
        <v>2399</v>
      </c>
      <c r="C41" s="12">
        <v>61</v>
      </c>
      <c r="D41" s="12">
        <v>90</v>
      </c>
      <c r="E41" s="12">
        <v>59</v>
      </c>
      <c r="F41" s="12">
        <v>12</v>
      </c>
      <c r="G41" s="12">
        <v>12</v>
      </c>
      <c r="H41" s="12">
        <v>5</v>
      </c>
      <c r="I41" s="12">
        <v>3</v>
      </c>
      <c r="J41" s="11">
        <v>140</v>
      </c>
      <c r="K41" s="12">
        <v>110</v>
      </c>
      <c r="L41" s="11">
        <v>14</v>
      </c>
      <c r="M41" s="11">
        <v>4</v>
      </c>
      <c r="N41" s="11">
        <v>12</v>
      </c>
    </row>
    <row r="42" spans="1:14" x14ac:dyDescent="0.35">
      <c r="A42" s="12">
        <v>50</v>
      </c>
      <c r="B42" s="11">
        <v>6</v>
      </c>
      <c r="C42" s="12">
        <v>61</v>
      </c>
      <c r="D42" s="12">
        <v>90</v>
      </c>
      <c r="E42" s="12">
        <v>59</v>
      </c>
      <c r="F42" s="12">
        <v>12</v>
      </c>
      <c r="G42" s="12">
        <v>12</v>
      </c>
      <c r="H42" s="12">
        <v>5</v>
      </c>
      <c r="I42" s="12">
        <v>3</v>
      </c>
      <c r="J42" s="12">
        <v>140</v>
      </c>
      <c r="K42" s="12">
        <v>110</v>
      </c>
      <c r="L42" s="12">
        <v>14</v>
      </c>
      <c r="M42" s="12">
        <v>4</v>
      </c>
      <c r="N42" s="12">
        <v>12</v>
      </c>
    </row>
    <row r="43" spans="1:14" ht="15" customHeight="1" x14ac:dyDescent="0.35">
      <c r="A43" s="12">
        <v>50</v>
      </c>
      <c r="B43" s="11">
        <v>10</v>
      </c>
      <c r="C43" s="12">
        <v>61</v>
      </c>
      <c r="D43" s="11">
        <v>102</v>
      </c>
      <c r="E43" s="12">
        <v>59</v>
      </c>
      <c r="F43" s="11">
        <v>18</v>
      </c>
      <c r="G43" s="11">
        <v>14</v>
      </c>
      <c r="H43" s="12">
        <v>5</v>
      </c>
      <c r="I43" s="12">
        <v>3</v>
      </c>
      <c r="J43" s="11">
        <v>160</v>
      </c>
      <c r="K43" s="11">
        <v>125</v>
      </c>
      <c r="L43" s="11">
        <v>18</v>
      </c>
      <c r="M43" s="12">
        <v>4</v>
      </c>
      <c r="N43" s="11">
        <v>16</v>
      </c>
    </row>
    <row r="44" spans="1:14" x14ac:dyDescent="0.35">
      <c r="A44" s="12">
        <v>50</v>
      </c>
      <c r="B44" s="11">
        <v>16</v>
      </c>
      <c r="C44" s="12">
        <v>61</v>
      </c>
      <c r="D44" s="12">
        <v>102</v>
      </c>
      <c r="E44" s="12">
        <v>59</v>
      </c>
      <c r="F44" s="11">
        <v>20</v>
      </c>
      <c r="G44" s="11">
        <v>16</v>
      </c>
      <c r="H44" s="12">
        <v>5</v>
      </c>
      <c r="I44" s="12">
        <v>3</v>
      </c>
      <c r="J44" s="12">
        <v>160</v>
      </c>
      <c r="K44" s="12">
        <v>125</v>
      </c>
      <c r="L44" s="12">
        <v>18</v>
      </c>
      <c r="M44" s="12">
        <v>4</v>
      </c>
      <c r="N44" s="12">
        <v>16</v>
      </c>
    </row>
    <row r="45" spans="1:14" x14ac:dyDescent="0.35">
      <c r="A45" s="12">
        <v>50</v>
      </c>
      <c r="B45" s="11">
        <v>25</v>
      </c>
      <c r="C45" s="12">
        <v>61</v>
      </c>
      <c r="D45" s="12">
        <v>102</v>
      </c>
      <c r="E45" s="12">
        <v>59</v>
      </c>
      <c r="F45" s="11">
        <v>22</v>
      </c>
      <c r="G45" s="11">
        <v>18</v>
      </c>
      <c r="H45" s="12">
        <v>5</v>
      </c>
      <c r="I45" s="12">
        <v>3</v>
      </c>
      <c r="J45" s="12">
        <v>160</v>
      </c>
      <c r="K45" s="12">
        <v>125</v>
      </c>
      <c r="L45" s="12">
        <v>18</v>
      </c>
      <c r="M45" s="12">
        <v>4</v>
      </c>
      <c r="N45" s="12">
        <v>16</v>
      </c>
    </row>
    <row r="46" spans="1:14" x14ac:dyDescent="0.35">
      <c r="A46" s="11">
        <v>65</v>
      </c>
      <c r="B46" s="11">
        <v>1</v>
      </c>
      <c r="C46" s="11">
        <v>80</v>
      </c>
      <c r="D46" s="11">
        <v>110</v>
      </c>
      <c r="E46" s="11">
        <v>78</v>
      </c>
      <c r="F46" s="11">
        <v>14</v>
      </c>
      <c r="G46" s="11">
        <v>14</v>
      </c>
      <c r="H46" s="11">
        <v>6</v>
      </c>
      <c r="I46" s="11">
        <v>4</v>
      </c>
      <c r="J46" s="11">
        <v>160</v>
      </c>
      <c r="K46" s="11">
        <v>130</v>
      </c>
      <c r="L46" s="11">
        <v>14</v>
      </c>
      <c r="M46" s="11">
        <v>4</v>
      </c>
      <c r="N46" s="11">
        <v>12</v>
      </c>
    </row>
    <row r="47" spans="1:14" ht="15" customHeight="1" x14ac:dyDescent="0.35">
      <c r="A47" s="12">
        <v>65</v>
      </c>
      <c r="B47" s="11" t="s">
        <v>2399</v>
      </c>
      <c r="C47" s="12">
        <v>80</v>
      </c>
      <c r="D47" s="12">
        <v>110</v>
      </c>
      <c r="E47" s="12">
        <v>78</v>
      </c>
      <c r="F47" s="12">
        <v>14</v>
      </c>
      <c r="G47" s="12">
        <v>14</v>
      </c>
      <c r="H47" s="12">
        <v>6</v>
      </c>
      <c r="I47" s="12">
        <v>4</v>
      </c>
      <c r="J47" s="11">
        <v>160</v>
      </c>
      <c r="K47" s="12">
        <v>130</v>
      </c>
      <c r="L47" s="11">
        <v>14</v>
      </c>
      <c r="M47" s="11">
        <v>4</v>
      </c>
      <c r="N47" s="11">
        <v>12</v>
      </c>
    </row>
    <row r="48" spans="1:14" x14ac:dyDescent="0.35">
      <c r="A48" s="12">
        <v>65</v>
      </c>
      <c r="B48" s="11">
        <v>6</v>
      </c>
      <c r="C48" s="12">
        <v>80</v>
      </c>
      <c r="D48" s="12">
        <v>110</v>
      </c>
      <c r="E48" s="12">
        <v>78</v>
      </c>
      <c r="F48" s="12">
        <v>14</v>
      </c>
      <c r="G48" s="12">
        <v>14</v>
      </c>
      <c r="H48" s="12">
        <v>6</v>
      </c>
      <c r="I48" s="12">
        <v>4</v>
      </c>
      <c r="J48" s="12">
        <v>160</v>
      </c>
      <c r="K48" s="12">
        <v>130</v>
      </c>
      <c r="L48" s="12">
        <v>14</v>
      </c>
      <c r="M48" s="12">
        <v>4</v>
      </c>
      <c r="N48" s="12">
        <v>12</v>
      </c>
    </row>
    <row r="49" spans="1:14" ht="15" customHeight="1" x14ac:dyDescent="0.35">
      <c r="A49" s="12">
        <v>65</v>
      </c>
      <c r="B49" s="11">
        <v>10</v>
      </c>
      <c r="C49" s="12">
        <v>80</v>
      </c>
      <c r="D49" s="11">
        <v>122</v>
      </c>
      <c r="E49" s="12">
        <v>78</v>
      </c>
      <c r="F49" s="11">
        <v>20</v>
      </c>
      <c r="G49" s="11">
        <v>16</v>
      </c>
      <c r="H49" s="12">
        <v>6</v>
      </c>
      <c r="I49" s="12">
        <v>4</v>
      </c>
      <c r="J49" s="11">
        <v>180</v>
      </c>
      <c r="K49" s="11">
        <v>145</v>
      </c>
      <c r="L49" s="11">
        <v>18</v>
      </c>
      <c r="M49" s="11">
        <v>4</v>
      </c>
      <c r="N49" s="11">
        <v>16</v>
      </c>
    </row>
    <row r="50" spans="1:14" x14ac:dyDescent="0.35">
      <c r="A50" s="12">
        <v>65</v>
      </c>
      <c r="B50" s="11">
        <v>16</v>
      </c>
      <c r="C50" s="12">
        <v>80</v>
      </c>
      <c r="D50" s="12">
        <v>122</v>
      </c>
      <c r="E50" s="12">
        <v>78</v>
      </c>
      <c r="F50" s="11">
        <v>22</v>
      </c>
      <c r="G50" s="11">
        <v>18</v>
      </c>
      <c r="H50" s="12">
        <v>6</v>
      </c>
      <c r="I50" s="12">
        <v>4</v>
      </c>
      <c r="J50" s="12">
        <v>180</v>
      </c>
      <c r="K50" s="12">
        <v>145</v>
      </c>
      <c r="L50" s="12">
        <v>18</v>
      </c>
      <c r="M50" s="12">
        <v>4</v>
      </c>
      <c r="N50" s="12">
        <v>16</v>
      </c>
    </row>
    <row r="51" spans="1:14" x14ac:dyDescent="0.35">
      <c r="A51" s="12">
        <v>65</v>
      </c>
      <c r="B51" s="11">
        <v>25</v>
      </c>
      <c r="C51" s="12">
        <v>80</v>
      </c>
      <c r="D51" s="12">
        <v>122</v>
      </c>
      <c r="E51" s="12">
        <v>78</v>
      </c>
      <c r="F51" s="11">
        <v>24</v>
      </c>
      <c r="G51" s="11">
        <v>20</v>
      </c>
      <c r="H51" s="12">
        <v>6</v>
      </c>
      <c r="I51" s="12">
        <v>4</v>
      </c>
      <c r="J51" s="12">
        <v>180</v>
      </c>
      <c r="K51" s="12">
        <v>145</v>
      </c>
      <c r="L51" s="12">
        <v>18</v>
      </c>
      <c r="M51" s="12">
        <v>4</v>
      </c>
      <c r="N51" s="12">
        <v>16</v>
      </c>
    </row>
    <row r="52" spans="1:14" x14ac:dyDescent="0.35">
      <c r="A52" s="11">
        <v>80</v>
      </c>
      <c r="B52" s="11">
        <v>1</v>
      </c>
      <c r="C52" s="11">
        <v>93</v>
      </c>
      <c r="D52" s="11">
        <v>128</v>
      </c>
      <c r="E52" s="11">
        <v>91</v>
      </c>
      <c r="F52" s="11">
        <v>14</v>
      </c>
      <c r="G52" s="11">
        <v>14</v>
      </c>
      <c r="H52" s="11">
        <v>6</v>
      </c>
      <c r="I52" s="11">
        <v>4</v>
      </c>
      <c r="J52" s="11">
        <v>185</v>
      </c>
      <c r="K52" s="11">
        <v>150</v>
      </c>
      <c r="L52" s="11">
        <v>18</v>
      </c>
      <c r="M52" s="11">
        <v>4</v>
      </c>
      <c r="N52" s="11">
        <v>16</v>
      </c>
    </row>
    <row r="53" spans="1:14" ht="15" customHeight="1" x14ac:dyDescent="0.35">
      <c r="A53" s="12">
        <v>80</v>
      </c>
      <c r="B53" s="11" t="s">
        <v>2399</v>
      </c>
      <c r="C53" s="12">
        <v>93</v>
      </c>
      <c r="D53" s="12">
        <v>128</v>
      </c>
      <c r="E53" s="12">
        <v>91</v>
      </c>
      <c r="F53" s="12">
        <v>14</v>
      </c>
      <c r="G53" s="12">
        <v>14</v>
      </c>
      <c r="H53" s="12">
        <v>6</v>
      </c>
      <c r="I53" s="12">
        <v>4</v>
      </c>
      <c r="J53" s="12">
        <v>185</v>
      </c>
      <c r="K53" s="12">
        <v>150</v>
      </c>
      <c r="L53" s="11">
        <v>18</v>
      </c>
      <c r="M53" s="11">
        <v>4</v>
      </c>
      <c r="N53" s="11">
        <v>16</v>
      </c>
    </row>
    <row r="54" spans="1:14" x14ac:dyDescent="0.35">
      <c r="A54" s="12">
        <v>80</v>
      </c>
      <c r="B54" s="11">
        <v>6</v>
      </c>
      <c r="C54" s="12">
        <v>93</v>
      </c>
      <c r="D54" s="12">
        <v>128</v>
      </c>
      <c r="E54" s="12">
        <v>91</v>
      </c>
      <c r="F54" s="12">
        <v>14</v>
      </c>
      <c r="G54" s="12">
        <v>14</v>
      </c>
      <c r="H54" s="12">
        <v>6</v>
      </c>
      <c r="I54" s="12">
        <v>4</v>
      </c>
      <c r="J54" s="12">
        <v>185</v>
      </c>
      <c r="K54" s="12">
        <v>150</v>
      </c>
      <c r="L54" s="12">
        <v>18</v>
      </c>
      <c r="M54" s="12">
        <v>4</v>
      </c>
      <c r="N54" s="12">
        <v>16</v>
      </c>
    </row>
    <row r="55" spans="1:14" x14ac:dyDescent="0.35">
      <c r="A55" s="12">
        <v>80</v>
      </c>
      <c r="B55" s="11">
        <v>10</v>
      </c>
      <c r="C55" s="12">
        <v>93</v>
      </c>
      <c r="D55" s="11">
        <v>133</v>
      </c>
      <c r="E55" s="12">
        <v>91</v>
      </c>
      <c r="F55" s="11">
        <v>22</v>
      </c>
      <c r="G55" s="11">
        <v>16</v>
      </c>
      <c r="H55" s="12">
        <v>6</v>
      </c>
      <c r="I55" s="12">
        <v>4</v>
      </c>
      <c r="J55" s="11">
        <v>195</v>
      </c>
      <c r="K55" s="11">
        <v>160</v>
      </c>
      <c r="L55" s="12">
        <v>18</v>
      </c>
      <c r="M55" s="11">
        <v>4</v>
      </c>
      <c r="N55" s="12">
        <v>16</v>
      </c>
    </row>
    <row r="56" spans="1:14" x14ac:dyDescent="0.35">
      <c r="A56" s="12">
        <v>80</v>
      </c>
      <c r="B56" s="11">
        <v>16</v>
      </c>
      <c r="C56" s="12">
        <v>93</v>
      </c>
      <c r="D56" s="12">
        <v>133</v>
      </c>
      <c r="E56" s="12">
        <v>91</v>
      </c>
      <c r="F56" s="11">
        <v>24</v>
      </c>
      <c r="G56" s="11">
        <v>18</v>
      </c>
      <c r="H56" s="12">
        <v>6</v>
      </c>
      <c r="I56" s="12">
        <v>4</v>
      </c>
      <c r="J56" s="12">
        <v>195</v>
      </c>
      <c r="K56" s="12">
        <v>160</v>
      </c>
      <c r="L56" s="12">
        <v>18</v>
      </c>
      <c r="M56" s="12">
        <v>4</v>
      </c>
      <c r="N56" s="12">
        <v>16</v>
      </c>
    </row>
    <row r="57" spans="1:14" x14ac:dyDescent="0.35">
      <c r="A57" s="12">
        <v>80</v>
      </c>
      <c r="B57" s="11">
        <v>25</v>
      </c>
      <c r="C57" s="12">
        <v>93</v>
      </c>
      <c r="D57" s="12">
        <v>133</v>
      </c>
      <c r="E57" s="12">
        <v>91</v>
      </c>
      <c r="F57" s="11">
        <v>26</v>
      </c>
      <c r="G57" s="11">
        <v>20</v>
      </c>
      <c r="H57" s="12">
        <v>6</v>
      </c>
      <c r="I57" s="12">
        <v>4</v>
      </c>
      <c r="J57" s="12">
        <v>195</v>
      </c>
      <c r="K57" s="12">
        <v>160</v>
      </c>
      <c r="L57" s="12">
        <v>18</v>
      </c>
      <c r="M57" s="12">
        <v>4</v>
      </c>
      <c r="N57" s="12">
        <v>16</v>
      </c>
    </row>
    <row r="58" spans="1:14" x14ac:dyDescent="0.35">
      <c r="A58" s="13">
        <v>100</v>
      </c>
      <c r="B58" s="13">
        <v>1</v>
      </c>
      <c r="C58" s="11">
        <v>112</v>
      </c>
      <c r="D58" s="13">
        <v>148</v>
      </c>
      <c r="E58" s="11">
        <v>110</v>
      </c>
      <c r="F58" s="13">
        <v>14</v>
      </c>
      <c r="G58" s="13">
        <v>14</v>
      </c>
      <c r="H58" s="13">
        <v>6</v>
      </c>
      <c r="I58" s="13">
        <v>4</v>
      </c>
      <c r="J58" s="13">
        <v>205</v>
      </c>
      <c r="K58" s="13">
        <v>170</v>
      </c>
      <c r="L58" s="13">
        <v>18</v>
      </c>
      <c r="M58" s="13">
        <v>4</v>
      </c>
      <c r="N58" s="13">
        <v>16</v>
      </c>
    </row>
    <row r="59" spans="1:14" x14ac:dyDescent="0.35">
      <c r="A59" s="13">
        <v>100</v>
      </c>
      <c r="B59" s="13">
        <v>1</v>
      </c>
      <c r="C59" s="11">
        <v>118</v>
      </c>
      <c r="D59" s="13">
        <v>148</v>
      </c>
      <c r="E59" s="11" t="s">
        <v>2490</v>
      </c>
      <c r="F59" s="13">
        <v>14</v>
      </c>
      <c r="G59" s="13">
        <v>14</v>
      </c>
      <c r="H59" s="13">
        <v>6</v>
      </c>
      <c r="I59" s="13">
        <v>4</v>
      </c>
      <c r="J59" s="13">
        <v>205</v>
      </c>
      <c r="K59" s="13">
        <v>170</v>
      </c>
      <c r="L59" s="13">
        <v>18</v>
      </c>
      <c r="M59" s="13">
        <v>4</v>
      </c>
      <c r="N59" s="13">
        <v>16</v>
      </c>
    </row>
    <row r="60" spans="1:14" ht="15" customHeight="1" x14ac:dyDescent="0.35">
      <c r="A60" s="12">
        <v>100</v>
      </c>
      <c r="B60" s="11" t="s">
        <v>2399</v>
      </c>
      <c r="C60" s="12">
        <v>118</v>
      </c>
      <c r="D60" s="12">
        <v>148</v>
      </c>
      <c r="E60" s="12" t="s">
        <v>2490</v>
      </c>
      <c r="F60" s="12">
        <v>14</v>
      </c>
      <c r="G60" s="12">
        <v>14</v>
      </c>
      <c r="H60" s="12">
        <v>6</v>
      </c>
      <c r="I60" s="12">
        <v>4</v>
      </c>
      <c r="J60" s="12">
        <v>205</v>
      </c>
      <c r="K60" s="12">
        <v>170</v>
      </c>
      <c r="L60" s="11">
        <v>18</v>
      </c>
      <c r="M60" s="11">
        <v>4</v>
      </c>
      <c r="N60" s="11">
        <v>16</v>
      </c>
    </row>
    <row r="61" spans="1:14" x14ac:dyDescent="0.35">
      <c r="A61" s="12">
        <v>100</v>
      </c>
      <c r="B61" s="13">
        <v>6</v>
      </c>
      <c r="C61" s="11">
        <v>112</v>
      </c>
      <c r="D61" s="12">
        <v>148</v>
      </c>
      <c r="E61" s="11">
        <v>110</v>
      </c>
      <c r="F61" s="12">
        <v>14</v>
      </c>
      <c r="G61" s="12">
        <v>14</v>
      </c>
      <c r="H61" s="12">
        <v>6</v>
      </c>
      <c r="I61" s="12">
        <v>4</v>
      </c>
      <c r="J61" s="12">
        <v>205</v>
      </c>
      <c r="K61" s="12">
        <v>170</v>
      </c>
      <c r="L61" s="12">
        <v>18</v>
      </c>
      <c r="M61" s="12">
        <v>4</v>
      </c>
      <c r="N61" s="12">
        <v>16</v>
      </c>
    </row>
    <row r="62" spans="1:14" x14ac:dyDescent="0.35">
      <c r="A62" s="12">
        <v>100</v>
      </c>
      <c r="B62" s="13">
        <v>6</v>
      </c>
      <c r="C62" s="11">
        <v>118</v>
      </c>
      <c r="D62" s="12">
        <v>148</v>
      </c>
      <c r="E62" s="11" t="s">
        <v>2490</v>
      </c>
      <c r="F62" s="12">
        <v>14</v>
      </c>
      <c r="G62" s="12">
        <v>14</v>
      </c>
      <c r="H62" s="12">
        <v>6</v>
      </c>
      <c r="I62" s="12">
        <v>4</v>
      </c>
      <c r="J62" s="12">
        <v>205</v>
      </c>
      <c r="K62" s="12">
        <v>170</v>
      </c>
      <c r="L62" s="12">
        <v>18</v>
      </c>
      <c r="M62" s="12">
        <v>4</v>
      </c>
      <c r="N62" s="12">
        <v>16</v>
      </c>
    </row>
    <row r="63" spans="1:14" x14ac:dyDescent="0.35">
      <c r="A63" s="12">
        <v>100</v>
      </c>
      <c r="B63" s="13">
        <v>10</v>
      </c>
      <c r="C63" s="11">
        <v>112</v>
      </c>
      <c r="D63" s="13">
        <v>158</v>
      </c>
      <c r="E63" s="11">
        <v>110</v>
      </c>
      <c r="F63" s="13">
        <v>24</v>
      </c>
      <c r="G63" s="13">
        <v>16</v>
      </c>
      <c r="H63" s="12">
        <v>6</v>
      </c>
      <c r="I63" s="12">
        <v>4</v>
      </c>
      <c r="J63" s="13">
        <v>215</v>
      </c>
      <c r="K63" s="13">
        <v>180</v>
      </c>
      <c r="L63" s="12">
        <v>18</v>
      </c>
      <c r="M63" s="13">
        <v>8</v>
      </c>
      <c r="N63" s="12">
        <v>16</v>
      </c>
    </row>
    <row r="64" spans="1:14" x14ac:dyDescent="0.35">
      <c r="A64" s="12">
        <v>100</v>
      </c>
      <c r="B64" s="13">
        <v>10</v>
      </c>
      <c r="C64" s="11">
        <v>118</v>
      </c>
      <c r="D64" s="13">
        <v>158</v>
      </c>
      <c r="E64" s="11">
        <v>116</v>
      </c>
      <c r="F64" s="13">
        <v>24</v>
      </c>
      <c r="G64" s="13">
        <v>16</v>
      </c>
      <c r="H64" s="12">
        <v>6</v>
      </c>
      <c r="I64" s="12">
        <v>4</v>
      </c>
      <c r="J64" s="13">
        <v>215</v>
      </c>
      <c r="K64" s="13">
        <v>180</v>
      </c>
      <c r="L64" s="12">
        <v>18</v>
      </c>
      <c r="M64" s="13">
        <v>8</v>
      </c>
      <c r="N64" s="12">
        <v>16</v>
      </c>
    </row>
    <row r="65" spans="1:14" x14ac:dyDescent="0.35">
      <c r="A65" s="12">
        <v>100</v>
      </c>
      <c r="B65" s="13">
        <v>16</v>
      </c>
      <c r="C65" s="11">
        <v>112</v>
      </c>
      <c r="D65" s="12">
        <v>158</v>
      </c>
      <c r="E65" s="11">
        <v>110</v>
      </c>
      <c r="F65" s="13">
        <v>26</v>
      </c>
      <c r="G65" s="13">
        <v>20</v>
      </c>
      <c r="H65" s="12">
        <v>6</v>
      </c>
      <c r="I65" s="12">
        <v>4</v>
      </c>
      <c r="J65" s="12">
        <v>215</v>
      </c>
      <c r="K65" s="12">
        <v>180</v>
      </c>
      <c r="L65" s="12">
        <v>18</v>
      </c>
      <c r="M65" s="12">
        <v>8</v>
      </c>
      <c r="N65" s="12">
        <v>16</v>
      </c>
    </row>
    <row r="66" spans="1:14" x14ac:dyDescent="0.35">
      <c r="A66" s="12">
        <v>100</v>
      </c>
      <c r="B66" s="13">
        <v>16</v>
      </c>
      <c r="C66" s="11">
        <v>118</v>
      </c>
      <c r="D66" s="12">
        <v>158</v>
      </c>
      <c r="E66" s="11">
        <v>116</v>
      </c>
      <c r="F66" s="13">
        <v>26</v>
      </c>
      <c r="G66" s="13">
        <v>20</v>
      </c>
      <c r="H66" s="12">
        <v>6</v>
      </c>
      <c r="I66" s="12">
        <v>4</v>
      </c>
      <c r="J66" s="12">
        <v>215</v>
      </c>
      <c r="K66" s="12">
        <v>180</v>
      </c>
      <c r="L66" s="12">
        <v>18</v>
      </c>
      <c r="M66" s="12">
        <v>8</v>
      </c>
      <c r="N66" s="12">
        <v>16</v>
      </c>
    </row>
    <row r="67" spans="1:14" x14ac:dyDescent="0.35">
      <c r="A67" s="12">
        <v>100</v>
      </c>
      <c r="B67" s="13">
        <v>25</v>
      </c>
      <c r="C67" s="11">
        <v>112</v>
      </c>
      <c r="D67" s="12">
        <v>158</v>
      </c>
      <c r="E67" s="14">
        <v>110116</v>
      </c>
      <c r="F67" s="13">
        <v>28</v>
      </c>
      <c r="G67" s="13">
        <v>22</v>
      </c>
      <c r="H67" s="12">
        <v>6</v>
      </c>
      <c r="I67" s="12">
        <v>4</v>
      </c>
      <c r="J67" s="13">
        <v>230</v>
      </c>
      <c r="K67" s="13">
        <v>190</v>
      </c>
      <c r="L67" s="13">
        <v>22</v>
      </c>
      <c r="M67" s="12">
        <v>8</v>
      </c>
      <c r="N67" s="13">
        <v>20</v>
      </c>
    </row>
    <row r="68" spans="1:14" x14ac:dyDescent="0.35">
      <c r="A68" s="12">
        <v>100</v>
      </c>
      <c r="B68" s="13">
        <v>25</v>
      </c>
      <c r="C68" s="11">
        <v>118</v>
      </c>
      <c r="D68" s="12">
        <v>158</v>
      </c>
      <c r="E68" s="14">
        <v>110116</v>
      </c>
      <c r="F68" s="13">
        <v>28</v>
      </c>
      <c r="G68" s="13">
        <v>22</v>
      </c>
      <c r="H68" s="12">
        <v>6</v>
      </c>
      <c r="I68" s="12">
        <v>4</v>
      </c>
      <c r="J68" s="13">
        <v>230</v>
      </c>
      <c r="K68" s="13">
        <v>190</v>
      </c>
      <c r="L68" s="13">
        <v>22</v>
      </c>
      <c r="M68" s="12">
        <v>8</v>
      </c>
      <c r="N68" s="13">
        <v>20</v>
      </c>
    </row>
    <row r="69" spans="1:14" x14ac:dyDescent="0.35">
      <c r="A69" s="13">
        <v>125</v>
      </c>
      <c r="B69" s="13">
        <v>1</v>
      </c>
      <c r="C69" s="11">
        <v>138</v>
      </c>
      <c r="D69" s="13">
        <v>178</v>
      </c>
      <c r="E69" s="11">
        <v>135</v>
      </c>
      <c r="F69" s="13">
        <v>14</v>
      </c>
      <c r="G69" s="13">
        <v>14</v>
      </c>
      <c r="H69" s="13">
        <v>6</v>
      </c>
      <c r="I69" s="13">
        <v>4</v>
      </c>
      <c r="J69" s="13">
        <v>235</v>
      </c>
      <c r="K69" s="13">
        <v>200</v>
      </c>
      <c r="L69" s="13">
        <v>18</v>
      </c>
      <c r="M69" s="13">
        <v>8</v>
      </c>
      <c r="N69" s="13">
        <v>16</v>
      </c>
    </row>
    <row r="70" spans="1:14" x14ac:dyDescent="0.35">
      <c r="A70" s="13">
        <v>125</v>
      </c>
      <c r="B70" s="13">
        <v>1</v>
      </c>
      <c r="C70" s="11">
        <v>145</v>
      </c>
      <c r="D70" s="13">
        <v>178</v>
      </c>
      <c r="E70" s="11">
        <v>142</v>
      </c>
      <c r="F70" s="13">
        <v>14</v>
      </c>
      <c r="G70" s="13">
        <v>14</v>
      </c>
      <c r="H70" s="13">
        <v>6</v>
      </c>
      <c r="I70" s="13">
        <v>4</v>
      </c>
      <c r="J70" s="13">
        <v>235</v>
      </c>
      <c r="K70" s="13">
        <v>200</v>
      </c>
      <c r="L70" s="13">
        <v>18</v>
      </c>
      <c r="M70" s="13">
        <v>8</v>
      </c>
      <c r="N70" s="13">
        <v>16</v>
      </c>
    </row>
    <row r="71" spans="1:14" ht="15" customHeight="1" x14ac:dyDescent="0.35">
      <c r="A71" s="12">
        <v>125</v>
      </c>
      <c r="B71" s="11" t="s">
        <v>2399</v>
      </c>
      <c r="C71" s="12">
        <v>145</v>
      </c>
      <c r="D71" s="12">
        <v>178</v>
      </c>
      <c r="E71" s="12">
        <v>142</v>
      </c>
      <c r="F71" s="12">
        <v>14</v>
      </c>
      <c r="G71" s="12">
        <v>14</v>
      </c>
      <c r="H71" s="12">
        <v>6</v>
      </c>
      <c r="I71" s="12">
        <v>4</v>
      </c>
      <c r="J71" s="12">
        <v>235</v>
      </c>
      <c r="K71" s="12">
        <v>200</v>
      </c>
      <c r="L71" s="11">
        <v>18</v>
      </c>
      <c r="M71" s="11">
        <v>8</v>
      </c>
      <c r="N71" s="11">
        <v>16</v>
      </c>
    </row>
    <row r="72" spans="1:14" x14ac:dyDescent="0.35">
      <c r="A72" s="12">
        <v>125</v>
      </c>
      <c r="B72" s="13">
        <v>6</v>
      </c>
      <c r="C72" s="11">
        <v>138</v>
      </c>
      <c r="D72" s="12">
        <v>178</v>
      </c>
      <c r="E72" s="11">
        <v>135</v>
      </c>
      <c r="F72" s="12">
        <v>14</v>
      </c>
      <c r="G72" s="12">
        <v>14</v>
      </c>
      <c r="H72" s="12">
        <v>6</v>
      </c>
      <c r="I72" s="12">
        <v>4</v>
      </c>
      <c r="J72" s="12">
        <v>235</v>
      </c>
      <c r="K72" s="12">
        <v>200</v>
      </c>
      <c r="L72" s="12">
        <v>18</v>
      </c>
      <c r="M72" s="12">
        <v>8</v>
      </c>
      <c r="N72" s="12">
        <v>16</v>
      </c>
    </row>
    <row r="73" spans="1:14" x14ac:dyDescent="0.35">
      <c r="A73" s="12">
        <v>125</v>
      </c>
      <c r="B73" s="13">
        <v>6</v>
      </c>
      <c r="C73" s="11">
        <v>145</v>
      </c>
      <c r="D73" s="12">
        <v>178</v>
      </c>
      <c r="E73" s="11">
        <v>142</v>
      </c>
      <c r="F73" s="12">
        <v>14</v>
      </c>
      <c r="G73" s="12">
        <v>14</v>
      </c>
      <c r="H73" s="12">
        <v>6</v>
      </c>
      <c r="I73" s="12">
        <v>4</v>
      </c>
      <c r="J73" s="12">
        <v>235</v>
      </c>
      <c r="K73" s="12">
        <v>200</v>
      </c>
      <c r="L73" s="12">
        <v>18</v>
      </c>
      <c r="M73" s="12">
        <v>8</v>
      </c>
      <c r="N73" s="12">
        <v>16</v>
      </c>
    </row>
    <row r="74" spans="1:14" x14ac:dyDescent="0.35">
      <c r="A74" s="12">
        <v>125</v>
      </c>
      <c r="B74" s="13">
        <v>10</v>
      </c>
      <c r="C74" s="11">
        <v>138</v>
      </c>
      <c r="D74" s="13">
        <v>184</v>
      </c>
      <c r="E74" s="11">
        <v>135</v>
      </c>
      <c r="F74" s="13">
        <v>26</v>
      </c>
      <c r="G74" s="13">
        <v>18</v>
      </c>
      <c r="H74" s="12">
        <v>6</v>
      </c>
      <c r="I74" s="12">
        <v>4</v>
      </c>
      <c r="J74" s="13">
        <v>245</v>
      </c>
      <c r="K74" s="13">
        <v>210</v>
      </c>
      <c r="L74" s="12">
        <v>18</v>
      </c>
      <c r="M74" s="12">
        <v>8</v>
      </c>
      <c r="N74" s="12">
        <v>16</v>
      </c>
    </row>
    <row r="75" spans="1:14" x14ac:dyDescent="0.35">
      <c r="A75" s="12">
        <v>125</v>
      </c>
      <c r="B75" s="13">
        <v>10</v>
      </c>
      <c r="C75" s="11">
        <v>145</v>
      </c>
      <c r="D75" s="13">
        <v>184</v>
      </c>
      <c r="E75" s="11">
        <v>142</v>
      </c>
      <c r="F75" s="13">
        <v>26</v>
      </c>
      <c r="G75" s="13">
        <v>18</v>
      </c>
      <c r="H75" s="12">
        <v>6</v>
      </c>
      <c r="I75" s="12">
        <v>4</v>
      </c>
      <c r="J75" s="13">
        <v>245</v>
      </c>
      <c r="K75" s="13">
        <v>210</v>
      </c>
      <c r="L75" s="12">
        <v>18</v>
      </c>
      <c r="M75" s="12">
        <v>8</v>
      </c>
      <c r="N75" s="12">
        <v>16</v>
      </c>
    </row>
    <row r="76" spans="1:14" x14ac:dyDescent="0.35">
      <c r="A76" s="12">
        <v>125</v>
      </c>
      <c r="B76" s="13">
        <v>16</v>
      </c>
      <c r="C76" s="11">
        <v>138</v>
      </c>
      <c r="D76" s="12">
        <v>184</v>
      </c>
      <c r="E76" s="11">
        <v>135</v>
      </c>
      <c r="F76" s="13">
        <v>28</v>
      </c>
      <c r="G76" s="13">
        <v>20</v>
      </c>
      <c r="H76" s="12">
        <v>6</v>
      </c>
      <c r="I76" s="12">
        <v>4</v>
      </c>
      <c r="J76" s="12">
        <v>245</v>
      </c>
      <c r="K76" s="12">
        <v>210</v>
      </c>
      <c r="L76" s="12">
        <v>18</v>
      </c>
      <c r="M76" s="12">
        <v>8</v>
      </c>
      <c r="N76" s="12">
        <v>16</v>
      </c>
    </row>
    <row r="77" spans="1:14" x14ac:dyDescent="0.35">
      <c r="A77" s="12">
        <v>125</v>
      </c>
      <c r="B77" s="13">
        <v>16</v>
      </c>
      <c r="C77" s="11">
        <v>145</v>
      </c>
      <c r="D77" s="12">
        <v>184</v>
      </c>
      <c r="E77" s="11">
        <v>142</v>
      </c>
      <c r="F77" s="13">
        <v>28</v>
      </c>
      <c r="G77" s="13">
        <v>20</v>
      </c>
      <c r="H77" s="12">
        <v>6</v>
      </c>
      <c r="I77" s="12">
        <v>4</v>
      </c>
      <c r="J77" s="12">
        <v>245</v>
      </c>
      <c r="K77" s="12">
        <v>210</v>
      </c>
      <c r="L77" s="12">
        <v>18</v>
      </c>
      <c r="M77" s="12">
        <v>8</v>
      </c>
      <c r="N77" s="12">
        <v>16</v>
      </c>
    </row>
    <row r="78" spans="1:14" x14ac:dyDescent="0.35">
      <c r="A78" s="12">
        <v>125</v>
      </c>
      <c r="B78" s="13">
        <v>25</v>
      </c>
      <c r="C78" s="11">
        <v>138</v>
      </c>
      <c r="D78" s="12">
        <v>184</v>
      </c>
      <c r="E78" s="11">
        <v>135</v>
      </c>
      <c r="F78" s="13">
        <v>30</v>
      </c>
      <c r="G78" s="13">
        <v>24</v>
      </c>
      <c r="H78" s="12">
        <v>6</v>
      </c>
      <c r="I78" s="12">
        <v>4</v>
      </c>
      <c r="J78" s="13">
        <v>270</v>
      </c>
      <c r="K78" s="13">
        <v>220</v>
      </c>
      <c r="L78" s="13">
        <v>26</v>
      </c>
      <c r="M78" s="12">
        <v>8</v>
      </c>
      <c r="N78" s="13">
        <v>24</v>
      </c>
    </row>
    <row r="79" spans="1:14" x14ac:dyDescent="0.35">
      <c r="A79" s="12">
        <v>125</v>
      </c>
      <c r="B79" s="13">
        <v>25</v>
      </c>
      <c r="C79" s="11">
        <v>145</v>
      </c>
      <c r="D79" s="12">
        <v>184</v>
      </c>
      <c r="E79" s="11">
        <v>142</v>
      </c>
      <c r="F79" s="13">
        <v>30</v>
      </c>
      <c r="G79" s="13">
        <v>24</v>
      </c>
      <c r="H79" s="12">
        <v>6</v>
      </c>
      <c r="I79" s="12">
        <v>4</v>
      </c>
      <c r="J79" s="13">
        <v>270</v>
      </c>
      <c r="K79" s="13">
        <v>220</v>
      </c>
      <c r="L79" s="13">
        <v>26</v>
      </c>
      <c r="M79" s="12">
        <v>8</v>
      </c>
      <c r="N79" s="13">
        <v>24</v>
      </c>
    </row>
    <row r="80" spans="1:14" ht="15" customHeight="1" x14ac:dyDescent="0.35">
      <c r="A80" s="13">
        <v>150</v>
      </c>
      <c r="B80" s="13">
        <v>1</v>
      </c>
      <c r="C80" s="11">
        <v>157</v>
      </c>
      <c r="D80" s="13">
        <v>202</v>
      </c>
      <c r="E80" s="13" t="s">
        <v>2495</v>
      </c>
      <c r="F80" s="13">
        <v>16</v>
      </c>
      <c r="G80" s="13">
        <v>16</v>
      </c>
      <c r="H80" s="13">
        <v>6</v>
      </c>
      <c r="I80" s="13">
        <v>4</v>
      </c>
      <c r="J80" s="13">
        <v>260</v>
      </c>
      <c r="K80" s="13">
        <v>225</v>
      </c>
      <c r="L80" s="13">
        <v>18</v>
      </c>
      <c r="M80" s="13">
        <v>8</v>
      </c>
      <c r="N80" s="13">
        <v>16</v>
      </c>
    </row>
    <row r="81" spans="1:14" ht="29" x14ac:dyDescent="0.35">
      <c r="A81" s="13">
        <v>150</v>
      </c>
      <c r="B81" s="13">
        <v>1</v>
      </c>
      <c r="C81" s="11">
        <v>164</v>
      </c>
      <c r="D81" s="13">
        <v>202</v>
      </c>
      <c r="E81" s="13" t="s">
        <v>2495</v>
      </c>
      <c r="F81" s="13">
        <v>16</v>
      </c>
      <c r="G81" s="13">
        <v>16</v>
      </c>
      <c r="H81" s="13">
        <v>6</v>
      </c>
      <c r="I81" s="13">
        <v>4</v>
      </c>
      <c r="J81" s="13">
        <v>260</v>
      </c>
      <c r="K81" s="13">
        <v>225</v>
      </c>
      <c r="L81" s="13">
        <v>18</v>
      </c>
      <c r="M81" s="13">
        <v>8</v>
      </c>
      <c r="N81" s="13">
        <v>16</v>
      </c>
    </row>
    <row r="82" spans="1:14" ht="29" x14ac:dyDescent="0.35">
      <c r="A82" s="13">
        <v>150</v>
      </c>
      <c r="B82" s="13">
        <v>1</v>
      </c>
      <c r="C82" s="11">
        <v>173</v>
      </c>
      <c r="D82" s="13">
        <v>202</v>
      </c>
      <c r="E82" s="13" t="s">
        <v>2495</v>
      </c>
      <c r="F82" s="13">
        <v>16</v>
      </c>
      <c r="G82" s="13">
        <v>16</v>
      </c>
      <c r="H82" s="13">
        <v>6</v>
      </c>
      <c r="I82" s="13">
        <v>4</v>
      </c>
      <c r="J82" s="13">
        <v>260</v>
      </c>
      <c r="K82" s="13">
        <v>225</v>
      </c>
      <c r="L82" s="13">
        <v>18</v>
      </c>
      <c r="M82" s="13">
        <v>8</v>
      </c>
      <c r="N82" s="13">
        <v>16</v>
      </c>
    </row>
    <row r="83" spans="1:14" ht="15" customHeight="1" x14ac:dyDescent="0.35">
      <c r="A83" s="12">
        <v>150</v>
      </c>
      <c r="B83" s="11" t="s">
        <v>2399</v>
      </c>
      <c r="C83" s="12">
        <v>173</v>
      </c>
      <c r="D83" s="12">
        <v>202</v>
      </c>
      <c r="E83" s="12" t="s">
        <v>2495</v>
      </c>
      <c r="F83" s="12">
        <v>16</v>
      </c>
      <c r="G83" s="12">
        <v>16</v>
      </c>
      <c r="H83" s="12">
        <v>6</v>
      </c>
      <c r="I83" s="12">
        <v>4</v>
      </c>
      <c r="J83" s="12">
        <v>260</v>
      </c>
      <c r="K83" s="12">
        <v>225</v>
      </c>
      <c r="L83" s="11">
        <v>18</v>
      </c>
      <c r="M83" s="11">
        <v>8</v>
      </c>
      <c r="N83" s="11">
        <v>16</v>
      </c>
    </row>
    <row r="84" spans="1:14" x14ac:dyDescent="0.35">
      <c r="A84" s="12">
        <v>150</v>
      </c>
      <c r="B84" s="13">
        <v>6</v>
      </c>
      <c r="C84" s="11">
        <v>157</v>
      </c>
      <c r="D84" s="12">
        <v>202</v>
      </c>
      <c r="E84" s="11">
        <v>154</v>
      </c>
      <c r="F84" s="13">
        <v>16</v>
      </c>
      <c r="G84" s="12">
        <v>16</v>
      </c>
      <c r="H84" s="12">
        <v>6</v>
      </c>
      <c r="I84" s="12">
        <v>4</v>
      </c>
      <c r="J84" s="12">
        <v>260</v>
      </c>
      <c r="K84" s="12">
        <v>225</v>
      </c>
      <c r="L84" s="12">
        <v>18</v>
      </c>
      <c r="M84" s="12">
        <v>8</v>
      </c>
      <c r="N84" s="12">
        <v>16</v>
      </c>
    </row>
    <row r="85" spans="1:14" x14ac:dyDescent="0.35">
      <c r="A85" s="12">
        <v>150</v>
      </c>
      <c r="B85" s="13">
        <v>6</v>
      </c>
      <c r="C85" s="11">
        <v>164</v>
      </c>
      <c r="D85" s="12">
        <v>202</v>
      </c>
      <c r="E85" s="11">
        <v>161</v>
      </c>
      <c r="F85" s="13">
        <v>16</v>
      </c>
      <c r="G85" s="12">
        <v>16</v>
      </c>
      <c r="H85" s="12">
        <v>6</v>
      </c>
      <c r="I85" s="12">
        <v>4</v>
      </c>
      <c r="J85" s="12">
        <v>260</v>
      </c>
      <c r="K85" s="12">
        <v>225</v>
      </c>
      <c r="L85" s="12">
        <v>18</v>
      </c>
      <c r="M85" s="12">
        <v>8</v>
      </c>
      <c r="N85" s="12">
        <v>16</v>
      </c>
    </row>
    <row r="86" spans="1:14" x14ac:dyDescent="0.35">
      <c r="A86" s="12">
        <v>150</v>
      </c>
      <c r="B86" s="13">
        <v>6</v>
      </c>
      <c r="C86" s="11">
        <v>173</v>
      </c>
      <c r="D86" s="12">
        <v>202</v>
      </c>
      <c r="E86" s="11" t="s">
        <v>2491</v>
      </c>
      <c r="F86" s="13">
        <v>16</v>
      </c>
      <c r="G86" s="12">
        <v>16</v>
      </c>
      <c r="H86" s="12">
        <v>6</v>
      </c>
      <c r="I86" s="12">
        <v>4</v>
      </c>
      <c r="J86" s="12">
        <v>260</v>
      </c>
      <c r="K86" s="12">
        <v>225</v>
      </c>
      <c r="L86" s="12">
        <v>18</v>
      </c>
      <c r="M86" s="12">
        <v>8</v>
      </c>
      <c r="N86" s="12">
        <v>16</v>
      </c>
    </row>
    <row r="87" spans="1:14" x14ac:dyDescent="0.35">
      <c r="A87" s="12">
        <v>150</v>
      </c>
      <c r="B87" s="13">
        <v>10</v>
      </c>
      <c r="C87" s="11">
        <v>157</v>
      </c>
      <c r="D87" s="13">
        <v>212</v>
      </c>
      <c r="E87" s="11">
        <v>154</v>
      </c>
      <c r="F87" s="13">
        <v>26</v>
      </c>
      <c r="G87" s="13">
        <v>18</v>
      </c>
      <c r="H87" s="12">
        <v>6</v>
      </c>
      <c r="I87" s="12">
        <v>4</v>
      </c>
      <c r="J87" s="13">
        <v>280</v>
      </c>
      <c r="K87" s="13">
        <v>240</v>
      </c>
      <c r="L87" s="13">
        <v>22</v>
      </c>
      <c r="M87" s="12">
        <v>8</v>
      </c>
      <c r="N87" s="13">
        <v>20</v>
      </c>
    </row>
    <row r="88" spans="1:14" x14ac:dyDescent="0.35">
      <c r="A88" s="12">
        <v>150</v>
      </c>
      <c r="B88" s="13">
        <v>10</v>
      </c>
      <c r="C88" s="11">
        <v>164</v>
      </c>
      <c r="D88" s="13">
        <v>212</v>
      </c>
      <c r="E88" s="11">
        <v>161</v>
      </c>
      <c r="F88" s="13">
        <v>26</v>
      </c>
      <c r="G88" s="13">
        <v>18</v>
      </c>
      <c r="H88" s="12">
        <v>6</v>
      </c>
      <c r="I88" s="12">
        <v>4</v>
      </c>
      <c r="J88" s="13">
        <v>280</v>
      </c>
      <c r="K88" s="13">
        <v>240</v>
      </c>
      <c r="L88" s="13">
        <v>22</v>
      </c>
      <c r="M88" s="12">
        <v>8</v>
      </c>
      <c r="N88" s="13">
        <v>20</v>
      </c>
    </row>
    <row r="89" spans="1:14" x14ac:dyDescent="0.35">
      <c r="A89" s="12">
        <v>150</v>
      </c>
      <c r="B89" s="13">
        <v>10</v>
      </c>
      <c r="C89" s="11">
        <v>173</v>
      </c>
      <c r="D89" s="13">
        <v>212</v>
      </c>
      <c r="E89" s="11">
        <v>170</v>
      </c>
      <c r="F89" s="13">
        <v>26</v>
      </c>
      <c r="G89" s="13">
        <v>18</v>
      </c>
      <c r="H89" s="12">
        <v>6</v>
      </c>
      <c r="I89" s="12">
        <v>4</v>
      </c>
      <c r="J89" s="13">
        <v>280</v>
      </c>
      <c r="K89" s="13">
        <v>240</v>
      </c>
      <c r="L89" s="13">
        <v>22</v>
      </c>
      <c r="M89" s="12">
        <v>8</v>
      </c>
      <c r="N89" s="13">
        <v>20</v>
      </c>
    </row>
    <row r="90" spans="1:14" x14ac:dyDescent="0.35">
      <c r="A90" s="12">
        <v>150</v>
      </c>
      <c r="B90" s="13">
        <v>16</v>
      </c>
      <c r="C90" s="11">
        <v>157</v>
      </c>
      <c r="D90" s="12">
        <v>212</v>
      </c>
      <c r="E90" s="11">
        <v>154</v>
      </c>
      <c r="F90" s="13">
        <v>28</v>
      </c>
      <c r="G90" s="13">
        <v>22</v>
      </c>
      <c r="H90" s="12">
        <v>6</v>
      </c>
      <c r="I90" s="12">
        <v>4</v>
      </c>
      <c r="J90" s="12">
        <v>280</v>
      </c>
      <c r="K90" s="12">
        <v>240</v>
      </c>
      <c r="L90" s="12">
        <v>22</v>
      </c>
      <c r="M90" s="12">
        <v>8</v>
      </c>
      <c r="N90" s="12">
        <v>20</v>
      </c>
    </row>
    <row r="91" spans="1:14" x14ac:dyDescent="0.35">
      <c r="A91" s="12">
        <v>150</v>
      </c>
      <c r="B91" s="13">
        <v>16</v>
      </c>
      <c r="C91" s="11">
        <v>164</v>
      </c>
      <c r="D91" s="12">
        <v>212</v>
      </c>
      <c r="E91" s="11">
        <v>161</v>
      </c>
      <c r="F91" s="13">
        <v>28</v>
      </c>
      <c r="G91" s="13">
        <v>22</v>
      </c>
      <c r="H91" s="12">
        <v>6</v>
      </c>
      <c r="I91" s="12">
        <v>4</v>
      </c>
      <c r="J91" s="12">
        <v>280</v>
      </c>
      <c r="K91" s="12">
        <v>240</v>
      </c>
      <c r="L91" s="12">
        <v>22</v>
      </c>
      <c r="M91" s="12">
        <v>8</v>
      </c>
      <c r="N91" s="12">
        <v>20</v>
      </c>
    </row>
    <row r="92" spans="1:14" x14ac:dyDescent="0.35">
      <c r="A92" s="12">
        <v>150</v>
      </c>
      <c r="B92" s="13">
        <v>16</v>
      </c>
      <c r="C92" s="11">
        <v>173</v>
      </c>
      <c r="D92" s="12">
        <v>212</v>
      </c>
      <c r="E92" s="11">
        <v>170</v>
      </c>
      <c r="F92" s="13">
        <v>28</v>
      </c>
      <c r="G92" s="13">
        <v>22</v>
      </c>
      <c r="H92" s="12">
        <v>6</v>
      </c>
      <c r="I92" s="12">
        <v>4</v>
      </c>
      <c r="J92" s="12">
        <v>280</v>
      </c>
      <c r="K92" s="12">
        <v>240</v>
      </c>
      <c r="L92" s="12">
        <v>22</v>
      </c>
      <c r="M92" s="12">
        <v>8</v>
      </c>
      <c r="N92" s="12">
        <v>20</v>
      </c>
    </row>
    <row r="93" spans="1:14" x14ac:dyDescent="0.35">
      <c r="A93" s="12">
        <v>150</v>
      </c>
      <c r="B93" s="13">
        <v>25</v>
      </c>
      <c r="C93" s="11">
        <v>157</v>
      </c>
      <c r="D93" s="12">
        <v>212</v>
      </c>
      <c r="E93" s="11">
        <v>154</v>
      </c>
      <c r="F93" s="13">
        <v>30</v>
      </c>
      <c r="G93" s="13">
        <v>24</v>
      </c>
      <c r="H93" s="12">
        <v>6</v>
      </c>
      <c r="I93" s="12">
        <v>4</v>
      </c>
      <c r="J93" s="13">
        <v>300</v>
      </c>
      <c r="K93" s="13">
        <v>250</v>
      </c>
      <c r="L93" s="13">
        <v>26</v>
      </c>
      <c r="M93" s="12">
        <v>8</v>
      </c>
      <c r="N93" s="13">
        <v>24</v>
      </c>
    </row>
    <row r="94" spans="1:14" x14ac:dyDescent="0.35">
      <c r="A94" s="12">
        <v>150</v>
      </c>
      <c r="B94" s="13">
        <v>25</v>
      </c>
      <c r="C94" s="11">
        <v>164</v>
      </c>
      <c r="D94" s="12">
        <v>212</v>
      </c>
      <c r="E94" s="11">
        <v>161</v>
      </c>
      <c r="F94" s="13">
        <v>30</v>
      </c>
      <c r="G94" s="13">
        <v>24</v>
      </c>
      <c r="H94" s="12">
        <v>6</v>
      </c>
      <c r="I94" s="12">
        <v>4</v>
      </c>
      <c r="J94" s="13">
        <v>300</v>
      </c>
      <c r="K94" s="13">
        <v>250</v>
      </c>
      <c r="L94" s="13">
        <v>26</v>
      </c>
      <c r="M94" s="12">
        <v>8</v>
      </c>
      <c r="N94" s="13">
        <v>24</v>
      </c>
    </row>
    <row r="95" spans="1:14" x14ac:dyDescent="0.35">
      <c r="A95" s="12">
        <v>150</v>
      </c>
      <c r="B95" s="13">
        <v>25</v>
      </c>
      <c r="C95" s="11">
        <v>173</v>
      </c>
      <c r="D95" s="12">
        <v>212</v>
      </c>
      <c r="E95" s="11">
        <v>170</v>
      </c>
      <c r="F95" s="13">
        <v>30</v>
      </c>
      <c r="G95" s="13">
        <v>24</v>
      </c>
      <c r="H95" s="12">
        <v>6</v>
      </c>
      <c r="I95" s="12">
        <v>4</v>
      </c>
      <c r="J95" s="13">
        <v>300</v>
      </c>
      <c r="K95" s="13">
        <v>250</v>
      </c>
      <c r="L95" s="13">
        <v>26</v>
      </c>
      <c r="M95" s="12">
        <v>8</v>
      </c>
      <c r="N95" s="13">
        <v>24</v>
      </c>
    </row>
    <row r="96" spans="1:14" ht="15" customHeight="1" x14ac:dyDescent="0.35">
      <c r="A96" s="11">
        <v>200</v>
      </c>
      <c r="B96" s="11">
        <v>1</v>
      </c>
      <c r="C96" s="11">
        <v>225</v>
      </c>
      <c r="D96" s="11">
        <v>258</v>
      </c>
      <c r="E96" s="11">
        <v>222</v>
      </c>
      <c r="F96" s="11">
        <v>18</v>
      </c>
      <c r="G96" s="11">
        <v>18</v>
      </c>
      <c r="H96" s="11">
        <v>8</v>
      </c>
      <c r="I96" s="11">
        <v>4</v>
      </c>
      <c r="J96" s="11">
        <v>315</v>
      </c>
      <c r="K96" s="11">
        <v>280</v>
      </c>
      <c r="L96" s="11">
        <v>18</v>
      </c>
      <c r="M96" s="11">
        <v>8</v>
      </c>
      <c r="N96" s="11">
        <v>16</v>
      </c>
    </row>
    <row r="97" spans="1:14" ht="15" customHeight="1" x14ac:dyDescent="0.35">
      <c r="A97" s="12">
        <v>200</v>
      </c>
      <c r="B97" s="11" t="s">
        <v>2399</v>
      </c>
      <c r="C97" s="12">
        <v>225</v>
      </c>
      <c r="D97" s="12">
        <v>258</v>
      </c>
      <c r="E97" s="12">
        <v>222</v>
      </c>
      <c r="F97" s="12">
        <v>18</v>
      </c>
      <c r="G97" s="12">
        <v>18</v>
      </c>
      <c r="H97" s="12">
        <v>8</v>
      </c>
      <c r="I97" s="12">
        <v>4</v>
      </c>
      <c r="J97" s="12">
        <v>315</v>
      </c>
      <c r="K97" s="12">
        <v>280</v>
      </c>
      <c r="L97" s="11">
        <v>18</v>
      </c>
      <c r="M97" s="12">
        <v>8</v>
      </c>
      <c r="N97" s="11">
        <v>16</v>
      </c>
    </row>
    <row r="98" spans="1:14" x14ac:dyDescent="0.35">
      <c r="A98" s="12">
        <v>200</v>
      </c>
      <c r="B98" s="11">
        <v>6</v>
      </c>
      <c r="C98" s="12">
        <v>225</v>
      </c>
      <c r="D98" s="12">
        <v>258</v>
      </c>
      <c r="E98" s="12">
        <v>222</v>
      </c>
      <c r="F98" s="12">
        <v>18</v>
      </c>
      <c r="G98" s="12">
        <v>18</v>
      </c>
      <c r="H98" s="12">
        <v>8</v>
      </c>
      <c r="I98" s="12">
        <v>4</v>
      </c>
      <c r="J98" s="12">
        <v>315</v>
      </c>
      <c r="K98" s="12">
        <v>280</v>
      </c>
      <c r="L98" s="12">
        <v>18</v>
      </c>
      <c r="M98" s="12">
        <v>8</v>
      </c>
      <c r="N98" s="12">
        <v>16</v>
      </c>
    </row>
    <row r="99" spans="1:14" ht="15" customHeight="1" x14ac:dyDescent="0.35">
      <c r="A99" s="12">
        <v>200</v>
      </c>
      <c r="B99" s="11">
        <v>10</v>
      </c>
      <c r="C99" s="12">
        <v>225</v>
      </c>
      <c r="D99" s="11">
        <v>268</v>
      </c>
      <c r="E99" s="12">
        <v>222</v>
      </c>
      <c r="F99" s="11">
        <v>26</v>
      </c>
      <c r="G99" s="11">
        <v>20</v>
      </c>
      <c r="H99" s="12">
        <v>8</v>
      </c>
      <c r="I99" s="12">
        <v>4</v>
      </c>
      <c r="J99" s="11">
        <v>335</v>
      </c>
      <c r="K99" s="11">
        <v>295</v>
      </c>
      <c r="L99" s="11">
        <v>22</v>
      </c>
      <c r="M99" s="12">
        <v>8</v>
      </c>
      <c r="N99" s="11">
        <v>20</v>
      </c>
    </row>
    <row r="100" spans="1:14" ht="15" customHeight="1" x14ac:dyDescent="0.35">
      <c r="A100" s="12">
        <v>200</v>
      </c>
      <c r="B100" s="11">
        <v>16</v>
      </c>
      <c r="C100" s="12">
        <v>225</v>
      </c>
      <c r="D100" s="12">
        <v>268</v>
      </c>
      <c r="E100" s="12">
        <v>222</v>
      </c>
      <c r="F100" s="11">
        <v>28</v>
      </c>
      <c r="G100" s="11">
        <v>22</v>
      </c>
      <c r="H100" s="12">
        <v>8</v>
      </c>
      <c r="I100" s="12">
        <v>4</v>
      </c>
      <c r="J100" s="12">
        <v>335</v>
      </c>
      <c r="K100" s="12">
        <v>295</v>
      </c>
      <c r="L100" s="12">
        <v>22</v>
      </c>
      <c r="M100" s="11">
        <v>12</v>
      </c>
      <c r="N100" s="12">
        <v>20</v>
      </c>
    </row>
    <row r="101" spans="1:14" ht="15" customHeight="1" x14ac:dyDescent="0.35">
      <c r="A101" s="12">
        <v>200</v>
      </c>
      <c r="B101" s="11">
        <v>25</v>
      </c>
      <c r="C101" s="12">
        <v>225</v>
      </c>
      <c r="D101" s="11">
        <v>278</v>
      </c>
      <c r="E101" s="12">
        <v>222</v>
      </c>
      <c r="F101" s="11">
        <v>30</v>
      </c>
      <c r="G101" s="11">
        <v>24</v>
      </c>
      <c r="H101" s="12">
        <v>8</v>
      </c>
      <c r="I101" s="12">
        <v>4</v>
      </c>
      <c r="J101" s="11">
        <v>360</v>
      </c>
      <c r="K101" s="11">
        <v>310</v>
      </c>
      <c r="L101" s="11">
        <v>26</v>
      </c>
      <c r="M101" s="12">
        <v>12</v>
      </c>
      <c r="N101" s="11">
        <v>24</v>
      </c>
    </row>
    <row r="102" spans="1:14" x14ac:dyDescent="0.35">
      <c r="A102" s="11">
        <v>250</v>
      </c>
      <c r="B102" s="11">
        <v>1</v>
      </c>
      <c r="C102" s="11">
        <v>279</v>
      </c>
      <c r="D102" s="11">
        <v>312</v>
      </c>
      <c r="E102" s="11">
        <v>273</v>
      </c>
      <c r="F102" s="11">
        <v>20</v>
      </c>
      <c r="G102" s="11">
        <v>18</v>
      </c>
      <c r="H102" s="11">
        <v>11</v>
      </c>
      <c r="I102" s="11">
        <v>6</v>
      </c>
      <c r="J102" s="11">
        <v>370</v>
      </c>
      <c r="K102" s="11">
        <v>335</v>
      </c>
      <c r="L102" s="11">
        <v>18</v>
      </c>
      <c r="M102" s="11">
        <v>12</v>
      </c>
      <c r="N102" s="11">
        <v>16</v>
      </c>
    </row>
    <row r="103" spans="1:14" ht="15" customHeight="1" x14ac:dyDescent="0.35">
      <c r="A103" s="12">
        <v>250</v>
      </c>
      <c r="B103" s="11" t="s">
        <v>2399</v>
      </c>
      <c r="C103" s="12">
        <v>279</v>
      </c>
      <c r="D103" s="12">
        <v>312</v>
      </c>
      <c r="E103" s="12">
        <v>273</v>
      </c>
      <c r="F103" s="12">
        <v>20</v>
      </c>
      <c r="G103" s="12">
        <v>18</v>
      </c>
      <c r="H103" s="12">
        <v>11</v>
      </c>
      <c r="I103" s="12">
        <v>6</v>
      </c>
      <c r="J103" s="12">
        <v>370</v>
      </c>
      <c r="K103" s="12">
        <v>335</v>
      </c>
      <c r="L103" s="11">
        <v>18</v>
      </c>
      <c r="M103" s="11">
        <v>12</v>
      </c>
      <c r="N103" s="11">
        <v>16</v>
      </c>
    </row>
    <row r="104" spans="1:14" x14ac:dyDescent="0.35">
      <c r="A104" s="12">
        <v>250</v>
      </c>
      <c r="B104" s="11">
        <v>6</v>
      </c>
      <c r="C104" s="12">
        <v>279</v>
      </c>
      <c r="D104" s="12">
        <v>312</v>
      </c>
      <c r="E104" s="12">
        <v>273</v>
      </c>
      <c r="F104" s="12">
        <v>20</v>
      </c>
      <c r="G104" s="12">
        <v>18</v>
      </c>
      <c r="H104" s="12">
        <v>11</v>
      </c>
      <c r="I104" s="12">
        <v>6</v>
      </c>
      <c r="J104" s="12">
        <v>370</v>
      </c>
      <c r="K104" s="12">
        <v>335</v>
      </c>
      <c r="L104" s="12">
        <v>18</v>
      </c>
      <c r="M104" s="12">
        <v>12</v>
      </c>
      <c r="N104" s="12">
        <v>16</v>
      </c>
    </row>
    <row r="105" spans="1:14" ht="15" customHeight="1" x14ac:dyDescent="0.35">
      <c r="A105" s="12">
        <v>250</v>
      </c>
      <c r="B105" s="11">
        <v>10</v>
      </c>
      <c r="C105" s="12">
        <v>279</v>
      </c>
      <c r="D105" s="11">
        <v>320</v>
      </c>
      <c r="E105" s="12">
        <v>273</v>
      </c>
      <c r="F105" s="11">
        <v>28</v>
      </c>
      <c r="G105" s="11">
        <v>22</v>
      </c>
      <c r="H105" s="12">
        <v>11</v>
      </c>
      <c r="I105" s="12">
        <v>6</v>
      </c>
      <c r="J105" s="11">
        <v>390</v>
      </c>
      <c r="K105" s="11">
        <v>350</v>
      </c>
      <c r="L105" s="11">
        <v>22</v>
      </c>
      <c r="M105" s="12">
        <v>12</v>
      </c>
      <c r="N105" s="11">
        <v>20</v>
      </c>
    </row>
    <row r="106" spans="1:14" ht="15" customHeight="1" x14ac:dyDescent="0.35">
      <c r="A106" s="12">
        <v>250</v>
      </c>
      <c r="B106" s="11">
        <v>16</v>
      </c>
      <c r="C106" s="12">
        <v>279</v>
      </c>
      <c r="D106" s="12">
        <v>320</v>
      </c>
      <c r="E106" s="12">
        <v>273</v>
      </c>
      <c r="F106" s="11">
        <v>30</v>
      </c>
      <c r="G106" s="11">
        <v>24</v>
      </c>
      <c r="H106" s="12">
        <v>11</v>
      </c>
      <c r="I106" s="12">
        <v>6</v>
      </c>
      <c r="J106" s="11">
        <v>405</v>
      </c>
      <c r="K106" s="11">
        <v>355</v>
      </c>
      <c r="L106" s="11">
        <v>26</v>
      </c>
      <c r="M106" s="12">
        <v>12</v>
      </c>
      <c r="N106" s="11">
        <v>24</v>
      </c>
    </row>
    <row r="107" spans="1:14" ht="15" customHeight="1" x14ac:dyDescent="0.35">
      <c r="A107" s="12">
        <v>250</v>
      </c>
      <c r="B107" s="11">
        <v>25</v>
      </c>
      <c r="C107" s="12">
        <v>279</v>
      </c>
      <c r="D107" s="11">
        <v>335</v>
      </c>
      <c r="E107" s="12">
        <v>273</v>
      </c>
      <c r="F107" s="11">
        <v>32</v>
      </c>
      <c r="G107" s="11">
        <v>26</v>
      </c>
      <c r="H107" s="12">
        <v>11</v>
      </c>
      <c r="I107" s="12">
        <v>6</v>
      </c>
      <c r="J107" s="13">
        <v>425</v>
      </c>
      <c r="K107" s="13">
        <v>370</v>
      </c>
      <c r="L107" s="11">
        <v>30</v>
      </c>
      <c r="M107" s="12">
        <v>12</v>
      </c>
      <c r="N107" s="11">
        <v>27</v>
      </c>
    </row>
    <row r="108" spans="1:14" x14ac:dyDescent="0.35">
      <c r="A108" s="11">
        <v>300</v>
      </c>
      <c r="B108" s="11">
        <v>1</v>
      </c>
      <c r="C108" s="11">
        <v>331</v>
      </c>
      <c r="D108" s="11">
        <v>365</v>
      </c>
      <c r="E108" s="11">
        <v>325</v>
      </c>
      <c r="F108" s="11">
        <v>24</v>
      </c>
      <c r="G108" s="11">
        <v>20</v>
      </c>
      <c r="H108" s="11">
        <v>11</v>
      </c>
      <c r="I108" s="11">
        <v>6</v>
      </c>
      <c r="J108" s="11">
        <v>435</v>
      </c>
      <c r="K108" s="11">
        <v>395</v>
      </c>
      <c r="L108" s="11">
        <v>22</v>
      </c>
      <c r="M108" s="11">
        <v>12</v>
      </c>
      <c r="N108" s="11">
        <v>20</v>
      </c>
    </row>
    <row r="109" spans="1:14" ht="15" customHeight="1" x14ac:dyDescent="0.35">
      <c r="A109" s="12">
        <v>300</v>
      </c>
      <c r="B109" s="11" t="s">
        <v>2399</v>
      </c>
      <c r="C109" s="12">
        <v>331</v>
      </c>
      <c r="D109" s="12">
        <v>365</v>
      </c>
      <c r="E109" s="12">
        <v>325</v>
      </c>
      <c r="F109" s="12">
        <v>24</v>
      </c>
      <c r="G109" s="12">
        <v>20</v>
      </c>
      <c r="H109" s="12">
        <v>11</v>
      </c>
      <c r="I109" s="12">
        <v>6</v>
      </c>
      <c r="J109" s="12">
        <v>435</v>
      </c>
      <c r="K109" s="12">
        <v>395</v>
      </c>
      <c r="L109" s="11">
        <v>22</v>
      </c>
      <c r="M109" s="11">
        <v>12</v>
      </c>
      <c r="N109" s="11">
        <v>20</v>
      </c>
    </row>
    <row r="110" spans="1:14" x14ac:dyDescent="0.35">
      <c r="A110" s="12">
        <v>300</v>
      </c>
      <c r="B110" s="11">
        <v>6</v>
      </c>
      <c r="C110" s="12">
        <v>331</v>
      </c>
      <c r="D110" s="12">
        <v>365</v>
      </c>
      <c r="E110" s="12">
        <v>325</v>
      </c>
      <c r="F110" s="12">
        <v>24</v>
      </c>
      <c r="G110" s="12">
        <v>20</v>
      </c>
      <c r="H110" s="12">
        <v>11</v>
      </c>
      <c r="I110" s="12">
        <v>6</v>
      </c>
      <c r="J110" s="12">
        <v>435</v>
      </c>
      <c r="K110" s="12">
        <v>395</v>
      </c>
      <c r="L110" s="12">
        <v>22</v>
      </c>
      <c r="M110" s="12">
        <v>12</v>
      </c>
      <c r="N110" s="12">
        <v>20</v>
      </c>
    </row>
    <row r="111" spans="1:14" ht="15" customHeight="1" x14ac:dyDescent="0.35">
      <c r="A111" s="12">
        <v>300</v>
      </c>
      <c r="B111" s="11">
        <v>10</v>
      </c>
      <c r="C111" s="12">
        <v>331</v>
      </c>
      <c r="D111" s="11">
        <v>370</v>
      </c>
      <c r="E111" s="12">
        <v>325</v>
      </c>
      <c r="F111" s="11">
        <v>30</v>
      </c>
      <c r="G111" s="11">
        <v>22</v>
      </c>
      <c r="H111" s="12">
        <v>11</v>
      </c>
      <c r="I111" s="12">
        <v>6</v>
      </c>
      <c r="J111" s="13">
        <v>440</v>
      </c>
      <c r="K111" s="13">
        <v>400</v>
      </c>
      <c r="L111" s="12">
        <v>22</v>
      </c>
      <c r="M111" s="12">
        <v>12</v>
      </c>
      <c r="N111" s="12">
        <v>20</v>
      </c>
    </row>
    <row r="112" spans="1:14" ht="15" customHeight="1" x14ac:dyDescent="0.35">
      <c r="A112" s="12">
        <v>300</v>
      </c>
      <c r="B112" s="11">
        <v>16</v>
      </c>
      <c r="C112" s="12">
        <v>331</v>
      </c>
      <c r="D112" s="12">
        <v>370</v>
      </c>
      <c r="E112" s="12">
        <v>325</v>
      </c>
      <c r="F112" s="11">
        <v>32</v>
      </c>
      <c r="G112" s="11">
        <v>24</v>
      </c>
      <c r="H112" s="12">
        <v>11</v>
      </c>
      <c r="I112" s="12">
        <v>6</v>
      </c>
      <c r="J112" s="13">
        <v>460</v>
      </c>
      <c r="K112" s="13">
        <v>410</v>
      </c>
      <c r="L112" s="11">
        <v>26</v>
      </c>
      <c r="M112" s="12">
        <v>12</v>
      </c>
      <c r="N112" s="11">
        <v>24</v>
      </c>
    </row>
    <row r="113" spans="1:14" ht="15" customHeight="1" x14ac:dyDescent="0.35">
      <c r="A113" s="12">
        <v>300</v>
      </c>
      <c r="B113" s="11">
        <v>25</v>
      </c>
      <c r="C113" s="12">
        <v>331</v>
      </c>
      <c r="D113" s="11">
        <v>390</v>
      </c>
      <c r="E113" s="12">
        <v>325</v>
      </c>
      <c r="F113" s="11">
        <v>34</v>
      </c>
      <c r="G113" s="11">
        <v>26</v>
      </c>
      <c r="H113" s="12">
        <v>11</v>
      </c>
      <c r="I113" s="12">
        <v>6</v>
      </c>
      <c r="J113" s="11">
        <v>485</v>
      </c>
      <c r="K113" s="11">
        <v>430</v>
      </c>
      <c r="L113" s="11">
        <v>30</v>
      </c>
      <c r="M113" s="11">
        <v>16</v>
      </c>
      <c r="N113" s="11">
        <v>27</v>
      </c>
    </row>
    <row r="114" spans="1:14" x14ac:dyDescent="0.35">
      <c r="A114" s="11">
        <v>350</v>
      </c>
      <c r="B114" s="11">
        <v>1</v>
      </c>
      <c r="C114" s="11">
        <v>383</v>
      </c>
      <c r="D114" s="11">
        <v>415</v>
      </c>
      <c r="E114" s="11">
        <v>377</v>
      </c>
      <c r="F114" s="11">
        <v>28</v>
      </c>
      <c r="G114" s="11">
        <v>20</v>
      </c>
      <c r="H114" s="11">
        <v>12</v>
      </c>
      <c r="I114" s="11">
        <v>7</v>
      </c>
      <c r="J114" s="11">
        <v>485</v>
      </c>
      <c r="K114" s="11">
        <v>445</v>
      </c>
      <c r="L114" s="11">
        <v>22</v>
      </c>
      <c r="M114" s="11">
        <v>12</v>
      </c>
      <c r="N114" s="11">
        <v>20</v>
      </c>
    </row>
    <row r="115" spans="1:14" ht="15" customHeight="1" x14ac:dyDescent="0.35">
      <c r="A115" s="12">
        <v>350</v>
      </c>
      <c r="B115" s="11" t="s">
        <v>2399</v>
      </c>
      <c r="C115" s="12">
        <v>383</v>
      </c>
      <c r="D115" s="12">
        <v>415</v>
      </c>
      <c r="E115" s="12">
        <v>377</v>
      </c>
      <c r="F115" s="12">
        <v>28</v>
      </c>
      <c r="G115" s="12">
        <v>20</v>
      </c>
      <c r="H115" s="12">
        <v>12</v>
      </c>
      <c r="I115" s="12">
        <v>7</v>
      </c>
      <c r="J115" s="12">
        <v>485</v>
      </c>
      <c r="K115" s="12">
        <v>445</v>
      </c>
      <c r="L115" s="11">
        <v>22</v>
      </c>
      <c r="M115" s="11">
        <v>12</v>
      </c>
      <c r="N115" s="11">
        <v>20</v>
      </c>
    </row>
    <row r="116" spans="1:14" x14ac:dyDescent="0.35">
      <c r="A116" s="12">
        <v>350</v>
      </c>
      <c r="B116" s="11">
        <v>6</v>
      </c>
      <c r="C116" s="12">
        <v>383</v>
      </c>
      <c r="D116" s="12">
        <v>415</v>
      </c>
      <c r="E116" s="12">
        <v>377</v>
      </c>
      <c r="F116" s="12">
        <v>28</v>
      </c>
      <c r="G116" s="12">
        <v>20</v>
      </c>
      <c r="H116" s="12">
        <v>12</v>
      </c>
      <c r="I116" s="12">
        <v>7</v>
      </c>
      <c r="J116" s="12">
        <v>485</v>
      </c>
      <c r="K116" s="12">
        <v>445</v>
      </c>
      <c r="L116" s="12">
        <v>22</v>
      </c>
      <c r="M116" s="12">
        <v>12</v>
      </c>
      <c r="N116" s="12">
        <v>20</v>
      </c>
    </row>
    <row r="117" spans="1:14" ht="15" customHeight="1" x14ac:dyDescent="0.35">
      <c r="A117" s="12">
        <v>350</v>
      </c>
      <c r="B117" s="11">
        <v>10</v>
      </c>
      <c r="C117" s="12">
        <v>383</v>
      </c>
      <c r="D117" s="11">
        <v>430</v>
      </c>
      <c r="E117" s="12">
        <v>377</v>
      </c>
      <c r="F117" s="11">
        <v>32</v>
      </c>
      <c r="G117" s="11">
        <v>24</v>
      </c>
      <c r="H117" s="12">
        <v>12</v>
      </c>
      <c r="I117" s="12">
        <v>7</v>
      </c>
      <c r="J117" s="11">
        <v>500</v>
      </c>
      <c r="K117" s="11">
        <v>460</v>
      </c>
      <c r="L117" s="12">
        <v>22</v>
      </c>
      <c r="M117" s="11">
        <v>16</v>
      </c>
      <c r="N117" s="12">
        <v>20</v>
      </c>
    </row>
    <row r="118" spans="1:14" ht="15" customHeight="1" x14ac:dyDescent="0.35">
      <c r="A118" s="12">
        <v>350</v>
      </c>
      <c r="B118" s="11">
        <v>16</v>
      </c>
      <c r="C118" s="12">
        <v>383</v>
      </c>
      <c r="D118" s="12">
        <v>430</v>
      </c>
      <c r="E118" s="12">
        <v>377</v>
      </c>
      <c r="F118" s="11">
        <v>34</v>
      </c>
      <c r="G118" s="11">
        <v>26</v>
      </c>
      <c r="H118" s="12">
        <v>12</v>
      </c>
      <c r="I118" s="12">
        <v>7</v>
      </c>
      <c r="J118" s="13">
        <v>520</v>
      </c>
      <c r="K118" s="13">
        <v>470</v>
      </c>
      <c r="L118" s="11">
        <v>26</v>
      </c>
      <c r="M118" s="12">
        <v>16</v>
      </c>
      <c r="N118" s="11">
        <v>24</v>
      </c>
    </row>
    <row r="119" spans="1:14" ht="15" customHeight="1" x14ac:dyDescent="0.35">
      <c r="A119" s="12">
        <v>350</v>
      </c>
      <c r="B119" s="11">
        <v>25</v>
      </c>
      <c r="C119" s="12">
        <v>383</v>
      </c>
      <c r="D119" s="11">
        <v>450</v>
      </c>
      <c r="E119" s="12">
        <v>377</v>
      </c>
      <c r="F119" s="11">
        <v>38</v>
      </c>
      <c r="G119" s="11">
        <v>28</v>
      </c>
      <c r="H119" s="12">
        <v>12</v>
      </c>
      <c r="I119" s="12">
        <v>7</v>
      </c>
      <c r="J119" s="11">
        <v>550</v>
      </c>
      <c r="K119" s="11">
        <v>490</v>
      </c>
      <c r="L119" s="11">
        <v>33</v>
      </c>
      <c r="M119" s="12">
        <v>16</v>
      </c>
      <c r="N119" s="11">
        <v>30</v>
      </c>
    </row>
    <row r="120" spans="1:14" x14ac:dyDescent="0.35">
      <c r="A120" s="11">
        <v>400</v>
      </c>
      <c r="B120" s="11">
        <v>1</v>
      </c>
      <c r="C120" s="11">
        <v>433</v>
      </c>
      <c r="D120" s="11">
        <v>465</v>
      </c>
      <c r="E120" s="11">
        <v>426</v>
      </c>
      <c r="F120" s="11">
        <v>32</v>
      </c>
      <c r="G120" s="11">
        <v>24</v>
      </c>
      <c r="H120" s="11">
        <v>12</v>
      </c>
      <c r="I120" s="11">
        <v>7</v>
      </c>
      <c r="J120" s="11">
        <v>535</v>
      </c>
      <c r="K120" s="11">
        <v>495</v>
      </c>
      <c r="L120" s="11">
        <v>22</v>
      </c>
      <c r="M120" s="11">
        <v>16</v>
      </c>
      <c r="N120" s="11">
        <v>20</v>
      </c>
    </row>
    <row r="121" spans="1:14" ht="15" customHeight="1" x14ac:dyDescent="0.35">
      <c r="A121" s="12">
        <v>400</v>
      </c>
      <c r="B121" s="11" t="s">
        <v>2399</v>
      </c>
      <c r="C121" s="12">
        <v>433</v>
      </c>
      <c r="D121" s="12">
        <v>465</v>
      </c>
      <c r="E121" s="12">
        <v>426</v>
      </c>
      <c r="F121" s="12">
        <v>32</v>
      </c>
      <c r="G121" s="12">
        <v>24</v>
      </c>
      <c r="H121" s="12">
        <v>12</v>
      </c>
      <c r="I121" s="12">
        <v>7</v>
      </c>
      <c r="J121" s="12">
        <v>535</v>
      </c>
      <c r="K121" s="12">
        <v>495</v>
      </c>
      <c r="L121" s="11">
        <v>22</v>
      </c>
      <c r="M121" s="11">
        <v>16</v>
      </c>
      <c r="N121" s="11">
        <v>20</v>
      </c>
    </row>
    <row r="122" spans="1:14" x14ac:dyDescent="0.35">
      <c r="A122" s="12">
        <v>400</v>
      </c>
      <c r="B122" s="11">
        <v>6</v>
      </c>
      <c r="C122" s="12">
        <v>433</v>
      </c>
      <c r="D122" s="12">
        <v>465</v>
      </c>
      <c r="E122" s="12">
        <v>426</v>
      </c>
      <c r="F122" s="12">
        <v>32</v>
      </c>
      <c r="G122" s="12">
        <v>24</v>
      </c>
      <c r="H122" s="12">
        <v>12</v>
      </c>
      <c r="I122" s="12">
        <v>7</v>
      </c>
      <c r="J122" s="12">
        <v>535</v>
      </c>
      <c r="K122" s="12">
        <v>495</v>
      </c>
      <c r="L122" s="12">
        <v>22</v>
      </c>
      <c r="M122" s="12">
        <v>16</v>
      </c>
      <c r="N122" s="12">
        <v>20</v>
      </c>
    </row>
    <row r="123" spans="1:14" ht="15" customHeight="1" x14ac:dyDescent="0.35">
      <c r="A123" s="12">
        <v>400</v>
      </c>
      <c r="B123" s="11">
        <v>10</v>
      </c>
      <c r="C123" s="12">
        <v>433</v>
      </c>
      <c r="D123" s="11">
        <v>482</v>
      </c>
      <c r="E123" s="12">
        <v>426</v>
      </c>
      <c r="F123" s="11">
        <v>34</v>
      </c>
      <c r="G123" s="11">
        <v>26</v>
      </c>
      <c r="H123" s="12">
        <v>12</v>
      </c>
      <c r="I123" s="12">
        <v>7</v>
      </c>
      <c r="J123" s="11">
        <v>565</v>
      </c>
      <c r="K123" s="11">
        <v>515</v>
      </c>
      <c r="L123" s="11">
        <v>26</v>
      </c>
      <c r="M123" s="12">
        <v>16</v>
      </c>
      <c r="N123" s="11">
        <v>24</v>
      </c>
    </row>
    <row r="124" spans="1:14" ht="15" customHeight="1" x14ac:dyDescent="0.35">
      <c r="A124" s="12">
        <v>400</v>
      </c>
      <c r="B124" s="11">
        <v>16</v>
      </c>
      <c r="C124" s="12">
        <v>433</v>
      </c>
      <c r="D124" s="12">
        <v>482</v>
      </c>
      <c r="E124" s="12">
        <v>426</v>
      </c>
      <c r="F124" s="11">
        <v>36</v>
      </c>
      <c r="G124" s="11">
        <v>28</v>
      </c>
      <c r="H124" s="12">
        <v>12</v>
      </c>
      <c r="I124" s="12">
        <v>7</v>
      </c>
      <c r="J124" s="13">
        <v>580</v>
      </c>
      <c r="K124" s="13">
        <v>525</v>
      </c>
      <c r="L124" s="11">
        <v>30</v>
      </c>
      <c r="M124" s="12">
        <v>16</v>
      </c>
      <c r="N124" s="11">
        <v>27</v>
      </c>
    </row>
    <row r="125" spans="1:14" x14ac:dyDescent="0.35">
      <c r="A125" s="12">
        <v>400</v>
      </c>
      <c r="B125" s="11">
        <v>25</v>
      </c>
      <c r="C125" s="12">
        <v>433</v>
      </c>
      <c r="D125" s="11">
        <v>505</v>
      </c>
      <c r="E125" s="12">
        <v>426</v>
      </c>
      <c r="F125" s="11">
        <v>42</v>
      </c>
      <c r="G125" s="11">
        <v>30</v>
      </c>
      <c r="H125" s="12">
        <v>12</v>
      </c>
      <c r="I125" s="12">
        <v>7</v>
      </c>
      <c r="J125" s="11">
        <v>610</v>
      </c>
      <c r="K125" s="11">
        <v>550</v>
      </c>
      <c r="L125" s="11">
        <v>33</v>
      </c>
      <c r="M125" s="12">
        <v>16</v>
      </c>
      <c r="N125" s="11">
        <v>30</v>
      </c>
    </row>
    <row r="126" spans="1:14" x14ac:dyDescent="0.35">
      <c r="A126" s="11">
        <v>450</v>
      </c>
      <c r="B126" s="11">
        <v>1</v>
      </c>
      <c r="C126" s="11">
        <v>487</v>
      </c>
      <c r="D126" s="11">
        <v>520</v>
      </c>
      <c r="E126" s="11">
        <v>480</v>
      </c>
      <c r="F126" s="11">
        <v>34</v>
      </c>
      <c r="G126" s="11">
        <v>24</v>
      </c>
      <c r="H126" s="11">
        <v>12</v>
      </c>
      <c r="I126" s="11">
        <v>7</v>
      </c>
      <c r="J126" s="11">
        <v>590</v>
      </c>
      <c r="K126" s="11">
        <v>550</v>
      </c>
      <c r="L126" s="11">
        <v>22</v>
      </c>
      <c r="M126" s="11">
        <v>16</v>
      </c>
      <c r="N126" s="11">
        <v>20</v>
      </c>
    </row>
    <row r="127" spans="1:14" ht="15" customHeight="1" x14ac:dyDescent="0.35">
      <c r="A127" s="12">
        <v>450</v>
      </c>
      <c r="B127" s="11" t="s">
        <v>2399</v>
      </c>
      <c r="C127" s="12">
        <v>487</v>
      </c>
      <c r="D127" s="12">
        <v>520</v>
      </c>
      <c r="E127" s="12">
        <v>480</v>
      </c>
      <c r="F127" s="12">
        <v>34</v>
      </c>
      <c r="G127" s="12">
        <v>24</v>
      </c>
      <c r="H127" s="12">
        <v>12</v>
      </c>
      <c r="I127" s="12">
        <v>7</v>
      </c>
      <c r="J127" s="12">
        <v>590</v>
      </c>
      <c r="K127" s="12">
        <v>550</v>
      </c>
      <c r="L127" s="11">
        <v>22</v>
      </c>
      <c r="M127" s="11">
        <v>16</v>
      </c>
      <c r="N127" s="11">
        <v>20</v>
      </c>
    </row>
    <row r="128" spans="1:14" x14ac:dyDescent="0.35">
      <c r="A128" s="12">
        <v>450</v>
      </c>
      <c r="B128" s="11">
        <v>6</v>
      </c>
      <c r="C128" s="12">
        <v>487</v>
      </c>
      <c r="D128" s="12">
        <v>520</v>
      </c>
      <c r="E128" s="12">
        <v>480</v>
      </c>
      <c r="F128" s="12">
        <v>34</v>
      </c>
      <c r="G128" s="12">
        <v>24</v>
      </c>
      <c r="H128" s="12">
        <v>12</v>
      </c>
      <c r="I128" s="12">
        <v>7</v>
      </c>
      <c r="J128" s="12">
        <v>590</v>
      </c>
      <c r="K128" s="12">
        <v>550</v>
      </c>
      <c r="L128" s="12">
        <v>22</v>
      </c>
      <c r="M128" s="12">
        <v>16</v>
      </c>
      <c r="N128" s="12">
        <v>20</v>
      </c>
    </row>
    <row r="129" spans="1:14" ht="15" customHeight="1" x14ac:dyDescent="0.35">
      <c r="A129" s="12">
        <v>450</v>
      </c>
      <c r="B129" s="11">
        <v>10</v>
      </c>
      <c r="C129" s="12">
        <v>487</v>
      </c>
      <c r="D129" s="11">
        <v>532</v>
      </c>
      <c r="E129" s="12">
        <v>480</v>
      </c>
      <c r="F129" s="12">
        <v>34</v>
      </c>
      <c r="G129" s="11">
        <v>26</v>
      </c>
      <c r="H129" s="12">
        <v>12</v>
      </c>
      <c r="I129" s="12">
        <v>7</v>
      </c>
      <c r="J129" s="11">
        <v>615</v>
      </c>
      <c r="K129" s="11">
        <v>565</v>
      </c>
      <c r="L129" s="11">
        <v>26</v>
      </c>
      <c r="M129" s="11">
        <v>20</v>
      </c>
      <c r="N129" s="11">
        <v>24</v>
      </c>
    </row>
    <row r="130" spans="1:14" ht="15" customHeight="1" x14ac:dyDescent="0.35">
      <c r="A130" s="12">
        <v>450</v>
      </c>
      <c r="B130" s="11">
        <v>16</v>
      </c>
      <c r="C130" s="12">
        <v>487</v>
      </c>
      <c r="D130" s="12">
        <v>532</v>
      </c>
      <c r="E130" s="12">
        <v>480</v>
      </c>
      <c r="F130" s="11">
        <v>38</v>
      </c>
      <c r="G130" s="11">
        <v>28</v>
      </c>
      <c r="H130" s="12">
        <v>12</v>
      </c>
      <c r="I130" s="12">
        <v>7</v>
      </c>
      <c r="J130" s="11">
        <v>640</v>
      </c>
      <c r="K130" s="11">
        <v>585</v>
      </c>
      <c r="L130" s="11">
        <v>30</v>
      </c>
      <c r="M130" s="12">
        <v>20</v>
      </c>
      <c r="N130" s="11">
        <v>27</v>
      </c>
    </row>
    <row r="131" spans="1:14" x14ac:dyDescent="0.35">
      <c r="A131" s="12">
        <v>450</v>
      </c>
      <c r="B131" s="11">
        <v>25</v>
      </c>
      <c r="C131" s="12">
        <v>487</v>
      </c>
      <c r="D131" s="11">
        <v>555</v>
      </c>
      <c r="E131" s="12">
        <v>480</v>
      </c>
      <c r="F131" s="11">
        <v>45</v>
      </c>
      <c r="G131" s="11">
        <v>30</v>
      </c>
      <c r="H131" s="12">
        <v>12</v>
      </c>
      <c r="I131" s="12">
        <v>7</v>
      </c>
      <c r="J131" s="11">
        <v>660</v>
      </c>
      <c r="K131" s="11">
        <v>600</v>
      </c>
      <c r="L131" s="11">
        <v>33</v>
      </c>
      <c r="M131" s="12">
        <v>20</v>
      </c>
      <c r="N131" s="11">
        <v>30</v>
      </c>
    </row>
    <row r="132" spans="1:14" x14ac:dyDescent="0.35">
      <c r="A132" s="11">
        <v>500</v>
      </c>
      <c r="B132" s="11">
        <v>1</v>
      </c>
      <c r="C132" s="11">
        <v>537</v>
      </c>
      <c r="D132" s="11">
        <v>570</v>
      </c>
      <c r="E132" s="11">
        <v>530</v>
      </c>
      <c r="F132" s="11">
        <v>38</v>
      </c>
      <c r="G132" s="11">
        <v>26</v>
      </c>
      <c r="H132" s="11">
        <v>12</v>
      </c>
      <c r="I132" s="11">
        <v>7</v>
      </c>
      <c r="J132" s="11">
        <v>640</v>
      </c>
      <c r="K132" s="11">
        <v>600</v>
      </c>
      <c r="L132" s="11">
        <v>22</v>
      </c>
      <c r="M132" s="11">
        <v>16</v>
      </c>
      <c r="N132" s="11">
        <v>20</v>
      </c>
    </row>
    <row r="133" spans="1:14" ht="15" customHeight="1" x14ac:dyDescent="0.35">
      <c r="A133" s="12">
        <v>500</v>
      </c>
      <c r="B133" s="11" t="s">
        <v>2399</v>
      </c>
      <c r="C133" s="12">
        <v>537</v>
      </c>
      <c r="D133" s="12">
        <v>570</v>
      </c>
      <c r="E133" s="12">
        <v>530</v>
      </c>
      <c r="F133" s="12">
        <v>38</v>
      </c>
      <c r="G133" s="12">
        <v>26</v>
      </c>
      <c r="H133" s="12">
        <v>12</v>
      </c>
      <c r="I133" s="12">
        <v>7</v>
      </c>
      <c r="J133" s="12">
        <v>640</v>
      </c>
      <c r="K133" s="12">
        <v>600</v>
      </c>
      <c r="L133" s="11">
        <v>22</v>
      </c>
      <c r="M133" s="12">
        <v>16</v>
      </c>
      <c r="N133" s="11">
        <v>20</v>
      </c>
    </row>
    <row r="134" spans="1:14" x14ac:dyDescent="0.35">
      <c r="A134" s="12">
        <v>500</v>
      </c>
      <c r="B134" s="11">
        <v>6</v>
      </c>
      <c r="C134" s="12">
        <v>537</v>
      </c>
      <c r="D134" s="12">
        <v>570</v>
      </c>
      <c r="E134" s="12">
        <v>530</v>
      </c>
      <c r="F134" s="12">
        <v>38</v>
      </c>
      <c r="G134" s="12">
        <v>26</v>
      </c>
      <c r="H134" s="12">
        <v>12</v>
      </c>
      <c r="I134" s="12">
        <v>7</v>
      </c>
      <c r="J134" s="12">
        <v>640</v>
      </c>
      <c r="K134" s="12">
        <v>600</v>
      </c>
      <c r="L134" s="12">
        <v>22</v>
      </c>
      <c r="M134" s="12">
        <v>16</v>
      </c>
      <c r="N134" s="12">
        <v>20</v>
      </c>
    </row>
    <row r="135" spans="1:14" ht="15" customHeight="1" x14ac:dyDescent="0.35">
      <c r="A135" s="12">
        <v>500</v>
      </c>
      <c r="B135" s="11">
        <v>10</v>
      </c>
      <c r="C135" s="12">
        <v>537</v>
      </c>
      <c r="D135" s="11">
        <v>585</v>
      </c>
      <c r="E135" s="12">
        <v>530</v>
      </c>
      <c r="F135" s="12">
        <v>38</v>
      </c>
      <c r="G135" s="11">
        <v>28</v>
      </c>
      <c r="H135" s="12">
        <v>12</v>
      </c>
      <c r="I135" s="12">
        <v>7</v>
      </c>
      <c r="J135" s="11">
        <v>670</v>
      </c>
      <c r="K135" s="11">
        <v>620</v>
      </c>
      <c r="L135" s="11">
        <v>26</v>
      </c>
      <c r="M135" s="11">
        <v>20</v>
      </c>
      <c r="N135" s="11">
        <v>24</v>
      </c>
    </row>
    <row r="136" spans="1:14" ht="15" customHeight="1" x14ac:dyDescent="0.35">
      <c r="A136" s="12">
        <v>500</v>
      </c>
      <c r="B136" s="11">
        <v>16</v>
      </c>
      <c r="C136" s="12">
        <v>537</v>
      </c>
      <c r="D136" s="12">
        <v>585</v>
      </c>
      <c r="E136" s="12">
        <v>530</v>
      </c>
      <c r="F136" s="11">
        <v>42</v>
      </c>
      <c r="G136" s="11">
        <v>30</v>
      </c>
      <c r="H136" s="12">
        <v>12</v>
      </c>
      <c r="I136" s="12">
        <v>7</v>
      </c>
      <c r="J136" s="11">
        <v>710</v>
      </c>
      <c r="K136" s="11">
        <v>650</v>
      </c>
      <c r="L136" s="11">
        <v>33</v>
      </c>
      <c r="M136" s="12">
        <v>20</v>
      </c>
      <c r="N136" s="11">
        <v>30</v>
      </c>
    </row>
    <row r="137" spans="1:14" ht="15" customHeight="1" x14ac:dyDescent="0.35">
      <c r="A137" s="12">
        <v>500</v>
      </c>
      <c r="B137" s="11">
        <v>25</v>
      </c>
      <c r="C137" s="12">
        <v>537</v>
      </c>
      <c r="D137" s="11">
        <v>615</v>
      </c>
      <c r="E137" s="12">
        <v>530</v>
      </c>
      <c r="F137" s="11">
        <v>50</v>
      </c>
      <c r="G137" s="11">
        <v>32</v>
      </c>
      <c r="H137" s="12">
        <v>12</v>
      </c>
      <c r="I137" s="12">
        <v>7</v>
      </c>
      <c r="J137" s="11">
        <v>730</v>
      </c>
      <c r="K137" s="11">
        <v>660</v>
      </c>
      <c r="L137" s="11">
        <v>39</v>
      </c>
      <c r="M137" s="12">
        <v>20</v>
      </c>
      <c r="N137" s="11">
        <v>36</v>
      </c>
    </row>
    <row r="138" spans="1:14" x14ac:dyDescent="0.35">
      <c r="A138" s="11">
        <v>600</v>
      </c>
      <c r="B138" s="11" t="s">
        <v>2399</v>
      </c>
      <c r="C138" s="11">
        <v>537</v>
      </c>
      <c r="D138" s="11">
        <v>670</v>
      </c>
      <c r="E138" s="11">
        <v>530</v>
      </c>
      <c r="F138" s="11">
        <v>50</v>
      </c>
      <c r="G138" s="11">
        <v>32</v>
      </c>
      <c r="H138" s="11">
        <v>12</v>
      </c>
      <c r="I138" s="11">
        <v>7</v>
      </c>
      <c r="J138" s="11">
        <v>730</v>
      </c>
      <c r="K138" s="11">
        <v>705</v>
      </c>
      <c r="L138" s="11">
        <v>39</v>
      </c>
      <c r="M138" s="11">
        <v>20</v>
      </c>
      <c r="N138" s="11">
        <v>36</v>
      </c>
    </row>
    <row r="139" spans="1:14" x14ac:dyDescent="0.35">
      <c r="A139" s="12">
        <v>600</v>
      </c>
      <c r="B139" s="11">
        <v>6</v>
      </c>
      <c r="C139" s="12">
        <v>537</v>
      </c>
      <c r="D139" s="12">
        <v>670</v>
      </c>
      <c r="E139" s="12">
        <v>530</v>
      </c>
      <c r="F139" s="12">
        <v>50</v>
      </c>
      <c r="G139" s="12">
        <v>32</v>
      </c>
      <c r="H139" s="12">
        <v>12</v>
      </c>
      <c r="I139" s="12">
        <v>7</v>
      </c>
      <c r="J139" s="12">
        <v>730</v>
      </c>
      <c r="K139" s="12">
        <v>705</v>
      </c>
      <c r="L139" s="12">
        <v>39</v>
      </c>
      <c r="M139" s="12">
        <v>20</v>
      </c>
      <c r="N139" s="12">
        <v>36</v>
      </c>
    </row>
    <row r="140" spans="1:14" x14ac:dyDescent="0.35">
      <c r="A140" s="12">
        <v>600</v>
      </c>
      <c r="B140" s="11">
        <v>10</v>
      </c>
      <c r="C140" s="12">
        <v>537</v>
      </c>
      <c r="D140" s="11">
        <v>685</v>
      </c>
      <c r="E140" s="12">
        <v>530</v>
      </c>
      <c r="F140" s="12">
        <v>50</v>
      </c>
      <c r="G140" s="12">
        <v>32</v>
      </c>
      <c r="H140" s="12">
        <v>12</v>
      </c>
      <c r="I140" s="12">
        <v>7</v>
      </c>
      <c r="J140" s="12">
        <v>730</v>
      </c>
      <c r="K140" s="11">
        <v>725</v>
      </c>
      <c r="L140" s="12">
        <v>39</v>
      </c>
      <c r="M140" s="12">
        <v>20</v>
      </c>
      <c r="N140" s="12">
        <v>36</v>
      </c>
    </row>
    <row r="141" spans="1:14" x14ac:dyDescent="0.35">
      <c r="A141" s="12">
        <v>600</v>
      </c>
      <c r="B141" s="11">
        <v>16</v>
      </c>
      <c r="C141" s="12">
        <v>537</v>
      </c>
      <c r="D141" s="11">
        <v>725</v>
      </c>
      <c r="E141" s="12">
        <v>530</v>
      </c>
      <c r="F141" s="12">
        <v>50</v>
      </c>
      <c r="G141" s="12">
        <v>32</v>
      </c>
      <c r="H141" s="12">
        <v>12</v>
      </c>
      <c r="I141" s="12">
        <v>7</v>
      </c>
      <c r="J141" s="12">
        <v>730</v>
      </c>
      <c r="K141" s="11">
        <v>770</v>
      </c>
      <c r="L141" s="12">
        <v>39</v>
      </c>
      <c r="M141" s="12">
        <v>20</v>
      </c>
      <c r="N141" s="12">
        <v>36</v>
      </c>
    </row>
    <row r="142" spans="1:14" x14ac:dyDescent="0.35">
      <c r="A142" s="12">
        <v>600</v>
      </c>
      <c r="B142" s="11">
        <v>25</v>
      </c>
      <c r="C142" s="12">
        <v>537</v>
      </c>
      <c r="D142" s="11">
        <v>720</v>
      </c>
      <c r="E142" s="12">
        <v>530</v>
      </c>
      <c r="F142" s="12">
        <v>50</v>
      </c>
      <c r="G142" s="12">
        <v>32</v>
      </c>
      <c r="H142" s="12">
        <v>12</v>
      </c>
      <c r="I142" s="12">
        <v>7</v>
      </c>
      <c r="J142" s="12">
        <v>730</v>
      </c>
      <c r="K142" s="12">
        <v>770</v>
      </c>
      <c r="L142" s="12">
        <v>39</v>
      </c>
      <c r="M142" s="12">
        <v>20</v>
      </c>
      <c r="N142" s="12">
        <v>36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U44" sqref="U44"/>
    </sheetView>
  </sheetViews>
  <sheetFormatPr defaultRowHeight="14.5" x14ac:dyDescent="0.35"/>
  <sheetData>
    <row r="1" spans="1:8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</row>
    <row r="2" spans="1:8" x14ac:dyDescent="0.35">
      <c r="A2" s="11">
        <v>10</v>
      </c>
      <c r="B2" s="11">
        <v>1</v>
      </c>
      <c r="C2" s="11">
        <v>15</v>
      </c>
      <c r="D2" s="11">
        <v>10</v>
      </c>
      <c r="E2" s="11">
        <v>75</v>
      </c>
      <c r="F2" s="11">
        <v>50</v>
      </c>
      <c r="G2" s="11">
        <v>4</v>
      </c>
      <c r="H2" t="s">
        <v>17</v>
      </c>
    </row>
    <row r="3" spans="1:8" ht="15" customHeight="1" x14ac:dyDescent="0.35">
      <c r="A3" s="12">
        <v>10</v>
      </c>
      <c r="B3" s="11">
        <v>2.5</v>
      </c>
      <c r="C3" s="12">
        <v>15</v>
      </c>
      <c r="D3" s="12">
        <v>10</v>
      </c>
      <c r="E3" s="13">
        <v>75</v>
      </c>
      <c r="F3" s="12">
        <v>50</v>
      </c>
      <c r="G3" s="13">
        <v>4</v>
      </c>
      <c r="H3" t="s">
        <v>17</v>
      </c>
    </row>
    <row r="4" spans="1:8" x14ac:dyDescent="0.35">
      <c r="A4" s="12">
        <v>10</v>
      </c>
      <c r="B4" s="11">
        <v>6</v>
      </c>
      <c r="C4" s="12">
        <v>15</v>
      </c>
      <c r="D4" s="11">
        <v>12</v>
      </c>
      <c r="E4" s="12">
        <v>75</v>
      </c>
      <c r="F4" s="12">
        <v>50</v>
      </c>
      <c r="G4" s="12">
        <v>4</v>
      </c>
      <c r="H4" t="s">
        <v>17</v>
      </c>
    </row>
    <row r="5" spans="1:8" ht="15" customHeight="1" x14ac:dyDescent="0.35">
      <c r="A5" s="12">
        <v>10</v>
      </c>
      <c r="B5" s="11">
        <v>10</v>
      </c>
      <c r="C5" s="12">
        <v>15</v>
      </c>
      <c r="D5" s="12">
        <v>12</v>
      </c>
      <c r="E5" s="13">
        <v>90</v>
      </c>
      <c r="F5" s="11">
        <v>60</v>
      </c>
      <c r="G5" s="12">
        <v>4</v>
      </c>
      <c r="H5" t="s">
        <v>33</v>
      </c>
    </row>
    <row r="6" spans="1:8" x14ac:dyDescent="0.35">
      <c r="A6" s="12">
        <v>10</v>
      </c>
      <c r="B6" s="11">
        <v>16</v>
      </c>
      <c r="C6" s="12">
        <v>15</v>
      </c>
      <c r="D6" s="11">
        <v>14</v>
      </c>
      <c r="E6" s="12">
        <v>90</v>
      </c>
      <c r="F6" s="12">
        <v>60</v>
      </c>
      <c r="G6" s="12">
        <v>4</v>
      </c>
      <c r="H6" t="s">
        <v>33</v>
      </c>
    </row>
    <row r="7" spans="1:8" x14ac:dyDescent="0.35">
      <c r="A7" s="12">
        <v>10</v>
      </c>
      <c r="B7" s="11">
        <v>25</v>
      </c>
      <c r="C7" s="12">
        <v>15</v>
      </c>
      <c r="D7" s="11">
        <v>16</v>
      </c>
      <c r="E7" s="12">
        <v>90</v>
      </c>
      <c r="F7" s="12">
        <v>60</v>
      </c>
      <c r="G7" s="12">
        <v>4</v>
      </c>
      <c r="H7" t="s">
        <v>33</v>
      </c>
    </row>
    <row r="8" spans="1:8" ht="15" customHeight="1" x14ac:dyDescent="0.35">
      <c r="A8" s="11">
        <v>15</v>
      </c>
      <c r="B8" s="11">
        <v>1</v>
      </c>
      <c r="C8" s="11">
        <v>19</v>
      </c>
      <c r="D8" s="11">
        <v>10</v>
      </c>
      <c r="E8" s="11">
        <v>80</v>
      </c>
      <c r="F8" s="11">
        <v>55</v>
      </c>
      <c r="G8" s="13">
        <v>4</v>
      </c>
      <c r="H8" t="s">
        <v>17</v>
      </c>
    </row>
    <row r="9" spans="1:8" ht="15" customHeight="1" x14ac:dyDescent="0.35">
      <c r="A9" s="12">
        <v>15</v>
      </c>
      <c r="B9" s="11">
        <v>2.5</v>
      </c>
      <c r="C9" s="12">
        <v>19</v>
      </c>
      <c r="D9" s="12">
        <v>10</v>
      </c>
      <c r="E9" s="13">
        <v>80</v>
      </c>
      <c r="F9" s="12">
        <v>55</v>
      </c>
      <c r="G9" s="12">
        <v>4</v>
      </c>
      <c r="H9" t="s">
        <v>17</v>
      </c>
    </row>
    <row r="10" spans="1:8" x14ac:dyDescent="0.35">
      <c r="A10" s="12">
        <v>15</v>
      </c>
      <c r="B10" s="11">
        <v>6</v>
      </c>
      <c r="C10" s="12">
        <v>19</v>
      </c>
      <c r="D10" s="11">
        <v>12</v>
      </c>
      <c r="E10" s="12">
        <v>80</v>
      </c>
      <c r="F10" s="12">
        <v>55</v>
      </c>
      <c r="G10" s="12">
        <v>4</v>
      </c>
      <c r="H10" t="s">
        <v>17</v>
      </c>
    </row>
    <row r="11" spans="1:8" ht="15" customHeight="1" x14ac:dyDescent="0.35">
      <c r="A11" s="12">
        <v>15</v>
      </c>
      <c r="B11" s="11">
        <v>10</v>
      </c>
      <c r="C11" s="12">
        <v>19</v>
      </c>
      <c r="D11" s="12">
        <v>12</v>
      </c>
      <c r="E11" s="13">
        <v>95</v>
      </c>
      <c r="F11" s="11">
        <v>65</v>
      </c>
      <c r="G11" s="12">
        <v>4</v>
      </c>
      <c r="H11" t="s">
        <v>33</v>
      </c>
    </row>
    <row r="12" spans="1:8" x14ac:dyDescent="0.35">
      <c r="A12" s="12">
        <v>15</v>
      </c>
      <c r="B12" s="11">
        <v>16</v>
      </c>
      <c r="C12" s="12">
        <v>19</v>
      </c>
      <c r="D12" s="11">
        <v>14</v>
      </c>
      <c r="E12" s="12">
        <v>95</v>
      </c>
      <c r="F12" s="12">
        <v>65</v>
      </c>
      <c r="G12" s="12">
        <v>4</v>
      </c>
      <c r="H12" t="s">
        <v>33</v>
      </c>
    </row>
    <row r="13" spans="1:8" x14ac:dyDescent="0.35">
      <c r="A13" s="12">
        <v>15</v>
      </c>
      <c r="B13" s="11">
        <v>25</v>
      </c>
      <c r="C13" s="12">
        <v>19</v>
      </c>
      <c r="D13" s="11">
        <v>16</v>
      </c>
      <c r="E13" s="12">
        <v>95</v>
      </c>
      <c r="F13" s="12">
        <v>65</v>
      </c>
      <c r="G13" s="12">
        <v>4</v>
      </c>
      <c r="H13" t="s">
        <v>33</v>
      </c>
    </row>
    <row r="14" spans="1:8" ht="15" customHeight="1" x14ac:dyDescent="0.35">
      <c r="A14" s="11">
        <v>20</v>
      </c>
      <c r="B14" s="11">
        <v>1</v>
      </c>
      <c r="C14" s="11">
        <v>26</v>
      </c>
      <c r="D14" s="11">
        <v>12</v>
      </c>
      <c r="E14" s="11">
        <v>90</v>
      </c>
      <c r="F14" s="11">
        <v>65</v>
      </c>
      <c r="G14" s="13">
        <v>4</v>
      </c>
      <c r="H14" t="s">
        <v>17</v>
      </c>
    </row>
    <row r="15" spans="1:8" ht="15" customHeight="1" x14ac:dyDescent="0.35">
      <c r="A15" s="12">
        <v>20</v>
      </c>
      <c r="B15" s="11">
        <v>2.5</v>
      </c>
      <c r="C15" s="12">
        <v>26</v>
      </c>
      <c r="D15" s="12">
        <v>12</v>
      </c>
      <c r="E15" s="13">
        <v>90</v>
      </c>
      <c r="F15" s="12">
        <v>65</v>
      </c>
      <c r="G15" s="12">
        <v>4</v>
      </c>
      <c r="H15" t="s">
        <v>17</v>
      </c>
    </row>
    <row r="16" spans="1:8" x14ac:dyDescent="0.35">
      <c r="A16" s="12">
        <v>20</v>
      </c>
      <c r="B16" s="11">
        <v>6</v>
      </c>
      <c r="C16" s="12">
        <v>26</v>
      </c>
      <c r="D16" s="11">
        <v>14</v>
      </c>
      <c r="E16" s="12">
        <v>90</v>
      </c>
      <c r="F16" s="12">
        <v>65</v>
      </c>
      <c r="G16" s="12">
        <v>4</v>
      </c>
      <c r="H16" t="s">
        <v>17</v>
      </c>
    </row>
    <row r="17" spans="1:8" ht="15" customHeight="1" x14ac:dyDescent="0.35">
      <c r="A17" s="12">
        <v>20</v>
      </c>
      <c r="B17" s="11">
        <v>10</v>
      </c>
      <c r="C17" s="12">
        <v>26</v>
      </c>
      <c r="D17" s="12">
        <v>14</v>
      </c>
      <c r="E17" s="13">
        <v>105</v>
      </c>
      <c r="F17" s="11">
        <v>75</v>
      </c>
      <c r="G17" s="12">
        <v>4</v>
      </c>
      <c r="H17" t="s">
        <v>33</v>
      </c>
    </row>
    <row r="18" spans="1:8" x14ac:dyDescent="0.35">
      <c r="A18" s="12">
        <v>20</v>
      </c>
      <c r="B18" s="11">
        <v>16</v>
      </c>
      <c r="C18" s="12">
        <v>26</v>
      </c>
      <c r="D18" s="11">
        <v>16</v>
      </c>
      <c r="E18" s="12">
        <v>105</v>
      </c>
      <c r="F18" s="12">
        <v>75</v>
      </c>
      <c r="G18" s="12">
        <v>4</v>
      </c>
      <c r="H18" t="s">
        <v>33</v>
      </c>
    </row>
    <row r="19" spans="1:8" x14ac:dyDescent="0.35">
      <c r="A19" s="12">
        <v>20</v>
      </c>
      <c r="B19" s="11">
        <v>25</v>
      </c>
      <c r="C19" s="12">
        <v>26</v>
      </c>
      <c r="D19" s="11">
        <v>18</v>
      </c>
      <c r="E19" s="12">
        <v>105</v>
      </c>
      <c r="F19" s="12">
        <v>75</v>
      </c>
      <c r="G19" s="12">
        <v>4</v>
      </c>
      <c r="H19" t="s">
        <v>33</v>
      </c>
    </row>
    <row r="20" spans="1:8" x14ac:dyDescent="0.35">
      <c r="A20" s="11">
        <v>25</v>
      </c>
      <c r="B20" s="11">
        <v>1</v>
      </c>
      <c r="C20" s="11">
        <v>33</v>
      </c>
      <c r="D20" s="11">
        <v>12</v>
      </c>
      <c r="E20" s="11">
        <v>100</v>
      </c>
      <c r="F20" s="11">
        <v>75</v>
      </c>
      <c r="G20" s="11">
        <v>4</v>
      </c>
      <c r="H20" t="s">
        <v>17</v>
      </c>
    </row>
    <row r="21" spans="1:8" ht="15" customHeight="1" x14ac:dyDescent="0.35">
      <c r="A21" s="12">
        <v>25</v>
      </c>
      <c r="B21" s="11">
        <v>2.5</v>
      </c>
      <c r="C21" s="12">
        <v>33</v>
      </c>
      <c r="D21" s="12">
        <v>12</v>
      </c>
      <c r="E21" s="13">
        <v>100</v>
      </c>
      <c r="F21" s="12">
        <v>75</v>
      </c>
      <c r="G21" s="13">
        <v>4</v>
      </c>
      <c r="H21" t="s">
        <v>17</v>
      </c>
    </row>
    <row r="22" spans="1:8" x14ac:dyDescent="0.35">
      <c r="A22" s="12">
        <v>25</v>
      </c>
      <c r="B22" s="11">
        <v>6</v>
      </c>
      <c r="C22" s="12">
        <v>33</v>
      </c>
      <c r="D22" s="11">
        <v>14</v>
      </c>
      <c r="E22" s="12">
        <v>100</v>
      </c>
      <c r="F22" s="12">
        <v>75</v>
      </c>
      <c r="G22" s="12">
        <v>4</v>
      </c>
      <c r="H22" t="s">
        <v>17</v>
      </c>
    </row>
    <row r="23" spans="1:8" ht="15" customHeight="1" x14ac:dyDescent="0.35">
      <c r="A23" s="12">
        <v>25</v>
      </c>
      <c r="B23" s="11">
        <v>10</v>
      </c>
      <c r="C23" s="12">
        <v>33</v>
      </c>
      <c r="D23" s="12">
        <v>14</v>
      </c>
      <c r="E23" s="13">
        <v>115</v>
      </c>
      <c r="F23" s="11">
        <v>85</v>
      </c>
      <c r="G23" s="12">
        <v>4</v>
      </c>
      <c r="H23" t="s">
        <v>33</v>
      </c>
    </row>
    <row r="24" spans="1:8" x14ac:dyDescent="0.35">
      <c r="A24" s="12">
        <v>25</v>
      </c>
      <c r="B24" s="11">
        <v>16</v>
      </c>
      <c r="C24" s="12">
        <v>33</v>
      </c>
      <c r="D24" s="11">
        <v>18</v>
      </c>
      <c r="E24" s="12">
        <v>115</v>
      </c>
      <c r="F24" s="12">
        <v>85</v>
      </c>
      <c r="G24" s="12">
        <v>4</v>
      </c>
      <c r="H24" t="s">
        <v>33</v>
      </c>
    </row>
    <row r="25" spans="1:8" x14ac:dyDescent="0.35">
      <c r="A25" s="12">
        <v>25</v>
      </c>
      <c r="B25" s="11">
        <v>25</v>
      </c>
      <c r="C25" s="12">
        <v>33</v>
      </c>
      <c r="D25" s="12">
        <v>18</v>
      </c>
      <c r="E25" s="12">
        <v>115</v>
      </c>
      <c r="F25" s="12">
        <v>85</v>
      </c>
      <c r="G25" s="12">
        <v>4</v>
      </c>
      <c r="H25" t="s">
        <v>33</v>
      </c>
    </row>
    <row r="26" spans="1:8" x14ac:dyDescent="0.35">
      <c r="A26" s="11">
        <v>32</v>
      </c>
      <c r="B26" s="11">
        <v>1</v>
      </c>
      <c r="C26" s="11">
        <v>39</v>
      </c>
      <c r="D26" s="11">
        <v>12</v>
      </c>
      <c r="E26" s="11">
        <v>120</v>
      </c>
      <c r="F26" s="11">
        <v>90</v>
      </c>
      <c r="G26" s="11">
        <v>4</v>
      </c>
      <c r="H26" t="s">
        <v>33</v>
      </c>
    </row>
    <row r="27" spans="1:8" ht="15" customHeight="1" x14ac:dyDescent="0.35">
      <c r="A27" s="12">
        <v>32</v>
      </c>
      <c r="B27" s="11">
        <v>2.5</v>
      </c>
      <c r="C27" s="12">
        <v>39</v>
      </c>
      <c r="D27" s="12">
        <v>12</v>
      </c>
      <c r="E27" s="13">
        <v>120</v>
      </c>
      <c r="F27" s="12">
        <v>90</v>
      </c>
      <c r="G27" s="13">
        <v>4</v>
      </c>
      <c r="H27" t="s">
        <v>33</v>
      </c>
    </row>
    <row r="28" spans="1:8" x14ac:dyDescent="0.35">
      <c r="A28" s="12">
        <v>32</v>
      </c>
      <c r="B28" s="11">
        <v>6</v>
      </c>
      <c r="C28" s="12">
        <v>39</v>
      </c>
      <c r="D28" s="11">
        <v>15</v>
      </c>
      <c r="E28" s="12">
        <v>120</v>
      </c>
      <c r="F28" s="12">
        <v>90</v>
      </c>
      <c r="G28" s="12">
        <v>4</v>
      </c>
      <c r="H28" t="s">
        <v>33</v>
      </c>
    </row>
    <row r="29" spans="1:8" ht="15" customHeight="1" x14ac:dyDescent="0.35">
      <c r="A29" s="12">
        <v>32</v>
      </c>
      <c r="B29" s="11">
        <v>10</v>
      </c>
      <c r="C29" s="12">
        <v>39</v>
      </c>
      <c r="D29" s="11">
        <v>16</v>
      </c>
      <c r="E29" s="11">
        <v>135</v>
      </c>
      <c r="F29" s="11">
        <v>100</v>
      </c>
      <c r="G29" s="12">
        <v>4</v>
      </c>
      <c r="H29" t="s">
        <v>65</v>
      </c>
    </row>
    <row r="30" spans="1:8" x14ac:dyDescent="0.35">
      <c r="A30" s="12">
        <v>32</v>
      </c>
      <c r="B30" s="11">
        <v>16</v>
      </c>
      <c r="C30" s="12">
        <v>39</v>
      </c>
      <c r="D30" s="11">
        <v>18</v>
      </c>
      <c r="E30" s="12">
        <v>135</v>
      </c>
      <c r="F30" s="12">
        <v>100</v>
      </c>
      <c r="G30" s="12">
        <v>4</v>
      </c>
      <c r="H30" t="s">
        <v>65</v>
      </c>
    </row>
    <row r="31" spans="1:8" x14ac:dyDescent="0.35">
      <c r="A31" s="12">
        <v>32</v>
      </c>
      <c r="B31" s="11">
        <v>25</v>
      </c>
      <c r="C31" s="12">
        <v>39</v>
      </c>
      <c r="D31" s="11">
        <v>20</v>
      </c>
      <c r="E31" s="12">
        <v>135</v>
      </c>
      <c r="F31" s="12">
        <v>100</v>
      </c>
      <c r="G31" s="12">
        <v>4</v>
      </c>
      <c r="H31" t="s">
        <v>65</v>
      </c>
    </row>
    <row r="32" spans="1:8" x14ac:dyDescent="0.35">
      <c r="A32" s="11">
        <v>40</v>
      </c>
      <c r="B32" s="11">
        <v>1</v>
      </c>
      <c r="C32" s="11">
        <v>46</v>
      </c>
      <c r="D32" s="11">
        <v>13</v>
      </c>
      <c r="E32" s="11">
        <v>130</v>
      </c>
      <c r="F32" s="11">
        <v>100</v>
      </c>
      <c r="G32" s="11">
        <v>4</v>
      </c>
      <c r="H32" t="s">
        <v>33</v>
      </c>
    </row>
    <row r="33" spans="1:8" ht="15" customHeight="1" x14ac:dyDescent="0.35">
      <c r="A33" s="12">
        <v>40</v>
      </c>
      <c r="B33" s="11">
        <v>2.5</v>
      </c>
      <c r="C33" s="12">
        <v>46</v>
      </c>
      <c r="D33" s="12">
        <v>13</v>
      </c>
      <c r="E33" s="13">
        <v>130</v>
      </c>
      <c r="F33" s="12">
        <v>100</v>
      </c>
      <c r="G33" s="13">
        <v>4</v>
      </c>
      <c r="H33" t="s">
        <v>33</v>
      </c>
    </row>
    <row r="34" spans="1:8" x14ac:dyDescent="0.35">
      <c r="A34" s="12">
        <v>40</v>
      </c>
      <c r="B34" s="11">
        <v>6</v>
      </c>
      <c r="C34" s="12">
        <v>46</v>
      </c>
      <c r="D34" s="11">
        <v>16</v>
      </c>
      <c r="E34" s="12">
        <v>130</v>
      </c>
      <c r="F34" s="12">
        <v>100</v>
      </c>
      <c r="G34" s="12">
        <v>4</v>
      </c>
      <c r="H34" t="s">
        <v>33</v>
      </c>
    </row>
    <row r="35" spans="1:8" ht="15" customHeight="1" x14ac:dyDescent="0.35">
      <c r="A35" s="12">
        <v>40</v>
      </c>
      <c r="B35" s="11">
        <v>10</v>
      </c>
      <c r="C35" s="12">
        <v>46</v>
      </c>
      <c r="D35" s="11">
        <v>18</v>
      </c>
      <c r="E35" s="11">
        <v>145</v>
      </c>
      <c r="F35" s="11">
        <v>110</v>
      </c>
      <c r="G35" s="12">
        <v>4</v>
      </c>
      <c r="H35" t="s">
        <v>65</v>
      </c>
    </row>
    <row r="36" spans="1:8" x14ac:dyDescent="0.35">
      <c r="A36" s="12">
        <v>40</v>
      </c>
      <c r="B36" s="11">
        <v>16</v>
      </c>
      <c r="C36" s="12">
        <v>46</v>
      </c>
      <c r="D36" s="11">
        <v>20</v>
      </c>
      <c r="E36" s="12">
        <v>145</v>
      </c>
      <c r="F36" s="12">
        <v>110</v>
      </c>
      <c r="G36" s="12">
        <v>4</v>
      </c>
      <c r="H36" t="s">
        <v>65</v>
      </c>
    </row>
    <row r="37" spans="1:8" x14ac:dyDescent="0.35">
      <c r="A37" s="12">
        <v>40</v>
      </c>
      <c r="B37" s="11">
        <v>25</v>
      </c>
      <c r="C37" s="12">
        <v>46</v>
      </c>
      <c r="D37" s="11">
        <v>22</v>
      </c>
      <c r="E37" s="12">
        <v>145</v>
      </c>
      <c r="F37" s="12">
        <v>110</v>
      </c>
      <c r="G37" s="12">
        <v>4</v>
      </c>
      <c r="H37" t="s">
        <v>65</v>
      </c>
    </row>
    <row r="38" spans="1:8" x14ac:dyDescent="0.35">
      <c r="A38" s="11">
        <v>50</v>
      </c>
      <c r="B38" s="11">
        <v>1</v>
      </c>
      <c r="C38" s="11">
        <v>59</v>
      </c>
      <c r="D38" s="11">
        <v>13</v>
      </c>
      <c r="E38" s="11">
        <v>140</v>
      </c>
      <c r="F38" s="11">
        <v>110</v>
      </c>
      <c r="G38" s="11">
        <v>4</v>
      </c>
      <c r="H38" t="s">
        <v>33</v>
      </c>
    </row>
    <row r="39" spans="1:8" ht="15" customHeight="1" x14ac:dyDescent="0.35">
      <c r="A39" s="12">
        <v>50</v>
      </c>
      <c r="B39" s="11">
        <v>2.5</v>
      </c>
      <c r="C39" s="12">
        <v>59</v>
      </c>
      <c r="D39" s="12">
        <v>13</v>
      </c>
      <c r="E39" s="13">
        <v>140</v>
      </c>
      <c r="F39" s="12">
        <v>110</v>
      </c>
      <c r="G39" s="13">
        <v>4</v>
      </c>
      <c r="H39" t="s">
        <v>33</v>
      </c>
    </row>
    <row r="40" spans="1:8" x14ac:dyDescent="0.35">
      <c r="A40" s="12">
        <v>50</v>
      </c>
      <c r="B40" s="11">
        <v>6</v>
      </c>
      <c r="C40" s="12">
        <v>59</v>
      </c>
      <c r="D40" s="11">
        <v>16</v>
      </c>
      <c r="E40" s="12">
        <v>140</v>
      </c>
      <c r="F40" s="12">
        <v>110</v>
      </c>
      <c r="G40" s="12">
        <v>4</v>
      </c>
      <c r="H40" t="s">
        <v>33</v>
      </c>
    </row>
    <row r="41" spans="1:8" ht="15" customHeight="1" x14ac:dyDescent="0.35">
      <c r="A41" s="12">
        <v>50</v>
      </c>
      <c r="B41" s="11">
        <v>10</v>
      </c>
      <c r="C41" s="12">
        <v>59</v>
      </c>
      <c r="D41" s="11">
        <v>18</v>
      </c>
      <c r="E41" s="11">
        <v>160</v>
      </c>
      <c r="F41" s="11">
        <v>125</v>
      </c>
      <c r="G41" s="12">
        <v>4</v>
      </c>
      <c r="H41" t="s">
        <v>65</v>
      </c>
    </row>
    <row r="42" spans="1:8" x14ac:dyDescent="0.35">
      <c r="A42" s="12">
        <v>50</v>
      </c>
      <c r="B42" s="11">
        <v>16</v>
      </c>
      <c r="C42" s="12">
        <v>59</v>
      </c>
      <c r="D42" s="11">
        <v>22</v>
      </c>
      <c r="E42" s="12">
        <v>160</v>
      </c>
      <c r="F42" s="12">
        <v>125</v>
      </c>
      <c r="G42" s="12">
        <v>4</v>
      </c>
      <c r="H42" t="s">
        <v>65</v>
      </c>
    </row>
    <row r="43" spans="1:8" x14ac:dyDescent="0.35">
      <c r="A43" s="12">
        <v>50</v>
      </c>
      <c r="B43" s="11">
        <v>25</v>
      </c>
      <c r="C43" s="12">
        <v>59</v>
      </c>
      <c r="D43" s="11">
        <v>24</v>
      </c>
      <c r="E43" s="12">
        <v>160</v>
      </c>
      <c r="F43" s="12">
        <v>125</v>
      </c>
      <c r="G43" s="12">
        <v>4</v>
      </c>
      <c r="H43" t="s">
        <v>65</v>
      </c>
    </row>
    <row r="44" spans="1:8" x14ac:dyDescent="0.35">
      <c r="A44" s="11">
        <v>65</v>
      </c>
      <c r="B44" s="11">
        <v>1</v>
      </c>
      <c r="C44" s="11">
        <v>78</v>
      </c>
      <c r="D44" s="11">
        <v>14</v>
      </c>
      <c r="E44" s="11">
        <v>160</v>
      </c>
      <c r="F44" s="11">
        <v>130</v>
      </c>
      <c r="G44" s="11">
        <v>4</v>
      </c>
      <c r="H44" t="s">
        <v>33</v>
      </c>
    </row>
    <row r="45" spans="1:8" ht="15" customHeight="1" x14ac:dyDescent="0.35">
      <c r="A45" s="12">
        <v>65</v>
      </c>
      <c r="B45" s="11">
        <v>2.5</v>
      </c>
      <c r="C45" s="12">
        <v>78</v>
      </c>
      <c r="D45" s="12">
        <v>14</v>
      </c>
      <c r="E45" s="13">
        <v>160</v>
      </c>
      <c r="F45" s="12">
        <v>130</v>
      </c>
      <c r="G45" s="13">
        <v>4</v>
      </c>
      <c r="H45" t="s">
        <v>33</v>
      </c>
    </row>
    <row r="46" spans="1:8" x14ac:dyDescent="0.35">
      <c r="A46" s="12">
        <v>65</v>
      </c>
      <c r="B46" s="11">
        <v>6</v>
      </c>
      <c r="C46" s="12">
        <v>78</v>
      </c>
      <c r="D46" s="11">
        <v>16</v>
      </c>
      <c r="E46" s="12">
        <v>160</v>
      </c>
      <c r="F46" s="12">
        <v>130</v>
      </c>
      <c r="G46" s="12">
        <v>4</v>
      </c>
      <c r="H46" t="s">
        <v>33</v>
      </c>
    </row>
    <row r="47" spans="1:8" ht="15" customHeight="1" x14ac:dyDescent="0.35">
      <c r="A47" s="12">
        <v>65</v>
      </c>
      <c r="B47" s="11">
        <v>10</v>
      </c>
      <c r="C47" s="12">
        <v>78</v>
      </c>
      <c r="D47" s="11">
        <v>20</v>
      </c>
      <c r="E47" s="11">
        <v>180</v>
      </c>
      <c r="F47" s="11">
        <v>145</v>
      </c>
      <c r="G47" s="11">
        <v>4</v>
      </c>
      <c r="H47" t="s">
        <v>65</v>
      </c>
    </row>
    <row r="48" spans="1:8" x14ac:dyDescent="0.35">
      <c r="A48" s="12">
        <v>65</v>
      </c>
      <c r="B48" s="11">
        <v>16</v>
      </c>
      <c r="C48" s="12">
        <v>78</v>
      </c>
      <c r="D48" s="11">
        <v>24</v>
      </c>
      <c r="E48" s="12">
        <v>180</v>
      </c>
      <c r="F48" s="12">
        <v>145</v>
      </c>
      <c r="G48" s="12">
        <v>4</v>
      </c>
      <c r="H48" t="s">
        <v>65</v>
      </c>
    </row>
    <row r="49" spans="1:8" ht="15" customHeight="1" x14ac:dyDescent="0.35">
      <c r="A49" s="12">
        <v>65</v>
      </c>
      <c r="B49" s="11">
        <v>25</v>
      </c>
      <c r="C49" s="12">
        <v>78</v>
      </c>
      <c r="D49" s="12">
        <v>24</v>
      </c>
      <c r="E49" s="12">
        <v>180</v>
      </c>
      <c r="F49" s="12">
        <v>145</v>
      </c>
      <c r="G49" s="13">
        <v>8</v>
      </c>
      <c r="H49" t="s">
        <v>65</v>
      </c>
    </row>
    <row r="50" spans="1:8" x14ac:dyDescent="0.35">
      <c r="A50" s="11">
        <v>80</v>
      </c>
      <c r="B50" s="11">
        <v>1</v>
      </c>
      <c r="C50" s="11">
        <v>91</v>
      </c>
      <c r="D50" s="11">
        <v>14</v>
      </c>
      <c r="E50" s="11">
        <v>185</v>
      </c>
      <c r="F50" s="11">
        <v>150</v>
      </c>
      <c r="G50" s="11">
        <v>4</v>
      </c>
      <c r="H50" t="s">
        <v>65</v>
      </c>
    </row>
    <row r="51" spans="1:8" ht="15" customHeight="1" x14ac:dyDescent="0.35">
      <c r="A51" s="12">
        <v>80</v>
      </c>
      <c r="B51" s="11">
        <v>2.5</v>
      </c>
      <c r="C51" s="12">
        <v>91</v>
      </c>
      <c r="D51" s="12">
        <v>14</v>
      </c>
      <c r="E51" s="12">
        <v>185</v>
      </c>
      <c r="F51" s="12">
        <v>150</v>
      </c>
      <c r="G51" s="13">
        <v>4</v>
      </c>
      <c r="H51" t="s">
        <v>65</v>
      </c>
    </row>
    <row r="52" spans="1:8" x14ac:dyDescent="0.35">
      <c r="A52" s="12">
        <v>80</v>
      </c>
      <c r="B52" s="11">
        <v>6</v>
      </c>
      <c r="C52" s="12">
        <v>91</v>
      </c>
      <c r="D52" s="11">
        <v>18</v>
      </c>
      <c r="E52" s="12">
        <v>185</v>
      </c>
      <c r="F52" s="12">
        <v>150</v>
      </c>
      <c r="G52" s="12">
        <v>4</v>
      </c>
      <c r="H52" t="s">
        <v>65</v>
      </c>
    </row>
    <row r="53" spans="1:8" x14ac:dyDescent="0.35">
      <c r="A53" s="12">
        <v>80</v>
      </c>
      <c r="B53" s="11">
        <v>10</v>
      </c>
      <c r="C53" s="12">
        <v>91</v>
      </c>
      <c r="D53" s="11">
        <v>20</v>
      </c>
      <c r="E53" s="11">
        <v>195</v>
      </c>
      <c r="F53" s="11">
        <v>160</v>
      </c>
      <c r="G53" s="11">
        <v>4</v>
      </c>
      <c r="H53" t="s">
        <v>65</v>
      </c>
    </row>
    <row r="54" spans="1:8" x14ac:dyDescent="0.35">
      <c r="A54" s="12">
        <v>80</v>
      </c>
      <c r="B54" s="11">
        <v>16</v>
      </c>
      <c r="C54" s="12">
        <v>91</v>
      </c>
      <c r="D54" s="11">
        <v>24</v>
      </c>
      <c r="E54" s="12">
        <v>195</v>
      </c>
      <c r="F54" s="12">
        <v>160</v>
      </c>
      <c r="G54" s="12">
        <v>4</v>
      </c>
      <c r="H54" t="s">
        <v>65</v>
      </c>
    </row>
    <row r="55" spans="1:8" ht="15" customHeight="1" x14ac:dyDescent="0.35">
      <c r="A55" s="12">
        <v>80</v>
      </c>
      <c r="B55" s="11">
        <v>25</v>
      </c>
      <c r="C55" s="12">
        <v>91</v>
      </c>
      <c r="D55" s="11">
        <v>26</v>
      </c>
      <c r="E55" s="12">
        <v>195</v>
      </c>
      <c r="F55" s="12">
        <v>160</v>
      </c>
      <c r="G55" s="13">
        <v>8</v>
      </c>
      <c r="H55" t="s">
        <v>65</v>
      </c>
    </row>
    <row r="56" spans="1:8" x14ac:dyDescent="0.35">
      <c r="A56" s="13">
        <v>100</v>
      </c>
      <c r="B56" s="13">
        <v>1</v>
      </c>
      <c r="C56" s="11">
        <v>110</v>
      </c>
      <c r="D56" s="13">
        <v>14</v>
      </c>
      <c r="E56" s="13">
        <v>205</v>
      </c>
      <c r="F56" s="13">
        <v>170</v>
      </c>
      <c r="G56" s="13">
        <v>4</v>
      </c>
      <c r="H56" t="s">
        <v>65</v>
      </c>
    </row>
    <row r="57" spans="1:8" x14ac:dyDescent="0.35">
      <c r="A57" s="13">
        <v>100</v>
      </c>
      <c r="B57" s="13">
        <v>1</v>
      </c>
      <c r="C57" s="11">
        <v>110</v>
      </c>
      <c r="D57" s="13">
        <v>14</v>
      </c>
      <c r="E57" s="13">
        <v>205</v>
      </c>
      <c r="F57" s="13">
        <v>170</v>
      </c>
      <c r="G57" s="13">
        <v>4</v>
      </c>
      <c r="H57" t="s">
        <v>65</v>
      </c>
    </row>
    <row r="58" spans="1:8" x14ac:dyDescent="0.35">
      <c r="A58" s="12">
        <v>100</v>
      </c>
      <c r="B58" s="13">
        <v>2.5</v>
      </c>
      <c r="C58" s="11">
        <v>110</v>
      </c>
      <c r="D58" s="12">
        <v>14</v>
      </c>
      <c r="E58" s="12">
        <v>205</v>
      </c>
      <c r="F58" s="12">
        <v>170</v>
      </c>
      <c r="G58" s="13">
        <v>4</v>
      </c>
      <c r="H58" t="s">
        <v>65</v>
      </c>
    </row>
    <row r="59" spans="1:8" x14ac:dyDescent="0.35">
      <c r="A59" s="12">
        <v>100</v>
      </c>
      <c r="B59" s="13">
        <v>2.5</v>
      </c>
      <c r="C59" s="11">
        <v>110</v>
      </c>
      <c r="D59" s="12">
        <v>14</v>
      </c>
      <c r="E59" s="12">
        <v>205</v>
      </c>
      <c r="F59" s="12">
        <v>170</v>
      </c>
      <c r="G59" s="13">
        <v>4</v>
      </c>
      <c r="H59" t="s">
        <v>65</v>
      </c>
    </row>
    <row r="60" spans="1:8" x14ac:dyDescent="0.35">
      <c r="A60" s="12">
        <v>100</v>
      </c>
      <c r="B60" s="13">
        <v>6</v>
      </c>
      <c r="C60" s="11">
        <v>110</v>
      </c>
      <c r="D60" s="13">
        <v>18</v>
      </c>
      <c r="E60" s="12">
        <v>205</v>
      </c>
      <c r="F60" s="12">
        <v>170</v>
      </c>
      <c r="G60" s="12">
        <v>4</v>
      </c>
      <c r="H60" t="s">
        <v>65</v>
      </c>
    </row>
    <row r="61" spans="1:8" x14ac:dyDescent="0.35">
      <c r="A61" s="12">
        <v>100</v>
      </c>
      <c r="B61" s="13">
        <v>6</v>
      </c>
      <c r="C61" s="11">
        <v>110</v>
      </c>
      <c r="D61" s="13">
        <v>18</v>
      </c>
      <c r="E61" s="12">
        <v>205</v>
      </c>
      <c r="F61" s="12">
        <v>170</v>
      </c>
      <c r="G61" s="12">
        <v>4</v>
      </c>
      <c r="H61" t="s">
        <v>65</v>
      </c>
    </row>
    <row r="62" spans="1:8" x14ac:dyDescent="0.35">
      <c r="A62" s="12">
        <v>100</v>
      </c>
      <c r="B62" s="13">
        <v>10</v>
      </c>
      <c r="C62" s="11">
        <v>110</v>
      </c>
      <c r="D62" s="13">
        <v>22</v>
      </c>
      <c r="E62" s="13">
        <v>215</v>
      </c>
      <c r="F62" s="13">
        <v>180</v>
      </c>
      <c r="G62" s="13">
        <v>8</v>
      </c>
      <c r="H62" t="s">
        <v>65</v>
      </c>
    </row>
    <row r="63" spans="1:8" x14ac:dyDescent="0.35">
      <c r="A63" s="12">
        <v>100</v>
      </c>
      <c r="B63" s="13">
        <v>10</v>
      </c>
      <c r="C63" s="11">
        <v>116</v>
      </c>
      <c r="D63" s="13">
        <v>22</v>
      </c>
      <c r="E63" s="13">
        <v>215</v>
      </c>
      <c r="F63" s="13">
        <v>180</v>
      </c>
      <c r="G63" s="13">
        <v>8</v>
      </c>
      <c r="H63" t="s">
        <v>65</v>
      </c>
    </row>
    <row r="64" spans="1:8" x14ac:dyDescent="0.35">
      <c r="A64" s="12">
        <v>100</v>
      </c>
      <c r="B64" s="13">
        <v>16</v>
      </c>
      <c r="C64" s="11">
        <v>110</v>
      </c>
      <c r="D64" s="13">
        <v>26</v>
      </c>
      <c r="E64" s="12">
        <v>215</v>
      </c>
      <c r="F64" s="12">
        <v>180</v>
      </c>
      <c r="G64" s="12">
        <v>8</v>
      </c>
      <c r="H64" t="s">
        <v>65</v>
      </c>
    </row>
    <row r="65" spans="1:8" x14ac:dyDescent="0.35">
      <c r="A65" s="12">
        <v>100</v>
      </c>
      <c r="B65" s="13">
        <v>16</v>
      </c>
      <c r="C65" s="11">
        <v>116</v>
      </c>
      <c r="D65" s="13">
        <v>26</v>
      </c>
      <c r="E65" s="12">
        <v>215</v>
      </c>
      <c r="F65" s="12">
        <v>180</v>
      </c>
      <c r="G65" s="12">
        <v>8</v>
      </c>
      <c r="H65" t="s">
        <v>65</v>
      </c>
    </row>
    <row r="66" spans="1:8" x14ac:dyDescent="0.35">
      <c r="A66" s="12">
        <v>100</v>
      </c>
      <c r="B66" s="13">
        <v>25</v>
      </c>
      <c r="C66" s="11">
        <v>110</v>
      </c>
      <c r="D66" s="13">
        <v>28</v>
      </c>
      <c r="E66" s="13">
        <v>230</v>
      </c>
      <c r="F66" s="13">
        <v>190</v>
      </c>
      <c r="G66" s="12">
        <v>8</v>
      </c>
      <c r="H66" t="s">
        <v>78</v>
      </c>
    </row>
    <row r="67" spans="1:8" x14ac:dyDescent="0.35">
      <c r="A67" s="12">
        <v>100</v>
      </c>
      <c r="B67" s="13">
        <v>25</v>
      </c>
      <c r="C67" s="11">
        <v>116</v>
      </c>
      <c r="D67" s="13">
        <v>28</v>
      </c>
      <c r="E67" s="13">
        <v>230</v>
      </c>
      <c r="F67" s="13">
        <v>190</v>
      </c>
      <c r="G67" s="12">
        <v>8</v>
      </c>
      <c r="H67" t="s">
        <v>78</v>
      </c>
    </row>
    <row r="68" spans="1:8" x14ac:dyDescent="0.35">
      <c r="A68" s="13">
        <v>125</v>
      </c>
      <c r="B68" s="13">
        <v>1</v>
      </c>
      <c r="C68" s="11">
        <v>135</v>
      </c>
      <c r="D68" s="13">
        <v>16</v>
      </c>
      <c r="E68" s="13">
        <v>235</v>
      </c>
      <c r="F68" s="13">
        <v>200</v>
      </c>
      <c r="G68" s="13">
        <v>8</v>
      </c>
      <c r="H68" t="s">
        <v>65</v>
      </c>
    </row>
    <row r="69" spans="1:8" x14ac:dyDescent="0.35">
      <c r="A69" s="13">
        <v>125</v>
      </c>
      <c r="B69" s="13">
        <v>1</v>
      </c>
      <c r="C69" s="11">
        <v>142</v>
      </c>
      <c r="D69" s="13">
        <v>16</v>
      </c>
      <c r="E69" s="13">
        <v>235</v>
      </c>
      <c r="F69" s="13">
        <v>200</v>
      </c>
      <c r="G69" s="13">
        <v>8</v>
      </c>
      <c r="H69" t="s">
        <v>65</v>
      </c>
    </row>
    <row r="70" spans="1:8" x14ac:dyDescent="0.35">
      <c r="A70" s="12">
        <v>125</v>
      </c>
      <c r="B70" s="13">
        <v>2.5</v>
      </c>
      <c r="C70" s="11">
        <v>135</v>
      </c>
      <c r="D70" s="12">
        <v>16</v>
      </c>
      <c r="E70" s="12">
        <v>235</v>
      </c>
      <c r="F70" s="12">
        <v>200</v>
      </c>
      <c r="G70" s="13">
        <v>8</v>
      </c>
      <c r="H70" t="s">
        <v>65</v>
      </c>
    </row>
    <row r="71" spans="1:8" x14ac:dyDescent="0.35">
      <c r="A71" s="12">
        <v>125</v>
      </c>
      <c r="B71" s="13">
        <v>2.5</v>
      </c>
      <c r="C71" s="11">
        <v>142</v>
      </c>
      <c r="D71" s="12">
        <v>16</v>
      </c>
      <c r="E71" s="12">
        <v>235</v>
      </c>
      <c r="F71" s="12">
        <v>200</v>
      </c>
      <c r="G71" s="13">
        <v>8</v>
      </c>
      <c r="H71" t="s">
        <v>65</v>
      </c>
    </row>
    <row r="72" spans="1:8" x14ac:dyDescent="0.35">
      <c r="A72" s="12">
        <v>125</v>
      </c>
      <c r="B72" s="13">
        <v>6</v>
      </c>
      <c r="C72" s="11">
        <v>135</v>
      </c>
      <c r="D72" s="13">
        <v>20</v>
      </c>
      <c r="E72" s="12">
        <v>235</v>
      </c>
      <c r="F72" s="12">
        <v>200</v>
      </c>
      <c r="G72" s="12">
        <v>8</v>
      </c>
      <c r="H72" t="s">
        <v>65</v>
      </c>
    </row>
    <row r="73" spans="1:8" x14ac:dyDescent="0.35">
      <c r="A73" s="12">
        <v>125</v>
      </c>
      <c r="B73" s="13">
        <v>6</v>
      </c>
      <c r="C73" s="11">
        <v>142</v>
      </c>
      <c r="D73" s="13">
        <v>20</v>
      </c>
      <c r="E73" s="12">
        <v>235</v>
      </c>
      <c r="F73" s="12">
        <v>200</v>
      </c>
      <c r="G73" s="12">
        <v>8</v>
      </c>
      <c r="H73" t="s">
        <v>65</v>
      </c>
    </row>
    <row r="74" spans="1:8" x14ac:dyDescent="0.35">
      <c r="A74" s="12">
        <v>125</v>
      </c>
      <c r="B74" s="13">
        <v>10</v>
      </c>
      <c r="C74" s="11">
        <v>135</v>
      </c>
      <c r="D74" s="13">
        <v>24</v>
      </c>
      <c r="E74" s="13">
        <v>245</v>
      </c>
      <c r="F74" s="13">
        <v>210</v>
      </c>
      <c r="G74" s="12">
        <v>8</v>
      </c>
      <c r="H74" t="s">
        <v>65</v>
      </c>
    </row>
    <row r="75" spans="1:8" x14ac:dyDescent="0.35">
      <c r="A75" s="12">
        <v>125</v>
      </c>
      <c r="B75" s="13">
        <v>10</v>
      </c>
      <c r="C75" s="11">
        <v>142</v>
      </c>
      <c r="D75" s="13">
        <v>24</v>
      </c>
      <c r="E75" s="13">
        <v>245</v>
      </c>
      <c r="F75" s="13">
        <v>210</v>
      </c>
      <c r="G75" s="12">
        <v>8</v>
      </c>
      <c r="H75" t="s">
        <v>65</v>
      </c>
    </row>
    <row r="76" spans="1:8" x14ac:dyDescent="0.35">
      <c r="A76" s="12">
        <v>125</v>
      </c>
      <c r="B76" s="13">
        <v>16</v>
      </c>
      <c r="C76" s="11">
        <v>135</v>
      </c>
      <c r="D76" s="13">
        <v>28</v>
      </c>
      <c r="E76" s="12">
        <v>245</v>
      </c>
      <c r="F76" s="12">
        <v>210</v>
      </c>
      <c r="G76" s="12">
        <v>8</v>
      </c>
      <c r="H76" t="s">
        <v>65</v>
      </c>
    </row>
    <row r="77" spans="1:8" x14ac:dyDescent="0.35">
      <c r="A77" s="12">
        <v>125</v>
      </c>
      <c r="B77" s="13">
        <v>16</v>
      </c>
      <c r="C77" s="11">
        <v>142</v>
      </c>
      <c r="D77" s="13">
        <v>28</v>
      </c>
      <c r="E77" s="12">
        <v>245</v>
      </c>
      <c r="F77" s="12">
        <v>210</v>
      </c>
      <c r="G77" s="12">
        <v>8</v>
      </c>
      <c r="H77" t="s">
        <v>65</v>
      </c>
    </row>
    <row r="78" spans="1:8" x14ac:dyDescent="0.35">
      <c r="A78" s="12">
        <v>125</v>
      </c>
      <c r="B78" s="13">
        <v>25</v>
      </c>
      <c r="C78" s="11">
        <v>135</v>
      </c>
      <c r="D78" s="13">
        <v>30</v>
      </c>
      <c r="E78" s="13">
        <v>270</v>
      </c>
      <c r="F78" s="13">
        <v>220</v>
      </c>
      <c r="G78" s="12">
        <v>8</v>
      </c>
      <c r="H78" t="s">
        <v>90</v>
      </c>
    </row>
    <row r="79" spans="1:8" x14ac:dyDescent="0.35">
      <c r="A79" s="12">
        <v>125</v>
      </c>
      <c r="B79" s="13">
        <v>25</v>
      </c>
      <c r="C79" s="11">
        <v>142</v>
      </c>
      <c r="D79" s="13">
        <v>30</v>
      </c>
      <c r="E79" s="13">
        <v>270</v>
      </c>
      <c r="F79" s="13">
        <v>220</v>
      </c>
      <c r="G79" s="12">
        <v>8</v>
      </c>
      <c r="H79" t="s">
        <v>90</v>
      </c>
    </row>
    <row r="80" spans="1:8" x14ac:dyDescent="0.35">
      <c r="A80" s="13">
        <v>150</v>
      </c>
      <c r="B80" s="13">
        <v>1</v>
      </c>
      <c r="C80" s="11">
        <v>154</v>
      </c>
      <c r="D80" s="13">
        <v>16</v>
      </c>
      <c r="E80" s="13">
        <v>260</v>
      </c>
      <c r="F80" s="13">
        <v>225</v>
      </c>
      <c r="G80" s="13">
        <v>8</v>
      </c>
      <c r="H80" t="s">
        <v>65</v>
      </c>
    </row>
    <row r="81" spans="1:8" x14ac:dyDescent="0.35">
      <c r="A81" s="13">
        <v>150</v>
      </c>
      <c r="B81" s="13">
        <v>1</v>
      </c>
      <c r="C81" s="11">
        <v>161</v>
      </c>
      <c r="D81" s="13">
        <v>16</v>
      </c>
      <c r="E81" s="13">
        <v>260</v>
      </c>
      <c r="F81" s="13">
        <v>225</v>
      </c>
      <c r="G81" s="13">
        <v>8</v>
      </c>
      <c r="H81" t="s">
        <v>65</v>
      </c>
    </row>
    <row r="82" spans="1:8" x14ac:dyDescent="0.35">
      <c r="A82" s="13">
        <v>150</v>
      </c>
      <c r="B82" s="13">
        <v>1</v>
      </c>
      <c r="C82" s="11">
        <v>161</v>
      </c>
      <c r="D82" s="13">
        <v>16</v>
      </c>
      <c r="E82" s="13">
        <v>260</v>
      </c>
      <c r="F82" s="13">
        <v>225</v>
      </c>
      <c r="G82" s="13">
        <v>8</v>
      </c>
      <c r="H82" t="s">
        <v>65</v>
      </c>
    </row>
    <row r="83" spans="1:8" x14ac:dyDescent="0.35">
      <c r="A83" s="12">
        <v>150</v>
      </c>
      <c r="B83" s="13">
        <v>2.5</v>
      </c>
      <c r="C83" s="11">
        <v>154</v>
      </c>
      <c r="D83" s="13">
        <v>16</v>
      </c>
      <c r="E83" s="12">
        <v>260</v>
      </c>
      <c r="F83" s="12">
        <v>225</v>
      </c>
      <c r="G83" s="13">
        <v>8</v>
      </c>
      <c r="H83" t="s">
        <v>65</v>
      </c>
    </row>
    <row r="84" spans="1:8" x14ac:dyDescent="0.35">
      <c r="A84" s="12">
        <v>150</v>
      </c>
      <c r="B84" s="13">
        <v>2.5</v>
      </c>
      <c r="C84" s="11">
        <v>161</v>
      </c>
      <c r="D84" s="13">
        <v>16</v>
      </c>
      <c r="E84" s="12">
        <v>260</v>
      </c>
      <c r="F84" s="12">
        <v>225</v>
      </c>
      <c r="G84" s="13">
        <v>8</v>
      </c>
      <c r="H84" t="s">
        <v>65</v>
      </c>
    </row>
    <row r="85" spans="1:8" x14ac:dyDescent="0.35">
      <c r="A85" s="12">
        <v>150</v>
      </c>
      <c r="B85" s="13">
        <v>2.5</v>
      </c>
      <c r="C85" s="11">
        <v>161</v>
      </c>
      <c r="D85" s="13">
        <v>16</v>
      </c>
      <c r="E85" s="12">
        <v>260</v>
      </c>
      <c r="F85" s="12">
        <v>225</v>
      </c>
      <c r="G85" s="13">
        <v>8</v>
      </c>
      <c r="H85" t="s">
        <v>65</v>
      </c>
    </row>
    <row r="86" spans="1:8" x14ac:dyDescent="0.35">
      <c r="A86" s="12">
        <v>150</v>
      </c>
      <c r="B86" s="13">
        <v>6</v>
      </c>
      <c r="C86" s="11">
        <v>154</v>
      </c>
      <c r="D86" s="13">
        <v>20</v>
      </c>
      <c r="E86" s="12">
        <v>260</v>
      </c>
      <c r="F86" s="12">
        <v>225</v>
      </c>
      <c r="G86" s="12">
        <v>8</v>
      </c>
      <c r="H86" t="s">
        <v>65</v>
      </c>
    </row>
    <row r="87" spans="1:8" x14ac:dyDescent="0.35">
      <c r="A87" s="12">
        <v>150</v>
      </c>
      <c r="B87" s="13">
        <v>6</v>
      </c>
      <c r="C87" s="11">
        <v>161</v>
      </c>
      <c r="D87" s="13">
        <v>20</v>
      </c>
      <c r="E87" s="12">
        <v>260</v>
      </c>
      <c r="F87" s="12">
        <v>225</v>
      </c>
      <c r="G87" s="12">
        <v>8</v>
      </c>
      <c r="H87" t="s">
        <v>65</v>
      </c>
    </row>
    <row r="88" spans="1:8" x14ac:dyDescent="0.35">
      <c r="A88" s="12">
        <v>150</v>
      </c>
      <c r="B88" s="13">
        <v>6</v>
      </c>
      <c r="C88" s="11">
        <v>161</v>
      </c>
      <c r="D88" s="13">
        <v>20</v>
      </c>
      <c r="E88" s="12">
        <v>260</v>
      </c>
      <c r="F88" s="12">
        <v>225</v>
      </c>
      <c r="G88" s="12">
        <v>8</v>
      </c>
      <c r="H88" t="s">
        <v>65</v>
      </c>
    </row>
    <row r="89" spans="1:8" x14ac:dyDescent="0.35">
      <c r="A89" s="12">
        <v>150</v>
      </c>
      <c r="B89" s="13">
        <v>10</v>
      </c>
      <c r="C89" s="11">
        <v>154</v>
      </c>
      <c r="D89" s="13">
        <v>24</v>
      </c>
      <c r="E89" s="13">
        <v>280</v>
      </c>
      <c r="F89" s="13">
        <v>240</v>
      </c>
      <c r="G89" s="12">
        <v>8</v>
      </c>
      <c r="H89" t="s">
        <v>78</v>
      </c>
    </row>
    <row r="90" spans="1:8" x14ac:dyDescent="0.35">
      <c r="A90" s="12">
        <v>150</v>
      </c>
      <c r="B90" s="13">
        <v>10</v>
      </c>
      <c r="C90" s="11">
        <v>161</v>
      </c>
      <c r="D90" s="13">
        <v>24</v>
      </c>
      <c r="E90" s="13">
        <v>280</v>
      </c>
      <c r="F90" s="13">
        <v>240</v>
      </c>
      <c r="G90" s="12">
        <v>8</v>
      </c>
      <c r="H90" t="s">
        <v>78</v>
      </c>
    </row>
    <row r="91" spans="1:8" x14ac:dyDescent="0.35">
      <c r="A91" s="12">
        <v>150</v>
      </c>
      <c r="B91" s="13">
        <v>10</v>
      </c>
      <c r="C91" s="11">
        <v>170</v>
      </c>
      <c r="D91" s="13">
        <v>24</v>
      </c>
      <c r="E91" s="13">
        <v>280</v>
      </c>
      <c r="F91" s="13">
        <v>240</v>
      </c>
      <c r="G91" s="12">
        <v>8</v>
      </c>
      <c r="H91" t="s">
        <v>78</v>
      </c>
    </row>
    <row r="92" spans="1:8" x14ac:dyDescent="0.35">
      <c r="A92" s="12">
        <v>150</v>
      </c>
      <c r="B92" s="13">
        <v>16</v>
      </c>
      <c r="C92" s="11">
        <v>154</v>
      </c>
      <c r="D92" s="13">
        <v>28</v>
      </c>
      <c r="E92" s="12">
        <v>280</v>
      </c>
      <c r="F92" s="12">
        <v>240</v>
      </c>
      <c r="G92" s="12">
        <v>8</v>
      </c>
      <c r="H92" t="s">
        <v>78</v>
      </c>
    </row>
    <row r="93" spans="1:8" x14ac:dyDescent="0.35">
      <c r="A93" s="12">
        <v>150</v>
      </c>
      <c r="B93" s="13">
        <v>16</v>
      </c>
      <c r="C93" s="11">
        <v>161</v>
      </c>
      <c r="D93" s="13">
        <v>28</v>
      </c>
      <c r="E93" s="12">
        <v>280</v>
      </c>
      <c r="F93" s="12">
        <v>240</v>
      </c>
      <c r="G93" s="12">
        <v>8</v>
      </c>
      <c r="H93" t="s">
        <v>78</v>
      </c>
    </row>
    <row r="94" spans="1:8" x14ac:dyDescent="0.35">
      <c r="A94" s="12">
        <v>150</v>
      </c>
      <c r="B94" s="13">
        <v>16</v>
      </c>
      <c r="C94" s="11">
        <v>170</v>
      </c>
      <c r="D94" s="13">
        <v>28</v>
      </c>
      <c r="E94" s="12">
        <v>280</v>
      </c>
      <c r="F94" s="12">
        <v>240</v>
      </c>
      <c r="G94" s="12">
        <v>8</v>
      </c>
      <c r="H94" t="s">
        <v>78</v>
      </c>
    </row>
    <row r="95" spans="1:8" x14ac:dyDescent="0.35">
      <c r="A95" s="12">
        <v>150</v>
      </c>
      <c r="B95" s="13">
        <v>25</v>
      </c>
      <c r="C95" s="11">
        <v>154</v>
      </c>
      <c r="D95" s="13">
        <v>30</v>
      </c>
      <c r="E95" s="13">
        <v>300</v>
      </c>
      <c r="F95" s="13">
        <v>250</v>
      </c>
      <c r="G95" s="12">
        <v>8</v>
      </c>
      <c r="H95" t="s">
        <v>90</v>
      </c>
    </row>
    <row r="96" spans="1:8" x14ac:dyDescent="0.35">
      <c r="A96" s="12">
        <v>150</v>
      </c>
      <c r="B96" s="13">
        <v>25</v>
      </c>
      <c r="C96" s="11">
        <v>161</v>
      </c>
      <c r="D96" s="13">
        <v>30</v>
      </c>
      <c r="E96" s="13">
        <v>300</v>
      </c>
      <c r="F96" s="13">
        <v>250</v>
      </c>
      <c r="G96" s="12">
        <v>8</v>
      </c>
      <c r="H96" t="s">
        <v>90</v>
      </c>
    </row>
    <row r="97" spans="1:8" x14ac:dyDescent="0.35">
      <c r="A97" s="12">
        <v>150</v>
      </c>
      <c r="B97" s="13">
        <v>25</v>
      </c>
      <c r="C97" s="11">
        <v>170</v>
      </c>
      <c r="D97" s="13">
        <v>30</v>
      </c>
      <c r="E97" s="13">
        <v>300</v>
      </c>
      <c r="F97" s="13">
        <v>250</v>
      </c>
      <c r="G97" s="12">
        <v>8</v>
      </c>
      <c r="H97" t="s">
        <v>90</v>
      </c>
    </row>
    <row r="98" spans="1:8" x14ac:dyDescent="0.35">
      <c r="A98" s="11">
        <v>200</v>
      </c>
      <c r="B98" s="11">
        <v>1</v>
      </c>
      <c r="C98" s="11">
        <v>222</v>
      </c>
      <c r="D98" s="11">
        <v>18</v>
      </c>
      <c r="E98" s="11">
        <v>315</v>
      </c>
      <c r="F98" s="11">
        <v>280</v>
      </c>
      <c r="G98" s="11">
        <v>8</v>
      </c>
      <c r="H98" t="s">
        <v>65</v>
      </c>
    </row>
    <row r="99" spans="1:8" ht="15" customHeight="1" x14ac:dyDescent="0.35">
      <c r="A99" s="12">
        <v>200</v>
      </c>
      <c r="B99" s="11">
        <v>2.5</v>
      </c>
      <c r="C99" s="12">
        <v>222</v>
      </c>
      <c r="D99" s="12">
        <v>18</v>
      </c>
      <c r="E99" s="12">
        <v>315</v>
      </c>
      <c r="F99" s="12">
        <v>280</v>
      </c>
      <c r="G99" s="13">
        <v>8</v>
      </c>
      <c r="H99" t="s">
        <v>65</v>
      </c>
    </row>
    <row r="100" spans="1:8" x14ac:dyDescent="0.35">
      <c r="A100" s="12">
        <v>200</v>
      </c>
      <c r="B100" s="11">
        <v>6</v>
      </c>
      <c r="C100" s="12">
        <v>222</v>
      </c>
      <c r="D100" s="11">
        <v>22</v>
      </c>
      <c r="E100" s="12">
        <v>315</v>
      </c>
      <c r="F100" s="12">
        <v>280</v>
      </c>
      <c r="G100" s="12">
        <v>8</v>
      </c>
      <c r="H100" t="s">
        <v>65</v>
      </c>
    </row>
    <row r="101" spans="1:8" ht="15" customHeight="1" x14ac:dyDescent="0.35">
      <c r="A101" s="12">
        <v>200</v>
      </c>
      <c r="B101" s="11">
        <v>10</v>
      </c>
      <c r="C101" s="12">
        <v>222</v>
      </c>
      <c r="D101" s="13">
        <v>24</v>
      </c>
      <c r="E101" s="11">
        <v>335</v>
      </c>
      <c r="F101" s="11">
        <v>295</v>
      </c>
      <c r="G101" s="12">
        <v>8</v>
      </c>
      <c r="H101" t="s">
        <v>78</v>
      </c>
    </row>
    <row r="102" spans="1:8" ht="15" customHeight="1" x14ac:dyDescent="0.35">
      <c r="A102" s="12">
        <v>200</v>
      </c>
      <c r="B102" s="11">
        <v>16</v>
      </c>
      <c r="C102" s="12">
        <v>222</v>
      </c>
      <c r="D102" s="11">
        <v>30</v>
      </c>
      <c r="E102" s="12">
        <v>335</v>
      </c>
      <c r="F102" s="12">
        <v>295</v>
      </c>
      <c r="G102" s="13">
        <v>12</v>
      </c>
      <c r="H102" t="s">
        <v>78</v>
      </c>
    </row>
    <row r="103" spans="1:8" ht="15" customHeight="1" x14ac:dyDescent="0.35">
      <c r="A103" s="12">
        <v>200</v>
      </c>
      <c r="B103" s="11">
        <v>25</v>
      </c>
      <c r="C103" s="12">
        <v>222</v>
      </c>
      <c r="D103" s="13">
        <v>32</v>
      </c>
      <c r="E103" s="13">
        <v>360</v>
      </c>
      <c r="F103" s="11">
        <v>310</v>
      </c>
      <c r="G103" s="12">
        <v>12</v>
      </c>
      <c r="H103" t="s">
        <v>90</v>
      </c>
    </row>
    <row r="104" spans="1:8" x14ac:dyDescent="0.35">
      <c r="A104" s="11">
        <v>250</v>
      </c>
      <c r="B104" s="11">
        <v>1</v>
      </c>
      <c r="C104" s="11">
        <v>273</v>
      </c>
      <c r="D104" s="11">
        <v>21</v>
      </c>
      <c r="E104" s="11">
        <v>370</v>
      </c>
      <c r="F104" s="11">
        <v>335</v>
      </c>
      <c r="G104" s="11">
        <v>12</v>
      </c>
      <c r="H104" t="s">
        <v>65</v>
      </c>
    </row>
    <row r="105" spans="1:8" ht="15" customHeight="1" x14ac:dyDescent="0.35">
      <c r="A105" s="12">
        <v>250</v>
      </c>
      <c r="B105" s="11">
        <v>2.5</v>
      </c>
      <c r="C105" s="12">
        <v>273</v>
      </c>
      <c r="D105" s="12">
        <v>21</v>
      </c>
      <c r="E105" s="12">
        <v>370</v>
      </c>
      <c r="F105" s="12">
        <v>335</v>
      </c>
      <c r="G105" s="13">
        <v>12</v>
      </c>
      <c r="H105" t="s">
        <v>65</v>
      </c>
    </row>
    <row r="106" spans="1:8" x14ac:dyDescent="0.35">
      <c r="A106" s="12">
        <v>250</v>
      </c>
      <c r="B106" s="11">
        <v>6</v>
      </c>
      <c r="C106" s="12">
        <v>273</v>
      </c>
      <c r="D106" s="11">
        <v>23</v>
      </c>
      <c r="E106" s="12">
        <v>370</v>
      </c>
      <c r="F106" s="12">
        <v>335</v>
      </c>
      <c r="G106" s="12">
        <v>12</v>
      </c>
      <c r="H106" t="s">
        <v>65</v>
      </c>
    </row>
    <row r="107" spans="1:8" ht="15" customHeight="1" x14ac:dyDescent="0.35">
      <c r="A107" s="12">
        <v>250</v>
      </c>
      <c r="B107" s="11">
        <v>10</v>
      </c>
      <c r="C107" s="12">
        <v>273</v>
      </c>
      <c r="D107" s="13">
        <v>26</v>
      </c>
      <c r="E107" s="13">
        <v>390</v>
      </c>
      <c r="F107" s="11">
        <v>350</v>
      </c>
      <c r="G107" s="12">
        <v>12</v>
      </c>
      <c r="H107" t="s">
        <v>78</v>
      </c>
    </row>
    <row r="108" spans="1:8" ht="15" customHeight="1" x14ac:dyDescent="0.35">
      <c r="A108" s="12">
        <v>250</v>
      </c>
      <c r="B108" s="11">
        <v>16</v>
      </c>
      <c r="C108" s="12">
        <v>273</v>
      </c>
      <c r="D108" s="11">
        <v>31</v>
      </c>
      <c r="E108" s="13">
        <v>405</v>
      </c>
      <c r="F108" s="11">
        <v>355</v>
      </c>
      <c r="G108" s="12">
        <v>12</v>
      </c>
      <c r="H108" t="s">
        <v>90</v>
      </c>
    </row>
    <row r="109" spans="1:8" ht="15" customHeight="1" x14ac:dyDescent="0.35">
      <c r="A109" s="12">
        <v>250</v>
      </c>
      <c r="B109" s="11">
        <v>25</v>
      </c>
      <c r="C109" s="12">
        <v>273</v>
      </c>
      <c r="D109" s="11">
        <v>34</v>
      </c>
      <c r="E109" s="13">
        <v>425</v>
      </c>
      <c r="F109" s="11">
        <v>370</v>
      </c>
      <c r="G109" s="12">
        <v>12</v>
      </c>
      <c r="H109" t="s">
        <v>99</v>
      </c>
    </row>
    <row r="110" spans="1:8" x14ac:dyDescent="0.35">
      <c r="A110" s="11">
        <v>300</v>
      </c>
      <c r="B110" s="11">
        <v>1</v>
      </c>
      <c r="C110" s="11">
        <v>325</v>
      </c>
      <c r="D110" s="11">
        <v>22</v>
      </c>
      <c r="E110" s="11">
        <v>435</v>
      </c>
      <c r="F110" s="11">
        <v>395</v>
      </c>
      <c r="G110" s="11">
        <v>12</v>
      </c>
      <c r="H110" t="s">
        <v>78</v>
      </c>
    </row>
    <row r="111" spans="1:8" ht="15" customHeight="1" x14ac:dyDescent="0.35">
      <c r="A111" s="12">
        <v>300</v>
      </c>
      <c r="B111" s="11">
        <v>2.5</v>
      </c>
      <c r="C111" s="12">
        <v>325</v>
      </c>
      <c r="D111" s="12">
        <v>22</v>
      </c>
      <c r="E111" s="12">
        <v>435</v>
      </c>
      <c r="F111" s="12">
        <v>395</v>
      </c>
      <c r="G111" s="13">
        <v>12</v>
      </c>
      <c r="H111" t="s">
        <v>78</v>
      </c>
    </row>
    <row r="112" spans="1:8" x14ac:dyDescent="0.35">
      <c r="A112" s="12">
        <v>300</v>
      </c>
      <c r="B112" s="11">
        <v>6</v>
      </c>
      <c r="C112" s="12">
        <v>325</v>
      </c>
      <c r="D112" s="11">
        <v>24</v>
      </c>
      <c r="E112" s="12">
        <v>435</v>
      </c>
      <c r="F112" s="12">
        <v>395</v>
      </c>
      <c r="G112" s="12">
        <v>12</v>
      </c>
      <c r="H112" t="s">
        <v>78</v>
      </c>
    </row>
    <row r="113" spans="1:8" x14ac:dyDescent="0.35">
      <c r="A113" s="12">
        <v>300</v>
      </c>
      <c r="B113" s="11">
        <v>10</v>
      </c>
      <c r="C113" s="12">
        <v>325</v>
      </c>
      <c r="D113" s="11">
        <v>28</v>
      </c>
      <c r="E113" s="11">
        <v>440</v>
      </c>
      <c r="F113" s="11">
        <v>400</v>
      </c>
      <c r="G113" s="12">
        <v>12</v>
      </c>
      <c r="H113" t="s">
        <v>78</v>
      </c>
    </row>
    <row r="114" spans="1:8" ht="15" customHeight="1" x14ac:dyDescent="0.35">
      <c r="A114" s="12">
        <v>300</v>
      </c>
      <c r="B114" s="11">
        <v>16</v>
      </c>
      <c r="C114" s="12">
        <v>325</v>
      </c>
      <c r="D114" s="11">
        <v>32</v>
      </c>
      <c r="E114" s="13">
        <v>460</v>
      </c>
      <c r="F114" s="11">
        <v>410</v>
      </c>
      <c r="G114" s="12">
        <v>12</v>
      </c>
      <c r="H114" t="s">
        <v>90</v>
      </c>
    </row>
    <row r="115" spans="1:8" ht="15" customHeight="1" x14ac:dyDescent="0.35">
      <c r="A115" s="12">
        <v>300</v>
      </c>
      <c r="B115" s="11">
        <v>25</v>
      </c>
      <c r="C115" s="12">
        <v>325</v>
      </c>
      <c r="D115" s="11">
        <v>36</v>
      </c>
      <c r="E115" s="13">
        <v>485</v>
      </c>
      <c r="F115" s="11">
        <v>430</v>
      </c>
      <c r="G115" s="13">
        <v>16</v>
      </c>
      <c r="H115" t="s">
        <v>99</v>
      </c>
    </row>
    <row r="116" spans="1:8" x14ac:dyDescent="0.35">
      <c r="A116" s="11">
        <v>350</v>
      </c>
      <c r="B116" s="11">
        <v>1</v>
      </c>
      <c r="C116" s="11">
        <v>377</v>
      </c>
      <c r="D116" s="11">
        <v>22</v>
      </c>
      <c r="E116" s="11">
        <v>485</v>
      </c>
      <c r="F116" s="11">
        <v>445</v>
      </c>
      <c r="G116" s="11">
        <v>12</v>
      </c>
      <c r="H116" t="s">
        <v>78</v>
      </c>
    </row>
    <row r="117" spans="1:8" ht="15" customHeight="1" x14ac:dyDescent="0.35">
      <c r="A117" s="12">
        <v>350</v>
      </c>
      <c r="B117" s="11">
        <v>2.5</v>
      </c>
      <c r="C117" s="12">
        <v>377</v>
      </c>
      <c r="D117" s="12">
        <v>22</v>
      </c>
      <c r="E117" s="12">
        <v>485</v>
      </c>
      <c r="F117" s="12">
        <v>445</v>
      </c>
      <c r="G117" s="13">
        <v>12</v>
      </c>
      <c r="H117" t="s">
        <v>78</v>
      </c>
    </row>
    <row r="118" spans="1:8" x14ac:dyDescent="0.35">
      <c r="A118" s="12">
        <v>350</v>
      </c>
      <c r="B118" s="11">
        <v>6</v>
      </c>
      <c r="C118" s="12">
        <v>377</v>
      </c>
      <c r="D118" s="11">
        <v>26</v>
      </c>
      <c r="E118" s="12">
        <v>485</v>
      </c>
      <c r="F118" s="12">
        <v>445</v>
      </c>
      <c r="G118" s="12">
        <v>12</v>
      </c>
      <c r="H118" t="s">
        <v>78</v>
      </c>
    </row>
    <row r="119" spans="1:8" ht="15" customHeight="1" x14ac:dyDescent="0.35">
      <c r="A119" s="12">
        <v>350</v>
      </c>
      <c r="B119" s="11">
        <v>10</v>
      </c>
      <c r="C119" s="12">
        <v>377</v>
      </c>
      <c r="D119" s="11">
        <v>28</v>
      </c>
      <c r="E119" s="11">
        <v>500</v>
      </c>
      <c r="F119" s="11">
        <v>460</v>
      </c>
      <c r="G119" s="13">
        <v>16</v>
      </c>
      <c r="H119" t="s">
        <v>78</v>
      </c>
    </row>
    <row r="120" spans="1:8" ht="15" customHeight="1" x14ac:dyDescent="0.35">
      <c r="A120" s="12">
        <v>350</v>
      </c>
      <c r="B120" s="11">
        <v>16</v>
      </c>
      <c r="C120" s="12">
        <v>377</v>
      </c>
      <c r="D120" s="11">
        <v>34</v>
      </c>
      <c r="E120" s="13">
        <v>520</v>
      </c>
      <c r="F120" s="11">
        <v>470</v>
      </c>
      <c r="G120" s="12">
        <v>16</v>
      </c>
      <c r="H120" t="s">
        <v>90</v>
      </c>
    </row>
    <row r="121" spans="1:8" ht="15" customHeight="1" x14ac:dyDescent="0.35">
      <c r="A121" s="12">
        <v>350</v>
      </c>
      <c r="B121" s="11">
        <v>25</v>
      </c>
      <c r="C121" s="12">
        <v>377</v>
      </c>
      <c r="D121" s="13">
        <v>42</v>
      </c>
      <c r="E121" s="11">
        <v>550</v>
      </c>
      <c r="F121" s="11">
        <v>490</v>
      </c>
      <c r="G121" s="12">
        <v>16</v>
      </c>
      <c r="H121" t="s">
        <v>108</v>
      </c>
    </row>
    <row r="122" spans="1:8" x14ac:dyDescent="0.35">
      <c r="A122" s="11">
        <v>400</v>
      </c>
      <c r="B122" s="11">
        <v>1</v>
      </c>
      <c r="C122" s="11">
        <v>426</v>
      </c>
      <c r="D122" s="11">
        <v>22</v>
      </c>
      <c r="E122" s="11">
        <v>535</v>
      </c>
      <c r="F122" s="11">
        <v>495</v>
      </c>
      <c r="G122" s="11">
        <v>16</v>
      </c>
      <c r="H122" t="s">
        <v>78</v>
      </c>
    </row>
    <row r="123" spans="1:8" ht="15" customHeight="1" x14ac:dyDescent="0.35">
      <c r="A123" s="12">
        <v>400</v>
      </c>
      <c r="B123" s="11">
        <v>2.5</v>
      </c>
      <c r="C123" s="12">
        <v>426</v>
      </c>
      <c r="D123" s="12">
        <v>22</v>
      </c>
      <c r="E123" s="12">
        <v>535</v>
      </c>
      <c r="F123" s="12">
        <v>495</v>
      </c>
      <c r="G123" s="13">
        <v>16</v>
      </c>
      <c r="H123" t="s">
        <v>78</v>
      </c>
    </row>
    <row r="124" spans="1:8" x14ac:dyDescent="0.35">
      <c r="A124" s="12">
        <v>400</v>
      </c>
      <c r="B124" s="11">
        <v>6</v>
      </c>
      <c r="C124" s="12">
        <v>426</v>
      </c>
      <c r="D124" s="11">
        <v>28</v>
      </c>
      <c r="E124" s="12">
        <v>535</v>
      </c>
      <c r="F124" s="12">
        <v>495</v>
      </c>
      <c r="G124" s="12">
        <v>16</v>
      </c>
      <c r="H124" t="s">
        <v>78</v>
      </c>
    </row>
    <row r="125" spans="1:8" ht="15" customHeight="1" x14ac:dyDescent="0.35">
      <c r="A125" s="12">
        <v>400</v>
      </c>
      <c r="B125" s="11">
        <v>10</v>
      </c>
      <c r="C125" s="12">
        <v>426</v>
      </c>
      <c r="D125" s="11">
        <v>30</v>
      </c>
      <c r="E125" s="13">
        <v>565</v>
      </c>
      <c r="F125" s="11">
        <v>515</v>
      </c>
      <c r="G125" s="12">
        <v>16</v>
      </c>
      <c r="H125" t="s">
        <v>90</v>
      </c>
    </row>
    <row r="126" spans="1:8" ht="15" customHeight="1" x14ac:dyDescent="0.35">
      <c r="A126" s="12">
        <v>400</v>
      </c>
      <c r="B126" s="11">
        <v>16</v>
      </c>
      <c r="C126" s="12">
        <v>426</v>
      </c>
      <c r="D126" s="13">
        <v>38</v>
      </c>
      <c r="E126" s="13">
        <v>580</v>
      </c>
      <c r="F126" s="11">
        <v>525</v>
      </c>
      <c r="G126" s="12">
        <v>16</v>
      </c>
      <c r="H126" t="s">
        <v>99</v>
      </c>
    </row>
    <row r="127" spans="1:8" x14ac:dyDescent="0.35">
      <c r="A127" s="12">
        <v>400</v>
      </c>
      <c r="B127" s="11">
        <v>25</v>
      </c>
      <c r="C127" s="12">
        <v>426</v>
      </c>
      <c r="D127" s="11">
        <v>44</v>
      </c>
      <c r="E127" s="11">
        <v>610</v>
      </c>
      <c r="F127" s="11">
        <v>550</v>
      </c>
      <c r="G127" s="12">
        <v>16</v>
      </c>
      <c r="H127" t="s">
        <v>108</v>
      </c>
    </row>
    <row r="128" spans="1:8" x14ac:dyDescent="0.35">
      <c r="A128" s="11">
        <v>450</v>
      </c>
      <c r="B128" s="11">
        <v>1</v>
      </c>
      <c r="C128" s="11">
        <v>480</v>
      </c>
      <c r="D128" s="11">
        <v>24</v>
      </c>
      <c r="E128" s="11">
        <v>590</v>
      </c>
      <c r="F128" s="11">
        <v>550</v>
      </c>
      <c r="G128" s="11">
        <v>16</v>
      </c>
      <c r="H128" t="s">
        <v>78</v>
      </c>
    </row>
    <row r="129" spans="1:8" ht="15" customHeight="1" x14ac:dyDescent="0.35">
      <c r="A129" s="12">
        <v>450</v>
      </c>
      <c r="B129" s="11">
        <v>2.5</v>
      </c>
      <c r="C129" s="12">
        <v>480</v>
      </c>
      <c r="D129" s="12">
        <v>24</v>
      </c>
      <c r="E129" s="12">
        <v>590</v>
      </c>
      <c r="F129" s="12">
        <v>550</v>
      </c>
      <c r="G129" s="13">
        <v>16</v>
      </c>
      <c r="H129" t="s">
        <v>78</v>
      </c>
    </row>
    <row r="130" spans="1:8" x14ac:dyDescent="0.35">
      <c r="A130" s="12">
        <v>450</v>
      </c>
      <c r="B130" s="11">
        <v>6</v>
      </c>
      <c r="C130" s="12">
        <v>480</v>
      </c>
      <c r="D130" s="11">
        <v>28</v>
      </c>
      <c r="E130" s="12">
        <v>590</v>
      </c>
      <c r="F130" s="12">
        <v>550</v>
      </c>
      <c r="G130" s="12">
        <v>16</v>
      </c>
      <c r="H130" t="s">
        <v>78</v>
      </c>
    </row>
    <row r="131" spans="1:8" ht="15" customHeight="1" x14ac:dyDescent="0.35">
      <c r="A131" s="12">
        <v>450</v>
      </c>
      <c r="B131" s="11">
        <v>10</v>
      </c>
      <c r="C131" s="12">
        <v>480</v>
      </c>
      <c r="D131" s="11">
        <v>30</v>
      </c>
      <c r="E131" s="13">
        <v>615</v>
      </c>
      <c r="F131" s="11">
        <v>565</v>
      </c>
      <c r="G131" s="13">
        <v>20</v>
      </c>
      <c r="H131" t="s">
        <v>90</v>
      </c>
    </row>
    <row r="132" spans="1:8" ht="15" customHeight="1" x14ac:dyDescent="0.35">
      <c r="A132" s="12">
        <v>450</v>
      </c>
      <c r="B132" s="11">
        <v>16</v>
      </c>
      <c r="C132" s="12">
        <v>480</v>
      </c>
      <c r="D132" s="13">
        <v>42</v>
      </c>
      <c r="E132" s="13">
        <v>640</v>
      </c>
      <c r="F132" s="11">
        <v>585</v>
      </c>
      <c r="G132" s="12">
        <v>20</v>
      </c>
      <c r="H132" t="s">
        <v>99</v>
      </c>
    </row>
    <row r="133" spans="1:8" x14ac:dyDescent="0.35">
      <c r="A133" s="12">
        <v>450</v>
      </c>
      <c r="B133" s="11">
        <v>25</v>
      </c>
      <c r="C133" s="12">
        <v>480</v>
      </c>
      <c r="D133" s="11">
        <v>48</v>
      </c>
      <c r="E133" s="11">
        <v>660</v>
      </c>
      <c r="F133" s="11">
        <v>600</v>
      </c>
      <c r="G133" s="12">
        <v>20</v>
      </c>
      <c r="H133" t="s">
        <v>108</v>
      </c>
    </row>
    <row r="134" spans="1:8" x14ac:dyDescent="0.35">
      <c r="A134" s="11">
        <v>500</v>
      </c>
      <c r="B134" s="11">
        <v>1</v>
      </c>
      <c r="C134" s="11">
        <v>530</v>
      </c>
      <c r="D134" s="11">
        <v>24</v>
      </c>
      <c r="E134" s="11">
        <v>640</v>
      </c>
      <c r="F134" s="11">
        <v>600</v>
      </c>
      <c r="G134" s="11">
        <v>16</v>
      </c>
      <c r="H134" t="s">
        <v>78</v>
      </c>
    </row>
    <row r="135" spans="1:8" ht="15" customHeight="1" x14ac:dyDescent="0.35">
      <c r="A135" s="12">
        <v>500</v>
      </c>
      <c r="B135" s="11">
        <v>2.5</v>
      </c>
      <c r="C135" s="12">
        <v>530</v>
      </c>
      <c r="D135" s="12">
        <v>24</v>
      </c>
      <c r="E135" s="12">
        <v>640</v>
      </c>
      <c r="F135" s="12">
        <v>600</v>
      </c>
      <c r="G135" s="12">
        <v>16</v>
      </c>
      <c r="H135" t="s">
        <v>78</v>
      </c>
    </row>
    <row r="136" spans="1:8" x14ac:dyDescent="0.35">
      <c r="A136" s="12">
        <v>500</v>
      </c>
      <c r="B136" s="11">
        <v>6</v>
      </c>
      <c r="C136" s="12">
        <v>530</v>
      </c>
      <c r="D136" s="11">
        <v>29</v>
      </c>
      <c r="E136" s="12">
        <v>640</v>
      </c>
      <c r="F136" s="12">
        <v>600</v>
      </c>
      <c r="G136" s="12">
        <v>16</v>
      </c>
      <c r="H136" t="s">
        <v>78</v>
      </c>
    </row>
    <row r="137" spans="1:8" ht="15" customHeight="1" x14ac:dyDescent="0.35">
      <c r="A137" s="12">
        <v>500</v>
      </c>
      <c r="B137" s="11">
        <v>10</v>
      </c>
      <c r="C137" s="12">
        <v>530</v>
      </c>
      <c r="D137" s="11">
        <v>32</v>
      </c>
      <c r="E137" s="13">
        <v>670</v>
      </c>
      <c r="F137" s="11">
        <v>620</v>
      </c>
      <c r="G137" s="13">
        <v>20</v>
      </c>
      <c r="H137" t="s">
        <v>90</v>
      </c>
    </row>
    <row r="138" spans="1:8" ht="15" customHeight="1" x14ac:dyDescent="0.35">
      <c r="A138" s="12">
        <v>500</v>
      </c>
      <c r="B138" s="11">
        <v>16</v>
      </c>
      <c r="C138" s="12">
        <v>530</v>
      </c>
      <c r="D138" s="11">
        <v>48</v>
      </c>
      <c r="E138" s="11">
        <v>710</v>
      </c>
      <c r="F138" s="11">
        <v>650</v>
      </c>
      <c r="G138" s="12">
        <v>20</v>
      </c>
      <c r="H138" t="s">
        <v>108</v>
      </c>
    </row>
    <row r="139" spans="1:8" ht="15" customHeight="1" x14ac:dyDescent="0.35">
      <c r="A139" s="12">
        <v>500</v>
      </c>
      <c r="B139" s="11">
        <v>25</v>
      </c>
      <c r="C139" s="12">
        <v>530</v>
      </c>
      <c r="D139" s="11">
        <v>52</v>
      </c>
      <c r="E139" s="13">
        <v>730</v>
      </c>
      <c r="F139" s="11">
        <v>660</v>
      </c>
      <c r="G139" s="12">
        <v>20</v>
      </c>
      <c r="H139" t="s">
        <v>126</v>
      </c>
    </row>
    <row r="140" spans="1:8" x14ac:dyDescent="0.35">
      <c r="A140" s="11">
        <v>600</v>
      </c>
      <c r="B140" s="11">
        <v>1</v>
      </c>
      <c r="C140" s="11">
        <v>630</v>
      </c>
      <c r="D140" s="11">
        <v>25</v>
      </c>
      <c r="E140" s="11">
        <v>755</v>
      </c>
      <c r="F140" s="11">
        <v>705</v>
      </c>
      <c r="G140" s="11">
        <v>20</v>
      </c>
      <c r="H140" t="s">
        <v>90</v>
      </c>
    </row>
    <row r="141" spans="1:8" ht="15" customHeight="1" x14ac:dyDescent="0.35">
      <c r="A141" s="12">
        <v>600</v>
      </c>
      <c r="B141" s="11">
        <v>2.5</v>
      </c>
      <c r="C141" s="12">
        <v>630</v>
      </c>
      <c r="D141" s="12">
        <v>25</v>
      </c>
      <c r="E141" s="13">
        <v>755</v>
      </c>
      <c r="F141" s="12">
        <v>705</v>
      </c>
      <c r="G141" s="13">
        <v>20</v>
      </c>
      <c r="H141" t="s">
        <v>90</v>
      </c>
    </row>
    <row r="142" spans="1:8" x14ac:dyDescent="0.35">
      <c r="A142" s="12">
        <v>600</v>
      </c>
      <c r="B142" s="11">
        <v>6</v>
      </c>
      <c r="C142" s="12">
        <v>630</v>
      </c>
      <c r="D142" s="11">
        <v>30</v>
      </c>
      <c r="E142" s="12">
        <v>755</v>
      </c>
      <c r="F142" s="12">
        <v>705</v>
      </c>
      <c r="G142" s="12">
        <v>20</v>
      </c>
      <c r="H142" t="s">
        <v>90</v>
      </c>
    </row>
    <row r="143" spans="1:8" ht="15" customHeight="1" x14ac:dyDescent="0.35">
      <c r="A143" s="12">
        <v>600</v>
      </c>
      <c r="B143" s="11">
        <v>10</v>
      </c>
      <c r="C143" s="12">
        <v>630</v>
      </c>
      <c r="D143" s="11">
        <v>36</v>
      </c>
      <c r="E143" s="13">
        <v>780</v>
      </c>
      <c r="F143" s="11">
        <v>725</v>
      </c>
      <c r="G143" s="12">
        <v>20</v>
      </c>
      <c r="H143" t="s">
        <v>99</v>
      </c>
    </row>
    <row r="144" spans="1:8" ht="15" customHeight="1" x14ac:dyDescent="0.35">
      <c r="A144" s="12">
        <v>600</v>
      </c>
      <c r="B144" s="11">
        <v>16</v>
      </c>
      <c r="C144" s="12">
        <v>630</v>
      </c>
      <c r="D144" s="11">
        <v>50</v>
      </c>
      <c r="E144" s="13">
        <v>840</v>
      </c>
      <c r="F144" s="11">
        <v>770</v>
      </c>
      <c r="G144" s="12">
        <v>20</v>
      </c>
      <c r="H144" t="s">
        <v>126</v>
      </c>
    </row>
    <row r="145" spans="1:8" ht="15" customHeight="1" x14ac:dyDescent="0.35">
      <c r="A145" s="12">
        <v>600</v>
      </c>
      <c r="B145" s="11">
        <v>25</v>
      </c>
      <c r="C145" s="12">
        <v>630</v>
      </c>
      <c r="D145" s="11">
        <v>54</v>
      </c>
      <c r="E145" s="11">
        <v>840</v>
      </c>
      <c r="F145" s="12">
        <v>770</v>
      </c>
      <c r="G145" s="12">
        <v>20</v>
      </c>
      <c r="H145" t="s">
        <v>126</v>
      </c>
    </row>
    <row r="146" spans="1:8" x14ac:dyDescent="0.35">
      <c r="A146" s="11">
        <v>700</v>
      </c>
      <c r="B146" s="11">
        <v>1</v>
      </c>
      <c r="C146" s="11">
        <v>720</v>
      </c>
      <c r="D146" s="11">
        <v>26</v>
      </c>
      <c r="E146" s="11">
        <v>860</v>
      </c>
      <c r="F146" s="11">
        <v>810</v>
      </c>
      <c r="G146" s="11">
        <v>24</v>
      </c>
      <c r="H146" t="s">
        <v>90</v>
      </c>
    </row>
    <row r="147" spans="1:8" ht="15" customHeight="1" x14ac:dyDescent="0.35">
      <c r="A147" s="12">
        <v>700</v>
      </c>
      <c r="B147" s="11">
        <v>2.5</v>
      </c>
      <c r="C147" s="12">
        <v>720</v>
      </c>
      <c r="D147" s="12">
        <v>26</v>
      </c>
      <c r="E147" s="13">
        <v>860</v>
      </c>
      <c r="F147" s="12">
        <v>810</v>
      </c>
      <c r="G147" s="13">
        <v>24</v>
      </c>
      <c r="H147" t="s">
        <v>90</v>
      </c>
    </row>
    <row r="148" spans="1:8" x14ac:dyDescent="0.35">
      <c r="A148" s="12">
        <v>700</v>
      </c>
      <c r="B148" s="11">
        <v>6</v>
      </c>
      <c r="C148" s="12">
        <v>720</v>
      </c>
      <c r="D148" s="11">
        <v>32</v>
      </c>
      <c r="E148" s="12">
        <v>860</v>
      </c>
      <c r="F148" s="12">
        <v>810</v>
      </c>
      <c r="G148" s="12">
        <v>24</v>
      </c>
      <c r="H148" t="s">
        <v>90</v>
      </c>
    </row>
    <row r="149" spans="1:8" ht="15" customHeight="1" x14ac:dyDescent="0.35">
      <c r="A149" s="12">
        <v>700</v>
      </c>
      <c r="B149" s="11">
        <v>10</v>
      </c>
      <c r="C149" s="12">
        <v>720</v>
      </c>
      <c r="D149" s="11">
        <v>39</v>
      </c>
      <c r="E149" s="13">
        <v>895</v>
      </c>
      <c r="F149" s="11">
        <v>840</v>
      </c>
      <c r="G149" s="12">
        <v>24</v>
      </c>
      <c r="H149" t="s">
        <v>99</v>
      </c>
    </row>
    <row r="150" spans="1:8" ht="15" customHeight="1" x14ac:dyDescent="0.35">
      <c r="A150" s="12">
        <v>700</v>
      </c>
      <c r="B150" s="11">
        <v>16</v>
      </c>
      <c r="C150" s="12">
        <v>720</v>
      </c>
      <c r="D150" s="11">
        <v>52</v>
      </c>
      <c r="E150" s="13">
        <v>910</v>
      </c>
      <c r="F150" s="12">
        <v>840</v>
      </c>
      <c r="G150" s="12">
        <v>24</v>
      </c>
      <c r="H150" t="s">
        <v>126</v>
      </c>
    </row>
    <row r="151" spans="1:8" ht="15" customHeight="1" x14ac:dyDescent="0.35">
      <c r="A151" s="12">
        <v>700</v>
      </c>
      <c r="B151" s="11">
        <v>25</v>
      </c>
      <c r="C151" s="12">
        <v>720</v>
      </c>
      <c r="D151" s="11">
        <v>60</v>
      </c>
      <c r="E151" s="13">
        <v>960</v>
      </c>
      <c r="F151" s="11">
        <v>875</v>
      </c>
      <c r="G151" s="12">
        <v>24</v>
      </c>
      <c r="H151" t="s">
        <v>144</v>
      </c>
    </row>
    <row r="152" spans="1:8" x14ac:dyDescent="0.35">
      <c r="A152" s="11">
        <v>800</v>
      </c>
      <c r="B152" s="11">
        <v>1</v>
      </c>
      <c r="C152" s="11">
        <v>820</v>
      </c>
      <c r="D152" s="11">
        <v>26</v>
      </c>
      <c r="E152" s="11">
        <v>975</v>
      </c>
      <c r="F152" s="11">
        <v>920</v>
      </c>
      <c r="G152" s="11">
        <v>24</v>
      </c>
      <c r="H152" t="s">
        <v>99</v>
      </c>
    </row>
    <row r="153" spans="1:8" ht="15" customHeight="1" x14ac:dyDescent="0.35">
      <c r="A153" s="12">
        <v>800</v>
      </c>
      <c r="B153" s="11">
        <v>2.5</v>
      </c>
      <c r="C153" s="12">
        <v>820</v>
      </c>
      <c r="D153" s="12">
        <v>26</v>
      </c>
      <c r="E153" s="13">
        <v>975</v>
      </c>
      <c r="F153" s="12">
        <v>920</v>
      </c>
      <c r="G153" s="13">
        <v>24</v>
      </c>
      <c r="H153" t="s">
        <v>99</v>
      </c>
    </row>
    <row r="154" spans="1:8" x14ac:dyDescent="0.35">
      <c r="A154" s="12">
        <v>800</v>
      </c>
      <c r="B154" s="11">
        <v>6</v>
      </c>
      <c r="C154" s="12">
        <v>820</v>
      </c>
      <c r="D154" s="11">
        <v>32</v>
      </c>
      <c r="E154" s="12">
        <v>975</v>
      </c>
      <c r="F154" s="12">
        <v>920</v>
      </c>
      <c r="G154" s="12">
        <v>24</v>
      </c>
      <c r="H154" t="s">
        <v>99</v>
      </c>
    </row>
    <row r="155" spans="1:8" ht="15" customHeight="1" x14ac:dyDescent="0.35">
      <c r="A155" s="12">
        <v>800</v>
      </c>
      <c r="B155" s="11">
        <v>10</v>
      </c>
      <c r="C155" s="12">
        <v>820</v>
      </c>
      <c r="D155" s="11">
        <v>42</v>
      </c>
      <c r="E155" s="11">
        <v>1010</v>
      </c>
      <c r="F155" s="11">
        <v>950</v>
      </c>
      <c r="G155" s="12">
        <v>24</v>
      </c>
      <c r="H155" t="s">
        <v>108</v>
      </c>
    </row>
    <row r="156" spans="1:8" ht="15" customHeight="1" x14ac:dyDescent="0.35">
      <c r="A156" s="12">
        <v>800</v>
      </c>
      <c r="B156" s="11">
        <v>16</v>
      </c>
      <c r="C156" s="12">
        <v>820</v>
      </c>
      <c r="D156" s="11">
        <v>54</v>
      </c>
      <c r="E156" s="11">
        <v>1020</v>
      </c>
      <c r="F156" s="12">
        <v>950</v>
      </c>
      <c r="G156" s="12">
        <v>24</v>
      </c>
      <c r="H156" t="s">
        <v>126</v>
      </c>
    </row>
    <row r="157" spans="1:8" x14ac:dyDescent="0.35">
      <c r="A157" s="12">
        <v>800</v>
      </c>
      <c r="B157" s="11">
        <v>25</v>
      </c>
      <c r="C157" s="12">
        <v>820</v>
      </c>
      <c r="D157" s="11">
        <v>68</v>
      </c>
      <c r="E157" s="11">
        <v>1075</v>
      </c>
      <c r="F157" s="11">
        <v>990</v>
      </c>
      <c r="G157" s="12">
        <v>24</v>
      </c>
      <c r="H157" t="s">
        <v>144</v>
      </c>
    </row>
    <row r="158" spans="1:8" x14ac:dyDescent="0.35">
      <c r="A158" s="11">
        <v>900</v>
      </c>
      <c r="B158" s="11">
        <v>1</v>
      </c>
      <c r="C158" s="11">
        <v>920</v>
      </c>
      <c r="D158" s="11">
        <v>28</v>
      </c>
      <c r="E158" s="11">
        <v>1075</v>
      </c>
      <c r="F158" s="11">
        <v>1020</v>
      </c>
      <c r="G158" s="11">
        <v>24</v>
      </c>
      <c r="H158" t="s">
        <v>99</v>
      </c>
    </row>
    <row r="159" spans="1:8" ht="15" customHeight="1" x14ac:dyDescent="0.35">
      <c r="A159" s="12">
        <v>900</v>
      </c>
      <c r="B159" s="11">
        <v>2.5</v>
      </c>
      <c r="C159" s="12">
        <v>920</v>
      </c>
      <c r="D159" s="12">
        <v>28</v>
      </c>
      <c r="E159" s="13">
        <v>1075</v>
      </c>
      <c r="F159" s="12">
        <v>1020</v>
      </c>
      <c r="G159" s="13">
        <v>24</v>
      </c>
      <c r="H159" t="s">
        <v>99</v>
      </c>
    </row>
    <row r="160" spans="1:8" x14ac:dyDescent="0.35">
      <c r="A160" s="12">
        <v>900</v>
      </c>
      <c r="B160" s="11">
        <v>6</v>
      </c>
      <c r="C160" s="12">
        <v>920</v>
      </c>
      <c r="D160" s="11">
        <v>34</v>
      </c>
      <c r="E160" s="12">
        <v>1075</v>
      </c>
      <c r="F160" s="12">
        <v>1020</v>
      </c>
      <c r="G160" s="12">
        <v>24</v>
      </c>
      <c r="H160" t="s">
        <v>99</v>
      </c>
    </row>
    <row r="161" spans="1:8" ht="15" customHeight="1" x14ac:dyDescent="0.35">
      <c r="A161" s="12">
        <v>900</v>
      </c>
      <c r="B161" s="11">
        <v>10</v>
      </c>
      <c r="C161" s="12">
        <v>920</v>
      </c>
      <c r="D161" s="11">
        <v>45</v>
      </c>
      <c r="E161" s="11">
        <v>1110</v>
      </c>
      <c r="F161" s="11">
        <v>1050</v>
      </c>
      <c r="G161" s="13">
        <v>28</v>
      </c>
      <c r="H161" t="s">
        <v>108</v>
      </c>
    </row>
    <row r="162" spans="1:8" ht="15" customHeight="1" x14ac:dyDescent="0.35">
      <c r="A162" s="12">
        <v>900</v>
      </c>
      <c r="B162" s="11">
        <v>16</v>
      </c>
      <c r="C162" s="12">
        <v>920</v>
      </c>
      <c r="D162" s="11">
        <v>59</v>
      </c>
      <c r="E162" s="11">
        <v>1120</v>
      </c>
      <c r="F162" s="12">
        <v>1050</v>
      </c>
      <c r="G162" s="12">
        <v>28</v>
      </c>
      <c r="H162" t="s">
        <v>126</v>
      </c>
    </row>
    <row r="163" spans="1:8" x14ac:dyDescent="0.35">
      <c r="A163" s="11">
        <v>1000</v>
      </c>
      <c r="B163" s="11">
        <v>1</v>
      </c>
      <c r="C163" s="11">
        <v>1020</v>
      </c>
      <c r="D163" s="11">
        <v>30</v>
      </c>
      <c r="E163" s="11">
        <v>1175</v>
      </c>
      <c r="F163" s="11">
        <v>1120</v>
      </c>
      <c r="G163" s="11">
        <v>28</v>
      </c>
      <c r="H163" t="s">
        <v>99</v>
      </c>
    </row>
    <row r="164" spans="1:8" ht="15" customHeight="1" x14ac:dyDescent="0.35">
      <c r="A164" s="12">
        <v>1000</v>
      </c>
      <c r="B164" s="11">
        <v>2.5</v>
      </c>
      <c r="C164" s="12">
        <v>1020</v>
      </c>
      <c r="D164" s="12">
        <v>30</v>
      </c>
      <c r="E164" s="13">
        <v>1175</v>
      </c>
      <c r="F164" s="12">
        <v>1120</v>
      </c>
      <c r="G164" s="13">
        <v>28</v>
      </c>
      <c r="H164" t="s">
        <v>99</v>
      </c>
    </row>
    <row r="165" spans="1:8" x14ac:dyDescent="0.35">
      <c r="A165" s="12">
        <v>1000</v>
      </c>
      <c r="B165" s="11">
        <v>6</v>
      </c>
      <c r="C165" s="12">
        <v>1020</v>
      </c>
      <c r="D165" s="11">
        <v>36</v>
      </c>
      <c r="E165" s="12">
        <v>1175</v>
      </c>
      <c r="F165" s="12">
        <v>1120</v>
      </c>
      <c r="G165" s="12">
        <v>28</v>
      </c>
      <c r="H165" t="s">
        <v>99</v>
      </c>
    </row>
    <row r="166" spans="1:8" x14ac:dyDescent="0.35">
      <c r="A166" s="12">
        <v>1000</v>
      </c>
      <c r="B166" s="11">
        <v>10</v>
      </c>
      <c r="C166" s="12">
        <v>1020</v>
      </c>
      <c r="D166" s="11">
        <v>48</v>
      </c>
      <c r="E166" s="11">
        <v>1220</v>
      </c>
      <c r="F166" s="11">
        <v>1160</v>
      </c>
      <c r="G166" s="12">
        <v>28</v>
      </c>
      <c r="H166" t="s">
        <v>108</v>
      </c>
    </row>
    <row r="167" spans="1:8" ht="15" customHeight="1" x14ac:dyDescent="0.35">
      <c r="A167" s="12">
        <v>1000</v>
      </c>
      <c r="B167" s="11">
        <v>16</v>
      </c>
      <c r="C167" s="12">
        <v>1020</v>
      </c>
      <c r="D167" s="11">
        <v>63</v>
      </c>
      <c r="E167" s="13">
        <v>1255</v>
      </c>
      <c r="F167" s="11">
        <v>1170</v>
      </c>
      <c r="G167" s="12">
        <v>28</v>
      </c>
      <c r="H167" t="s">
        <v>144</v>
      </c>
    </row>
    <row r="168" spans="1:8" x14ac:dyDescent="0.35">
      <c r="A168" s="11">
        <v>1200</v>
      </c>
      <c r="B168" s="11">
        <v>1</v>
      </c>
      <c r="C168" s="11">
        <v>1220</v>
      </c>
      <c r="D168" s="11">
        <v>30</v>
      </c>
      <c r="E168" s="11">
        <v>1375</v>
      </c>
      <c r="F168" s="11">
        <v>1320</v>
      </c>
      <c r="G168" s="11">
        <v>32</v>
      </c>
      <c r="H168" t="s">
        <v>99</v>
      </c>
    </row>
    <row r="169" spans="1:8" ht="15" customHeight="1" x14ac:dyDescent="0.35">
      <c r="A169" s="12">
        <v>1200</v>
      </c>
      <c r="B169" s="11">
        <v>2.5</v>
      </c>
      <c r="C169" s="12">
        <v>1220</v>
      </c>
      <c r="D169" s="12">
        <v>30</v>
      </c>
      <c r="E169" s="13">
        <v>1375</v>
      </c>
      <c r="F169" s="12">
        <v>1320</v>
      </c>
      <c r="G169" s="13">
        <v>32</v>
      </c>
      <c r="H169" t="s">
        <v>99</v>
      </c>
    </row>
    <row r="170" spans="1:8" ht="15" customHeight="1" x14ac:dyDescent="0.35">
      <c r="A170" s="12">
        <v>1200</v>
      </c>
      <c r="B170" s="11">
        <v>6</v>
      </c>
      <c r="C170" s="12">
        <v>1220</v>
      </c>
      <c r="D170" s="11">
        <v>39</v>
      </c>
      <c r="E170" s="11">
        <v>1400</v>
      </c>
      <c r="F170" s="11">
        <v>1340</v>
      </c>
      <c r="G170" s="12">
        <v>32</v>
      </c>
      <c r="H170" t="s">
        <v>108</v>
      </c>
    </row>
    <row r="171" spans="1:8" ht="15" customHeight="1" x14ac:dyDescent="0.35">
      <c r="A171" s="12">
        <v>1200</v>
      </c>
      <c r="B171" s="11">
        <v>10</v>
      </c>
      <c r="C171" s="12">
        <v>1220</v>
      </c>
      <c r="D171" s="11">
        <v>56</v>
      </c>
      <c r="E171" s="13">
        <v>1455</v>
      </c>
      <c r="F171" s="11">
        <v>1380</v>
      </c>
      <c r="G171" s="12">
        <v>32</v>
      </c>
      <c r="H171" t="s">
        <v>126</v>
      </c>
    </row>
    <row r="172" spans="1:8" ht="15" customHeight="1" x14ac:dyDescent="0.35">
      <c r="A172" s="12">
        <v>1200</v>
      </c>
      <c r="B172" s="11">
        <v>16</v>
      </c>
      <c r="C172" s="12">
        <v>1220</v>
      </c>
      <c r="D172" s="11">
        <v>76</v>
      </c>
      <c r="E172" s="13">
        <v>1485</v>
      </c>
      <c r="F172" s="11">
        <v>1390</v>
      </c>
      <c r="G172" s="12">
        <v>32</v>
      </c>
      <c r="H172" t="s">
        <v>164</v>
      </c>
    </row>
    <row r="173" spans="1:8" x14ac:dyDescent="0.35">
      <c r="A173" s="11">
        <v>1400</v>
      </c>
      <c r="B173" s="11">
        <v>1</v>
      </c>
      <c r="C173" s="11">
        <v>1420</v>
      </c>
      <c r="D173" s="11">
        <v>32</v>
      </c>
      <c r="E173" s="11">
        <v>1575</v>
      </c>
      <c r="F173" s="11">
        <v>1520</v>
      </c>
      <c r="G173" s="11">
        <v>36</v>
      </c>
      <c r="H173" t="s">
        <v>99</v>
      </c>
    </row>
    <row r="174" spans="1:8" x14ac:dyDescent="0.35">
      <c r="A174" s="12">
        <v>1400</v>
      </c>
      <c r="B174" s="11">
        <v>2.5</v>
      </c>
      <c r="C174" s="12">
        <v>1420</v>
      </c>
      <c r="D174" s="12">
        <v>32</v>
      </c>
      <c r="E174" s="12">
        <v>1575</v>
      </c>
      <c r="F174" s="12">
        <v>1520</v>
      </c>
      <c r="G174" s="12">
        <v>36</v>
      </c>
      <c r="H174" t="s">
        <v>99</v>
      </c>
    </row>
    <row r="175" spans="1:8" ht="15" customHeight="1" x14ac:dyDescent="0.35">
      <c r="A175" s="12">
        <v>1400</v>
      </c>
      <c r="B175" s="11">
        <v>6</v>
      </c>
      <c r="C175" s="12">
        <v>1420</v>
      </c>
      <c r="D175" s="11">
        <v>48</v>
      </c>
      <c r="E175" s="11">
        <v>1620</v>
      </c>
      <c r="F175" s="11">
        <v>1560</v>
      </c>
      <c r="G175" s="13">
        <v>36</v>
      </c>
      <c r="H175" t="s">
        <v>108</v>
      </c>
    </row>
    <row r="176" spans="1:8" ht="15" customHeight="1" x14ac:dyDescent="0.35">
      <c r="A176" s="12">
        <v>1400</v>
      </c>
      <c r="B176" s="11">
        <v>10</v>
      </c>
      <c r="C176" s="12">
        <v>1420</v>
      </c>
      <c r="D176" s="11">
        <v>65</v>
      </c>
      <c r="E176" s="13">
        <v>1675</v>
      </c>
      <c r="F176" s="11">
        <v>1590</v>
      </c>
      <c r="G176" s="12">
        <v>36</v>
      </c>
      <c r="H176" t="s">
        <v>144</v>
      </c>
    </row>
    <row r="177" spans="1:8" x14ac:dyDescent="0.35">
      <c r="A177" s="11">
        <v>1600</v>
      </c>
      <c r="B177" s="11">
        <v>1</v>
      </c>
      <c r="C177" s="11">
        <v>1620</v>
      </c>
      <c r="D177" s="11">
        <v>32</v>
      </c>
      <c r="E177" s="11">
        <v>1785</v>
      </c>
      <c r="F177" s="11">
        <v>1730</v>
      </c>
      <c r="G177" s="11">
        <v>40</v>
      </c>
      <c r="H177" t="s">
        <v>99</v>
      </c>
    </row>
    <row r="178" spans="1:8" x14ac:dyDescent="0.35">
      <c r="A178" s="12">
        <v>1600</v>
      </c>
      <c r="B178" s="11">
        <v>2.5</v>
      </c>
      <c r="C178" s="12">
        <v>1620</v>
      </c>
      <c r="D178" s="12">
        <v>32</v>
      </c>
      <c r="E178" s="12">
        <v>1785</v>
      </c>
      <c r="F178" s="12">
        <v>1730</v>
      </c>
      <c r="G178" s="12">
        <v>40</v>
      </c>
      <c r="H178" t="s">
        <v>99</v>
      </c>
    </row>
    <row r="179" spans="1:8" x14ac:dyDescent="0.35">
      <c r="A179" s="12">
        <v>1600</v>
      </c>
      <c r="B179" s="11">
        <v>6</v>
      </c>
      <c r="C179" s="12">
        <v>1620</v>
      </c>
      <c r="D179" s="11">
        <v>53</v>
      </c>
      <c r="E179" s="11">
        <v>1820</v>
      </c>
      <c r="F179" s="11">
        <v>1760</v>
      </c>
      <c r="G179" s="12">
        <v>40</v>
      </c>
      <c r="H179" t="s">
        <v>108</v>
      </c>
    </row>
    <row r="180" spans="1:8" ht="15" customHeight="1" x14ac:dyDescent="0.35">
      <c r="A180" s="12">
        <v>1600</v>
      </c>
      <c r="B180" s="11">
        <v>10</v>
      </c>
      <c r="C180" s="12">
        <v>1620</v>
      </c>
      <c r="D180" s="11">
        <v>75</v>
      </c>
      <c r="E180" s="13">
        <v>1915</v>
      </c>
      <c r="F180" s="11">
        <v>1820</v>
      </c>
      <c r="G180" s="12">
        <v>40</v>
      </c>
      <c r="H180" t="s">
        <v>164</v>
      </c>
    </row>
    <row r="181" spans="1:8" x14ac:dyDescent="0.35">
      <c r="A181" s="11">
        <v>1800</v>
      </c>
      <c r="B181" s="11">
        <v>1</v>
      </c>
      <c r="C181" s="11">
        <v>1820</v>
      </c>
      <c r="D181" s="11">
        <v>35</v>
      </c>
      <c r="E181" s="11">
        <v>1985</v>
      </c>
      <c r="F181" s="11">
        <v>1930</v>
      </c>
      <c r="G181" s="11">
        <v>44</v>
      </c>
      <c r="H181" t="s">
        <v>99</v>
      </c>
    </row>
    <row r="182" spans="1:8" x14ac:dyDescent="0.35">
      <c r="A182" s="12">
        <v>1800</v>
      </c>
      <c r="B182" s="11">
        <v>2.5</v>
      </c>
      <c r="C182" s="12">
        <v>1820</v>
      </c>
      <c r="D182" s="12">
        <v>35</v>
      </c>
      <c r="E182" s="12">
        <v>1985</v>
      </c>
      <c r="F182" s="12">
        <v>1930</v>
      </c>
      <c r="G182" s="12">
        <v>44</v>
      </c>
      <c r="H182" t="s">
        <v>99</v>
      </c>
    </row>
    <row r="183" spans="1:8" ht="15" customHeight="1" x14ac:dyDescent="0.35">
      <c r="A183" s="12">
        <v>1800</v>
      </c>
      <c r="B183" s="11">
        <v>6</v>
      </c>
      <c r="C183" s="11">
        <v>1820</v>
      </c>
      <c r="D183" s="11">
        <v>35</v>
      </c>
      <c r="E183" s="13">
        <v>2045</v>
      </c>
      <c r="F183" s="11">
        <v>1970</v>
      </c>
      <c r="G183" s="12">
        <v>44</v>
      </c>
      <c r="H183" t="s">
        <v>126</v>
      </c>
    </row>
    <row r="184" spans="1:8" x14ac:dyDescent="0.35">
      <c r="A184" s="11">
        <v>2000</v>
      </c>
      <c r="B184" s="11">
        <v>1</v>
      </c>
      <c r="C184" s="11">
        <v>2020</v>
      </c>
      <c r="D184" s="11">
        <v>35</v>
      </c>
      <c r="E184" s="11">
        <v>2190</v>
      </c>
      <c r="F184" s="11">
        <v>2130</v>
      </c>
      <c r="G184" s="11">
        <v>48</v>
      </c>
      <c r="H184" t="s">
        <v>99</v>
      </c>
    </row>
    <row r="185" spans="1:8" x14ac:dyDescent="0.35">
      <c r="A185" s="12">
        <v>2000</v>
      </c>
      <c r="B185" s="11">
        <v>2.5</v>
      </c>
      <c r="C185" s="12">
        <v>2020</v>
      </c>
      <c r="D185" s="12">
        <v>35</v>
      </c>
      <c r="E185" s="12">
        <v>2190</v>
      </c>
      <c r="F185" s="12">
        <v>2130</v>
      </c>
      <c r="G185" s="12">
        <v>48</v>
      </c>
      <c r="H185" t="s">
        <v>99</v>
      </c>
    </row>
    <row r="186" spans="1:8" ht="15" customHeight="1" x14ac:dyDescent="0.35">
      <c r="A186" s="12">
        <v>2000</v>
      </c>
      <c r="B186" s="11">
        <v>6</v>
      </c>
      <c r="C186" s="11">
        <v>2020</v>
      </c>
      <c r="D186" s="11">
        <v>35</v>
      </c>
      <c r="E186" s="13">
        <v>2265</v>
      </c>
      <c r="F186" s="11">
        <v>2180</v>
      </c>
      <c r="G186" s="12">
        <v>48</v>
      </c>
      <c r="H186" t="s">
        <v>144</v>
      </c>
    </row>
    <row r="187" spans="1:8" x14ac:dyDescent="0.35">
      <c r="A187" s="11">
        <v>2200</v>
      </c>
      <c r="B187" s="11">
        <v>1</v>
      </c>
      <c r="C187" s="11">
        <v>2220</v>
      </c>
      <c r="D187" s="11">
        <v>42</v>
      </c>
      <c r="E187" s="11">
        <v>2405</v>
      </c>
      <c r="F187" s="11">
        <v>2340</v>
      </c>
      <c r="G187" s="11">
        <v>52</v>
      </c>
      <c r="H187" t="s">
        <v>108</v>
      </c>
    </row>
    <row r="188" spans="1:8" x14ac:dyDescent="0.35">
      <c r="A188" s="12">
        <v>2200</v>
      </c>
      <c r="B188" s="11">
        <v>2.5</v>
      </c>
      <c r="C188" s="12">
        <v>2220</v>
      </c>
      <c r="D188" s="12">
        <v>42</v>
      </c>
      <c r="E188" s="12">
        <v>2405</v>
      </c>
      <c r="F188" s="12">
        <v>2340</v>
      </c>
      <c r="G188" s="12">
        <v>52</v>
      </c>
      <c r="H188" t="s">
        <v>108</v>
      </c>
    </row>
    <row r="189" spans="1:8" x14ac:dyDescent="0.35">
      <c r="A189" s="11">
        <v>2400</v>
      </c>
      <c r="B189" s="11">
        <v>1</v>
      </c>
      <c r="C189" s="11">
        <v>2420</v>
      </c>
      <c r="D189" s="11">
        <v>47</v>
      </c>
      <c r="E189" s="11">
        <v>2605</v>
      </c>
      <c r="F189" s="11">
        <v>2540</v>
      </c>
      <c r="G189" s="11">
        <v>56</v>
      </c>
      <c r="H189" t="s">
        <v>108</v>
      </c>
    </row>
    <row r="190" spans="1:8" x14ac:dyDescent="0.35">
      <c r="A190" s="12">
        <v>2400</v>
      </c>
      <c r="B190" s="11">
        <v>2.5</v>
      </c>
      <c r="C190" s="12">
        <v>2420</v>
      </c>
      <c r="D190" s="12">
        <v>47</v>
      </c>
      <c r="E190" s="12">
        <v>2605</v>
      </c>
      <c r="F190" s="12">
        <v>2540</v>
      </c>
      <c r="G190" s="12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P30" sqref="P30"/>
    </sheetView>
  </sheetViews>
  <sheetFormatPr defaultRowHeight="14.5" x14ac:dyDescent="0.35"/>
  <sheetData>
    <row r="1" spans="1:19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2781</v>
      </c>
      <c r="J1" s="13" t="s">
        <v>2788</v>
      </c>
      <c r="K1" s="11" t="s">
        <v>2801</v>
      </c>
      <c r="L1" s="12" t="s">
        <v>2802</v>
      </c>
      <c r="M1" s="12"/>
      <c r="N1" s="11"/>
      <c r="O1" s="11"/>
      <c r="P1" s="11"/>
      <c r="Q1" s="12"/>
      <c r="R1" s="11"/>
      <c r="S1" s="11"/>
    </row>
    <row r="2" spans="1:19" ht="15" customHeight="1" x14ac:dyDescent="0.35">
      <c r="A2" s="11">
        <v>10</v>
      </c>
      <c r="B2" s="11">
        <v>1</v>
      </c>
      <c r="C2" s="11">
        <v>8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22</v>
      </c>
      <c r="J2">
        <v>9</v>
      </c>
      <c r="K2" s="11">
        <v>15</v>
      </c>
      <c r="L2" s="13">
        <v>6</v>
      </c>
    </row>
    <row r="3" spans="1:19" ht="15" customHeight="1" x14ac:dyDescent="0.35">
      <c r="A3" s="12">
        <v>10</v>
      </c>
      <c r="B3" s="11" t="s">
        <v>2399</v>
      </c>
      <c r="C3" s="12">
        <v>8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22</v>
      </c>
      <c r="J3">
        <v>9</v>
      </c>
      <c r="K3" s="12">
        <v>15</v>
      </c>
      <c r="L3" s="12">
        <v>6</v>
      </c>
    </row>
    <row r="4" spans="1:19" x14ac:dyDescent="0.35">
      <c r="A4" s="12">
        <v>10</v>
      </c>
      <c r="B4" s="11">
        <v>6</v>
      </c>
      <c r="C4" s="12">
        <v>8</v>
      </c>
      <c r="D4" s="11">
        <v>12</v>
      </c>
      <c r="E4" s="12">
        <v>75</v>
      </c>
      <c r="F4" s="12">
        <v>50</v>
      </c>
      <c r="G4" s="12">
        <v>4</v>
      </c>
      <c r="H4" s="12">
        <v>10</v>
      </c>
      <c r="I4" s="12">
        <v>22</v>
      </c>
      <c r="J4">
        <v>11</v>
      </c>
      <c r="K4" s="12">
        <v>15</v>
      </c>
      <c r="L4" s="12">
        <v>6</v>
      </c>
    </row>
    <row r="5" spans="1:19" ht="15" customHeight="1" x14ac:dyDescent="0.35">
      <c r="A5" s="12">
        <v>10</v>
      </c>
      <c r="B5" s="11">
        <v>10</v>
      </c>
      <c r="C5" s="12">
        <v>8</v>
      </c>
      <c r="D5" s="12">
        <v>12</v>
      </c>
      <c r="E5" s="13">
        <v>90</v>
      </c>
      <c r="F5" s="11">
        <v>60</v>
      </c>
      <c r="G5" s="12">
        <v>4</v>
      </c>
      <c r="H5" s="13">
        <v>12</v>
      </c>
      <c r="I5" s="11">
        <v>25</v>
      </c>
      <c r="J5">
        <v>17</v>
      </c>
      <c r="K5" s="12">
        <v>15</v>
      </c>
      <c r="L5" s="12">
        <v>6</v>
      </c>
    </row>
    <row r="6" spans="1:19" x14ac:dyDescent="0.35">
      <c r="A6" s="12">
        <v>10</v>
      </c>
      <c r="B6" s="11">
        <v>16</v>
      </c>
      <c r="C6" s="12">
        <v>8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1">
        <v>26</v>
      </c>
      <c r="J6">
        <v>15</v>
      </c>
      <c r="K6" s="12">
        <v>15</v>
      </c>
      <c r="L6" s="12">
        <v>6</v>
      </c>
    </row>
    <row r="7" spans="1:19" x14ac:dyDescent="0.35">
      <c r="A7" s="12">
        <v>10</v>
      </c>
      <c r="B7" s="11">
        <v>25</v>
      </c>
      <c r="C7" s="12">
        <v>8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26</v>
      </c>
      <c r="J7">
        <v>13</v>
      </c>
      <c r="K7" s="12">
        <v>15</v>
      </c>
      <c r="L7" s="12">
        <v>6</v>
      </c>
    </row>
    <row r="8" spans="1:19" x14ac:dyDescent="0.35">
      <c r="A8" s="12">
        <v>10</v>
      </c>
      <c r="B8" s="11">
        <v>40</v>
      </c>
      <c r="C8" s="12">
        <v>8</v>
      </c>
      <c r="D8" s="12">
        <v>16</v>
      </c>
      <c r="E8" s="12">
        <v>90</v>
      </c>
      <c r="F8" s="12">
        <v>60</v>
      </c>
      <c r="G8" s="12">
        <v>4</v>
      </c>
      <c r="H8" s="12">
        <v>12</v>
      </c>
      <c r="I8" s="12">
        <v>26</v>
      </c>
      <c r="J8">
        <v>13</v>
      </c>
      <c r="K8" s="12">
        <v>15</v>
      </c>
      <c r="L8" s="12">
        <v>6</v>
      </c>
    </row>
    <row r="9" spans="1:19" ht="15" customHeight="1" x14ac:dyDescent="0.35">
      <c r="A9" s="12">
        <v>10</v>
      </c>
      <c r="B9" s="11">
        <v>63</v>
      </c>
      <c r="C9" s="12">
        <v>8</v>
      </c>
      <c r="D9" s="11">
        <v>18</v>
      </c>
      <c r="E9" s="13">
        <v>100</v>
      </c>
      <c r="F9" s="11">
        <v>70</v>
      </c>
      <c r="G9" s="12">
        <v>4</v>
      </c>
      <c r="H9" s="12">
        <v>12</v>
      </c>
      <c r="I9" s="11">
        <v>34</v>
      </c>
      <c r="J9">
        <v>24</v>
      </c>
      <c r="K9" s="12">
        <v>15</v>
      </c>
      <c r="L9" s="12">
        <v>6</v>
      </c>
    </row>
    <row r="10" spans="1:19" x14ac:dyDescent="0.35">
      <c r="A10" s="12">
        <v>10</v>
      </c>
      <c r="B10" s="11">
        <v>100</v>
      </c>
      <c r="C10" s="12">
        <v>8</v>
      </c>
      <c r="D10" s="12">
        <v>18</v>
      </c>
      <c r="E10" s="12">
        <v>100</v>
      </c>
      <c r="F10" s="12">
        <v>70</v>
      </c>
      <c r="G10" s="12">
        <v>4</v>
      </c>
      <c r="H10" s="12">
        <v>12</v>
      </c>
      <c r="I10" s="12">
        <v>34</v>
      </c>
      <c r="J10">
        <v>21</v>
      </c>
      <c r="K10" s="12">
        <v>15</v>
      </c>
      <c r="L10" s="12">
        <v>6</v>
      </c>
    </row>
    <row r="11" spans="1:19" x14ac:dyDescent="0.35">
      <c r="A11" s="12">
        <v>10</v>
      </c>
      <c r="B11" s="11">
        <v>160</v>
      </c>
      <c r="C11" s="11">
        <v>8</v>
      </c>
      <c r="D11" s="11">
        <v>18</v>
      </c>
      <c r="E11" s="11">
        <v>100</v>
      </c>
      <c r="F11" s="12">
        <v>70</v>
      </c>
      <c r="G11" s="11">
        <v>4</v>
      </c>
      <c r="H11" s="11">
        <v>12</v>
      </c>
      <c r="I11" s="11">
        <v>34</v>
      </c>
      <c r="J11">
        <v>21</v>
      </c>
      <c r="K11" s="11">
        <v>15</v>
      </c>
      <c r="L11" s="12">
        <v>6</v>
      </c>
    </row>
    <row r="12" spans="1:19" x14ac:dyDescent="0.35">
      <c r="A12" s="12">
        <v>10</v>
      </c>
      <c r="B12" s="11">
        <v>250</v>
      </c>
      <c r="C12" s="12">
        <v>8</v>
      </c>
      <c r="D12" s="12">
        <v>18</v>
      </c>
      <c r="E12" s="12">
        <v>100</v>
      </c>
      <c r="F12" s="11">
        <v>85</v>
      </c>
      <c r="G12" s="12">
        <v>4</v>
      </c>
      <c r="H12" s="12">
        <v>12</v>
      </c>
      <c r="I12" s="12">
        <v>34</v>
      </c>
      <c r="J12">
        <v>21</v>
      </c>
      <c r="K12" s="12">
        <v>15</v>
      </c>
      <c r="L12" s="12">
        <v>6</v>
      </c>
    </row>
    <row r="13" spans="1:19" ht="15" customHeight="1" x14ac:dyDescent="0.35">
      <c r="A13" s="11">
        <v>15</v>
      </c>
      <c r="B13" s="11">
        <v>1</v>
      </c>
      <c r="C13" s="11">
        <v>12</v>
      </c>
      <c r="D13" s="11">
        <v>10</v>
      </c>
      <c r="E13" s="11">
        <v>80</v>
      </c>
      <c r="F13" s="11">
        <v>55</v>
      </c>
      <c r="G13" s="11">
        <v>4</v>
      </c>
      <c r="H13" s="11">
        <v>10</v>
      </c>
      <c r="I13" s="11">
        <v>28</v>
      </c>
      <c r="J13">
        <v>12</v>
      </c>
      <c r="K13" s="11">
        <v>19</v>
      </c>
      <c r="L13" s="13">
        <v>6</v>
      </c>
    </row>
    <row r="14" spans="1:19" ht="15" customHeight="1" x14ac:dyDescent="0.35">
      <c r="A14" s="12">
        <v>15</v>
      </c>
      <c r="B14" s="11" t="s">
        <v>2399</v>
      </c>
      <c r="C14" s="12">
        <v>12</v>
      </c>
      <c r="D14" s="12">
        <v>10</v>
      </c>
      <c r="E14" s="13">
        <v>80</v>
      </c>
      <c r="F14" s="12">
        <v>55</v>
      </c>
      <c r="G14" s="13">
        <v>4</v>
      </c>
      <c r="H14" s="13">
        <v>10</v>
      </c>
      <c r="I14" s="12">
        <v>28</v>
      </c>
      <c r="J14">
        <v>12</v>
      </c>
      <c r="K14" s="12">
        <v>19</v>
      </c>
      <c r="L14" s="12">
        <v>6</v>
      </c>
    </row>
    <row r="15" spans="1:19" x14ac:dyDescent="0.35">
      <c r="A15" s="12">
        <v>15</v>
      </c>
      <c r="B15" s="11">
        <v>6</v>
      </c>
      <c r="C15" s="12">
        <v>12</v>
      </c>
      <c r="D15" s="11">
        <v>12</v>
      </c>
      <c r="E15" s="12">
        <v>80</v>
      </c>
      <c r="F15" s="12">
        <v>55</v>
      </c>
      <c r="G15" s="12">
        <v>4</v>
      </c>
      <c r="H15" s="12">
        <v>10</v>
      </c>
      <c r="I15" s="12">
        <v>28</v>
      </c>
      <c r="J15">
        <v>12</v>
      </c>
      <c r="K15" s="12">
        <v>19</v>
      </c>
      <c r="L15" s="12">
        <v>6</v>
      </c>
    </row>
    <row r="16" spans="1:19" ht="15" customHeight="1" x14ac:dyDescent="0.35">
      <c r="A16" s="12">
        <v>15</v>
      </c>
      <c r="B16" s="11">
        <v>10</v>
      </c>
      <c r="C16" s="12">
        <v>12</v>
      </c>
      <c r="D16" s="12">
        <v>12</v>
      </c>
      <c r="E16" s="13">
        <v>95</v>
      </c>
      <c r="F16" s="11">
        <v>65</v>
      </c>
      <c r="G16" s="12">
        <v>4</v>
      </c>
      <c r="H16" s="13">
        <v>12</v>
      </c>
      <c r="I16" s="11">
        <v>30</v>
      </c>
      <c r="J16">
        <v>17</v>
      </c>
      <c r="K16" s="12">
        <v>19</v>
      </c>
      <c r="L16" s="12">
        <v>6</v>
      </c>
    </row>
    <row r="17" spans="1:12" x14ac:dyDescent="0.35">
      <c r="A17" s="12">
        <v>15</v>
      </c>
      <c r="B17" s="11">
        <v>16</v>
      </c>
      <c r="C17" s="12">
        <v>12</v>
      </c>
      <c r="D17" s="11">
        <v>14</v>
      </c>
      <c r="E17" s="12">
        <v>95</v>
      </c>
      <c r="F17" s="12">
        <v>65</v>
      </c>
      <c r="G17" s="12">
        <v>4</v>
      </c>
      <c r="H17" s="12">
        <v>12</v>
      </c>
      <c r="I17" s="12">
        <v>30</v>
      </c>
      <c r="J17">
        <v>15</v>
      </c>
      <c r="K17" s="12">
        <v>19</v>
      </c>
      <c r="L17" s="12">
        <v>6</v>
      </c>
    </row>
    <row r="18" spans="1:12" x14ac:dyDescent="0.35">
      <c r="A18" s="12">
        <v>15</v>
      </c>
      <c r="B18" s="11">
        <v>25</v>
      </c>
      <c r="C18" s="12">
        <v>12</v>
      </c>
      <c r="D18" s="11">
        <v>16</v>
      </c>
      <c r="E18" s="12">
        <v>95</v>
      </c>
      <c r="F18" s="12">
        <v>65</v>
      </c>
      <c r="G18" s="12">
        <v>4</v>
      </c>
      <c r="H18" s="12">
        <v>12</v>
      </c>
      <c r="I18" s="12">
        <v>30</v>
      </c>
      <c r="J18">
        <v>13</v>
      </c>
      <c r="K18" s="12">
        <v>19</v>
      </c>
      <c r="L18" s="12">
        <v>6</v>
      </c>
    </row>
    <row r="19" spans="1:12" x14ac:dyDescent="0.35">
      <c r="A19" s="12">
        <v>15</v>
      </c>
      <c r="B19" s="11">
        <v>40</v>
      </c>
      <c r="C19" s="12">
        <v>12</v>
      </c>
      <c r="D19" s="12">
        <v>16</v>
      </c>
      <c r="E19" s="12">
        <v>95</v>
      </c>
      <c r="F19" s="12">
        <v>65</v>
      </c>
      <c r="G19" s="12">
        <v>4</v>
      </c>
      <c r="H19" s="12">
        <v>12</v>
      </c>
      <c r="I19" s="12">
        <v>30</v>
      </c>
      <c r="J19">
        <v>13</v>
      </c>
      <c r="K19" s="12">
        <v>19</v>
      </c>
      <c r="L19" s="12">
        <v>6</v>
      </c>
    </row>
    <row r="20" spans="1:12" ht="15" customHeight="1" x14ac:dyDescent="0.35">
      <c r="A20" s="12">
        <v>15</v>
      </c>
      <c r="B20" s="11">
        <v>63</v>
      </c>
      <c r="C20" s="12">
        <v>12</v>
      </c>
      <c r="D20" s="11">
        <v>18</v>
      </c>
      <c r="E20" s="13">
        <v>105</v>
      </c>
      <c r="F20" s="11">
        <v>75</v>
      </c>
      <c r="G20" s="12">
        <v>4</v>
      </c>
      <c r="H20" s="12">
        <v>12</v>
      </c>
      <c r="I20" s="11">
        <v>38</v>
      </c>
      <c r="J20">
        <v>24</v>
      </c>
      <c r="K20" s="12">
        <v>19</v>
      </c>
      <c r="L20" s="12">
        <v>6</v>
      </c>
    </row>
    <row r="21" spans="1:12" x14ac:dyDescent="0.35">
      <c r="A21" s="12">
        <v>15</v>
      </c>
      <c r="B21" s="11">
        <v>100</v>
      </c>
      <c r="C21" s="12">
        <v>12</v>
      </c>
      <c r="D21" s="11">
        <v>20</v>
      </c>
      <c r="E21" s="12">
        <v>105</v>
      </c>
      <c r="F21" s="12">
        <v>75</v>
      </c>
      <c r="G21" s="12">
        <v>4</v>
      </c>
      <c r="H21" s="12">
        <v>12</v>
      </c>
      <c r="I21" s="12">
        <v>38</v>
      </c>
      <c r="J21">
        <v>22</v>
      </c>
      <c r="K21" s="12">
        <v>19</v>
      </c>
      <c r="L21" s="12">
        <v>6</v>
      </c>
    </row>
    <row r="22" spans="1:12" x14ac:dyDescent="0.35">
      <c r="A22" s="12">
        <v>15</v>
      </c>
      <c r="B22" s="11">
        <v>160</v>
      </c>
      <c r="C22" s="12">
        <v>12</v>
      </c>
      <c r="D22" s="12">
        <v>20</v>
      </c>
      <c r="E22" s="12">
        <v>105</v>
      </c>
      <c r="F22" s="12">
        <v>75</v>
      </c>
      <c r="G22" s="12">
        <v>4</v>
      </c>
      <c r="H22" s="12">
        <v>12</v>
      </c>
      <c r="I22" s="12">
        <v>38</v>
      </c>
      <c r="J22">
        <v>26</v>
      </c>
      <c r="K22" s="12">
        <v>19</v>
      </c>
      <c r="L22" s="12">
        <v>6</v>
      </c>
    </row>
    <row r="23" spans="1:12" x14ac:dyDescent="0.35">
      <c r="A23" s="12">
        <v>15</v>
      </c>
      <c r="B23" s="11">
        <v>200</v>
      </c>
      <c r="C23" s="11">
        <v>14</v>
      </c>
      <c r="D23" s="11">
        <v>26</v>
      </c>
      <c r="E23" s="11">
        <v>120</v>
      </c>
      <c r="F23" s="11">
        <v>82</v>
      </c>
      <c r="G23" s="11">
        <v>4</v>
      </c>
      <c r="H23" s="11">
        <v>20</v>
      </c>
      <c r="I23" s="11">
        <v>40</v>
      </c>
      <c r="J23">
        <v>22</v>
      </c>
      <c r="K23" s="11">
        <v>23</v>
      </c>
      <c r="L23" s="12">
        <v>6</v>
      </c>
    </row>
    <row r="24" spans="1:12" x14ac:dyDescent="0.35">
      <c r="A24" s="12">
        <v>15</v>
      </c>
      <c r="B24" s="11">
        <v>250</v>
      </c>
      <c r="C24" s="11">
        <v>14</v>
      </c>
      <c r="D24" s="11">
        <v>26</v>
      </c>
      <c r="E24" s="11">
        <v>120</v>
      </c>
      <c r="F24" s="11">
        <v>90</v>
      </c>
      <c r="G24" s="11">
        <v>4</v>
      </c>
      <c r="H24" s="11">
        <v>20</v>
      </c>
      <c r="I24" s="11">
        <v>40</v>
      </c>
      <c r="J24">
        <v>22</v>
      </c>
      <c r="K24" s="11">
        <v>23</v>
      </c>
      <c r="L24" s="12">
        <v>6</v>
      </c>
    </row>
    <row r="25" spans="1:12" ht="15" customHeight="1" x14ac:dyDescent="0.35">
      <c r="A25" s="11">
        <v>20</v>
      </c>
      <c r="B25" s="11">
        <v>1</v>
      </c>
      <c r="C25" s="11">
        <v>18</v>
      </c>
      <c r="D25" s="11">
        <v>10</v>
      </c>
      <c r="E25" s="11">
        <v>90</v>
      </c>
      <c r="F25" s="11">
        <v>65</v>
      </c>
      <c r="G25" s="11">
        <v>4</v>
      </c>
      <c r="H25" s="11">
        <v>10</v>
      </c>
      <c r="I25" s="11">
        <v>36</v>
      </c>
      <c r="J25">
        <v>14</v>
      </c>
      <c r="K25" s="11">
        <v>26</v>
      </c>
      <c r="L25" s="13">
        <v>6</v>
      </c>
    </row>
    <row r="26" spans="1:12" ht="15" customHeight="1" x14ac:dyDescent="0.35">
      <c r="A26" s="12">
        <v>20</v>
      </c>
      <c r="B26" s="11" t="s">
        <v>2399</v>
      </c>
      <c r="C26" s="12">
        <v>18</v>
      </c>
      <c r="D26" s="12">
        <v>10</v>
      </c>
      <c r="E26" s="13">
        <v>90</v>
      </c>
      <c r="F26" s="12">
        <v>65</v>
      </c>
      <c r="G26" s="13">
        <v>4</v>
      </c>
      <c r="H26" s="13">
        <v>10</v>
      </c>
      <c r="I26" s="12">
        <v>36</v>
      </c>
      <c r="J26">
        <v>14</v>
      </c>
      <c r="K26" s="12">
        <v>26</v>
      </c>
      <c r="L26" s="12">
        <v>6</v>
      </c>
    </row>
    <row r="27" spans="1:12" x14ac:dyDescent="0.35">
      <c r="A27" s="12">
        <v>20</v>
      </c>
      <c r="B27" s="11">
        <v>6</v>
      </c>
      <c r="C27" s="12">
        <v>18</v>
      </c>
      <c r="D27" s="11">
        <v>12</v>
      </c>
      <c r="E27" s="12">
        <v>90</v>
      </c>
      <c r="F27" s="12">
        <v>65</v>
      </c>
      <c r="G27" s="12">
        <v>4</v>
      </c>
      <c r="H27" s="12">
        <v>10</v>
      </c>
      <c r="I27" s="12">
        <v>36</v>
      </c>
      <c r="J27">
        <v>14</v>
      </c>
      <c r="K27" s="12">
        <v>26</v>
      </c>
      <c r="L27" s="12">
        <v>6</v>
      </c>
    </row>
    <row r="28" spans="1:12" ht="15" customHeight="1" x14ac:dyDescent="0.35">
      <c r="A28" s="12">
        <v>20</v>
      </c>
      <c r="B28" s="11">
        <v>10</v>
      </c>
      <c r="C28" s="12">
        <v>18</v>
      </c>
      <c r="D28" s="11">
        <v>14</v>
      </c>
      <c r="E28" s="13">
        <v>105</v>
      </c>
      <c r="F28" s="11">
        <v>75</v>
      </c>
      <c r="G28" s="12">
        <v>4</v>
      </c>
      <c r="H28" s="13">
        <v>12</v>
      </c>
      <c r="I28" s="11">
        <v>38</v>
      </c>
      <c r="J28">
        <v>18</v>
      </c>
      <c r="K28" s="12">
        <v>26</v>
      </c>
      <c r="L28" s="12">
        <v>6</v>
      </c>
    </row>
    <row r="29" spans="1:12" x14ac:dyDescent="0.35">
      <c r="A29" s="12">
        <v>20</v>
      </c>
      <c r="B29" s="11">
        <v>16</v>
      </c>
      <c r="C29" s="12">
        <v>18</v>
      </c>
      <c r="D29" s="12">
        <v>14</v>
      </c>
      <c r="E29" s="12">
        <v>105</v>
      </c>
      <c r="F29" s="12">
        <v>75</v>
      </c>
      <c r="G29" s="12">
        <v>4</v>
      </c>
      <c r="H29" s="12">
        <v>12</v>
      </c>
      <c r="I29" s="12">
        <v>38</v>
      </c>
      <c r="J29">
        <v>18</v>
      </c>
      <c r="K29" s="12">
        <v>26</v>
      </c>
      <c r="L29" s="12">
        <v>6</v>
      </c>
    </row>
    <row r="30" spans="1:12" x14ac:dyDescent="0.35">
      <c r="A30" s="12">
        <v>20</v>
      </c>
      <c r="B30" s="11">
        <v>25</v>
      </c>
      <c r="C30" s="12">
        <v>18</v>
      </c>
      <c r="D30" s="11">
        <v>16</v>
      </c>
      <c r="E30" s="12">
        <v>105</v>
      </c>
      <c r="F30" s="12">
        <v>75</v>
      </c>
      <c r="G30" s="12">
        <v>4</v>
      </c>
      <c r="H30" s="12">
        <v>12</v>
      </c>
      <c r="I30" s="11">
        <v>38</v>
      </c>
      <c r="J30">
        <v>14</v>
      </c>
      <c r="K30" s="12">
        <v>26</v>
      </c>
      <c r="L30" s="12">
        <v>6</v>
      </c>
    </row>
    <row r="31" spans="1:12" x14ac:dyDescent="0.35">
      <c r="A31" s="12">
        <v>20</v>
      </c>
      <c r="B31" s="11">
        <v>40</v>
      </c>
      <c r="C31" s="12">
        <v>18</v>
      </c>
      <c r="D31" s="12">
        <v>16</v>
      </c>
      <c r="E31" s="12">
        <v>105</v>
      </c>
      <c r="F31" s="12">
        <v>75</v>
      </c>
      <c r="G31" s="12">
        <v>4</v>
      </c>
      <c r="H31" s="12">
        <v>12</v>
      </c>
      <c r="I31" s="12">
        <v>38</v>
      </c>
      <c r="J31">
        <v>14</v>
      </c>
      <c r="K31" s="12">
        <v>26</v>
      </c>
      <c r="L31" s="12">
        <v>6</v>
      </c>
    </row>
    <row r="32" spans="1:12" ht="15" customHeight="1" x14ac:dyDescent="0.35">
      <c r="A32" s="12">
        <v>20</v>
      </c>
      <c r="B32" s="11">
        <v>63</v>
      </c>
      <c r="C32" s="12">
        <v>18</v>
      </c>
      <c r="D32" s="11">
        <v>20</v>
      </c>
      <c r="E32" s="11">
        <v>125</v>
      </c>
      <c r="F32" s="11">
        <v>90</v>
      </c>
      <c r="G32" s="12">
        <v>4</v>
      </c>
      <c r="H32" s="13">
        <v>16</v>
      </c>
      <c r="I32" s="11">
        <v>48</v>
      </c>
      <c r="J32">
        <v>28</v>
      </c>
      <c r="K32" s="12">
        <v>26</v>
      </c>
      <c r="L32" s="13">
        <v>8</v>
      </c>
    </row>
    <row r="33" spans="1:12" x14ac:dyDescent="0.35">
      <c r="A33" s="12">
        <v>20</v>
      </c>
      <c r="B33" s="11">
        <v>100</v>
      </c>
      <c r="C33" s="12">
        <v>18</v>
      </c>
      <c r="D33" s="11">
        <v>22</v>
      </c>
      <c r="E33" s="12">
        <v>125</v>
      </c>
      <c r="F33" s="12">
        <v>90</v>
      </c>
      <c r="G33" s="12">
        <v>4</v>
      </c>
      <c r="H33" s="12">
        <v>16</v>
      </c>
      <c r="I33" s="12">
        <v>48</v>
      </c>
      <c r="J33">
        <v>23</v>
      </c>
      <c r="K33" s="12">
        <v>26</v>
      </c>
      <c r="L33" s="12">
        <v>8</v>
      </c>
    </row>
    <row r="34" spans="1:12" x14ac:dyDescent="0.35">
      <c r="A34" s="12">
        <v>20</v>
      </c>
      <c r="B34" s="11">
        <v>160</v>
      </c>
      <c r="C34" s="12">
        <v>18</v>
      </c>
      <c r="D34" s="11">
        <v>22</v>
      </c>
      <c r="E34" s="12">
        <v>125</v>
      </c>
      <c r="F34" s="12">
        <v>90</v>
      </c>
      <c r="G34" s="11">
        <v>4</v>
      </c>
      <c r="H34" s="11">
        <v>16</v>
      </c>
      <c r="I34" s="12">
        <v>48</v>
      </c>
      <c r="J34">
        <v>28</v>
      </c>
      <c r="K34" s="12">
        <v>26</v>
      </c>
      <c r="L34" s="12">
        <v>8</v>
      </c>
    </row>
    <row r="35" spans="1:12" x14ac:dyDescent="0.35">
      <c r="A35" s="12">
        <v>20</v>
      </c>
      <c r="B35" s="11">
        <v>200</v>
      </c>
      <c r="C35" s="11">
        <v>19</v>
      </c>
      <c r="D35" s="11">
        <v>28</v>
      </c>
      <c r="E35" s="11">
        <v>130</v>
      </c>
      <c r="F35" s="12">
        <v>90</v>
      </c>
      <c r="G35" s="12">
        <v>4</v>
      </c>
      <c r="H35" s="11">
        <v>20</v>
      </c>
      <c r="I35" s="11">
        <v>46</v>
      </c>
      <c r="J35">
        <v>21</v>
      </c>
      <c r="K35" s="11">
        <v>29</v>
      </c>
      <c r="L35" s="12">
        <v>8</v>
      </c>
    </row>
    <row r="36" spans="1:12" x14ac:dyDescent="0.35">
      <c r="A36" s="12">
        <v>20</v>
      </c>
      <c r="B36" s="11">
        <v>250</v>
      </c>
      <c r="C36" s="12">
        <v>19</v>
      </c>
      <c r="D36" s="11">
        <v>33</v>
      </c>
      <c r="E36" s="12">
        <v>130</v>
      </c>
      <c r="F36" s="12">
        <v>90</v>
      </c>
      <c r="G36" s="12">
        <v>4</v>
      </c>
      <c r="H36" s="12">
        <v>20</v>
      </c>
      <c r="I36" s="11">
        <v>46</v>
      </c>
      <c r="J36">
        <v>21</v>
      </c>
      <c r="K36" s="12">
        <v>29</v>
      </c>
      <c r="L36" s="12">
        <v>8</v>
      </c>
    </row>
    <row r="37" spans="1:12" ht="15" customHeight="1" x14ac:dyDescent="0.35">
      <c r="A37" s="11">
        <v>25</v>
      </c>
      <c r="B37" s="11">
        <v>1</v>
      </c>
      <c r="C37" s="11">
        <v>25</v>
      </c>
      <c r="D37" s="11">
        <v>10</v>
      </c>
      <c r="E37" s="11">
        <v>100</v>
      </c>
      <c r="F37" s="11">
        <v>75</v>
      </c>
      <c r="G37" s="11">
        <v>4</v>
      </c>
      <c r="H37" s="11">
        <v>10</v>
      </c>
      <c r="I37" s="11">
        <v>42</v>
      </c>
      <c r="J37">
        <v>14</v>
      </c>
      <c r="K37" s="11">
        <v>33</v>
      </c>
      <c r="L37" s="13">
        <v>6</v>
      </c>
    </row>
    <row r="38" spans="1:12" ht="15" customHeight="1" x14ac:dyDescent="0.35">
      <c r="A38" s="12">
        <v>25</v>
      </c>
      <c r="B38" s="11" t="s">
        <v>2399</v>
      </c>
      <c r="C38" s="12">
        <v>25</v>
      </c>
      <c r="D38" s="12">
        <v>10</v>
      </c>
      <c r="E38" s="13">
        <v>100</v>
      </c>
      <c r="F38" s="12">
        <v>75</v>
      </c>
      <c r="G38" s="13">
        <v>4</v>
      </c>
      <c r="H38" s="13">
        <v>10</v>
      </c>
      <c r="I38" s="12">
        <v>42</v>
      </c>
      <c r="J38">
        <v>14</v>
      </c>
      <c r="K38" s="12">
        <v>33</v>
      </c>
      <c r="L38" s="12">
        <v>6</v>
      </c>
    </row>
    <row r="39" spans="1:12" x14ac:dyDescent="0.35">
      <c r="A39" s="12">
        <v>25</v>
      </c>
      <c r="B39" s="11">
        <v>6</v>
      </c>
      <c r="C39" s="12">
        <v>25</v>
      </c>
      <c r="D39" s="11">
        <v>14</v>
      </c>
      <c r="E39" s="12">
        <v>100</v>
      </c>
      <c r="F39" s="12">
        <v>75</v>
      </c>
      <c r="G39" s="12">
        <v>4</v>
      </c>
      <c r="H39" s="12">
        <v>10</v>
      </c>
      <c r="I39" s="12">
        <v>42</v>
      </c>
      <c r="J39">
        <v>12</v>
      </c>
      <c r="K39" s="12">
        <v>33</v>
      </c>
      <c r="L39" s="12">
        <v>6</v>
      </c>
    </row>
    <row r="40" spans="1:12" ht="15" customHeight="1" x14ac:dyDescent="0.35">
      <c r="A40" s="12">
        <v>25</v>
      </c>
      <c r="B40" s="11">
        <v>10</v>
      </c>
      <c r="C40" s="12">
        <v>25</v>
      </c>
      <c r="D40" s="12">
        <v>14</v>
      </c>
      <c r="E40" s="13">
        <v>115</v>
      </c>
      <c r="F40" s="11">
        <v>85</v>
      </c>
      <c r="G40" s="12">
        <v>4</v>
      </c>
      <c r="H40" s="13">
        <v>12</v>
      </c>
      <c r="I40" s="11">
        <v>45</v>
      </c>
      <c r="J40">
        <v>20</v>
      </c>
      <c r="K40" s="12">
        <v>33</v>
      </c>
      <c r="L40" s="12">
        <v>6</v>
      </c>
    </row>
    <row r="41" spans="1:12" x14ac:dyDescent="0.35">
      <c r="A41" s="12">
        <v>25</v>
      </c>
      <c r="B41" s="11">
        <v>16</v>
      </c>
      <c r="C41" s="12">
        <v>25</v>
      </c>
      <c r="D41" s="12">
        <v>14</v>
      </c>
      <c r="E41" s="12">
        <v>115</v>
      </c>
      <c r="F41" s="12">
        <v>85</v>
      </c>
      <c r="G41" s="12">
        <v>4</v>
      </c>
      <c r="H41" s="12">
        <v>12</v>
      </c>
      <c r="I41" s="12">
        <v>45</v>
      </c>
      <c r="J41">
        <v>20</v>
      </c>
      <c r="K41" s="12">
        <v>33</v>
      </c>
      <c r="L41" s="12">
        <v>6</v>
      </c>
    </row>
    <row r="42" spans="1:12" x14ac:dyDescent="0.35">
      <c r="A42" s="12">
        <v>25</v>
      </c>
      <c r="B42" s="11">
        <v>25</v>
      </c>
      <c r="C42" s="12">
        <v>25</v>
      </c>
      <c r="D42" s="11">
        <v>16</v>
      </c>
      <c r="E42" s="12">
        <v>115</v>
      </c>
      <c r="F42" s="12">
        <v>85</v>
      </c>
      <c r="G42" s="12">
        <v>4</v>
      </c>
      <c r="H42" s="12">
        <v>12</v>
      </c>
      <c r="I42" s="12">
        <v>45</v>
      </c>
      <c r="J42">
        <v>16</v>
      </c>
      <c r="K42" s="12">
        <v>33</v>
      </c>
      <c r="L42" s="12">
        <v>6</v>
      </c>
    </row>
    <row r="43" spans="1:12" x14ac:dyDescent="0.35">
      <c r="A43" s="12">
        <v>25</v>
      </c>
      <c r="B43" s="11">
        <v>40</v>
      </c>
      <c r="C43" s="12">
        <v>25</v>
      </c>
      <c r="D43" s="12">
        <v>16</v>
      </c>
      <c r="E43" s="12">
        <v>115</v>
      </c>
      <c r="F43" s="12">
        <v>85</v>
      </c>
      <c r="G43" s="12">
        <v>4</v>
      </c>
      <c r="H43" s="12">
        <v>12</v>
      </c>
      <c r="I43" s="12">
        <v>45</v>
      </c>
      <c r="J43">
        <v>16</v>
      </c>
      <c r="K43" s="12">
        <v>33</v>
      </c>
      <c r="L43" s="12">
        <v>6</v>
      </c>
    </row>
    <row r="44" spans="1:12" ht="15" customHeight="1" x14ac:dyDescent="0.35">
      <c r="A44" s="12">
        <v>25</v>
      </c>
      <c r="B44" s="11">
        <v>63</v>
      </c>
      <c r="C44" s="12">
        <v>25</v>
      </c>
      <c r="D44" s="11">
        <v>22</v>
      </c>
      <c r="E44" s="11">
        <v>135</v>
      </c>
      <c r="F44" s="11">
        <v>100</v>
      </c>
      <c r="G44" s="12">
        <v>4</v>
      </c>
      <c r="H44" s="13">
        <v>16</v>
      </c>
      <c r="I44" s="11">
        <v>52</v>
      </c>
      <c r="J44">
        <v>28</v>
      </c>
      <c r="K44" s="12">
        <v>33</v>
      </c>
      <c r="L44" s="13">
        <v>8</v>
      </c>
    </row>
    <row r="45" spans="1:12" x14ac:dyDescent="0.35">
      <c r="A45" s="12">
        <v>25</v>
      </c>
      <c r="B45" s="11">
        <v>100</v>
      </c>
      <c r="C45" s="12">
        <v>25</v>
      </c>
      <c r="D45" s="11">
        <v>24</v>
      </c>
      <c r="E45" s="12">
        <v>135</v>
      </c>
      <c r="F45" s="12">
        <v>100</v>
      </c>
      <c r="G45" s="12">
        <v>4</v>
      </c>
      <c r="H45" s="12">
        <v>16</v>
      </c>
      <c r="I45" s="12">
        <v>52</v>
      </c>
      <c r="J45">
        <v>26</v>
      </c>
      <c r="K45" s="12">
        <v>33</v>
      </c>
      <c r="L45" s="12">
        <v>8</v>
      </c>
    </row>
    <row r="46" spans="1:12" ht="15" customHeight="1" x14ac:dyDescent="0.35">
      <c r="A46" s="12">
        <v>25</v>
      </c>
      <c r="B46" s="11">
        <v>160</v>
      </c>
      <c r="C46" s="12">
        <v>25</v>
      </c>
      <c r="D46" s="13">
        <v>24</v>
      </c>
      <c r="E46" s="12">
        <v>135</v>
      </c>
      <c r="F46" s="12">
        <v>100</v>
      </c>
      <c r="G46" s="12">
        <v>4</v>
      </c>
      <c r="H46" s="12">
        <v>16</v>
      </c>
      <c r="I46" s="11">
        <v>52</v>
      </c>
      <c r="J46">
        <v>26</v>
      </c>
      <c r="K46" s="12">
        <v>33</v>
      </c>
      <c r="L46" s="12">
        <v>8</v>
      </c>
    </row>
    <row r="47" spans="1:12" x14ac:dyDescent="0.35">
      <c r="A47" s="12">
        <v>25</v>
      </c>
      <c r="B47" s="11">
        <v>200</v>
      </c>
      <c r="C47" s="12">
        <v>25</v>
      </c>
      <c r="D47" s="11">
        <v>30</v>
      </c>
      <c r="E47" s="11">
        <v>150</v>
      </c>
      <c r="F47" s="11">
        <v>102</v>
      </c>
      <c r="G47" s="11">
        <v>4</v>
      </c>
      <c r="H47" s="11">
        <v>24</v>
      </c>
      <c r="I47" s="11">
        <v>54</v>
      </c>
      <c r="J47">
        <v>24</v>
      </c>
      <c r="K47" s="11">
        <v>36</v>
      </c>
      <c r="L47" s="12">
        <v>8</v>
      </c>
    </row>
    <row r="48" spans="1:12" x14ac:dyDescent="0.35">
      <c r="A48" s="12">
        <v>25</v>
      </c>
      <c r="B48" s="11">
        <v>250</v>
      </c>
      <c r="C48" s="11">
        <v>25</v>
      </c>
      <c r="D48" s="11">
        <v>30</v>
      </c>
      <c r="E48" s="11">
        <v>150</v>
      </c>
      <c r="F48" s="11">
        <v>105</v>
      </c>
      <c r="G48" s="11">
        <v>4</v>
      </c>
      <c r="H48" s="11">
        <v>24</v>
      </c>
      <c r="I48" s="11">
        <v>54</v>
      </c>
      <c r="J48">
        <v>24</v>
      </c>
      <c r="K48" s="11">
        <v>36</v>
      </c>
      <c r="L48" s="12">
        <v>8</v>
      </c>
    </row>
    <row r="49" spans="1:12" ht="15" customHeight="1" x14ac:dyDescent="0.35">
      <c r="A49" s="11">
        <v>32</v>
      </c>
      <c r="B49" s="11">
        <v>1</v>
      </c>
      <c r="C49" s="11">
        <v>31</v>
      </c>
      <c r="D49" s="11">
        <v>10</v>
      </c>
      <c r="E49" s="11">
        <v>120</v>
      </c>
      <c r="F49" s="11">
        <v>90</v>
      </c>
      <c r="G49" s="11">
        <v>4</v>
      </c>
      <c r="H49" s="11">
        <v>12</v>
      </c>
      <c r="I49" s="11">
        <v>50</v>
      </c>
      <c r="J49">
        <v>14</v>
      </c>
      <c r="K49" s="11">
        <v>39</v>
      </c>
      <c r="L49" s="13">
        <v>6</v>
      </c>
    </row>
    <row r="50" spans="1:12" ht="15" customHeight="1" x14ac:dyDescent="0.35">
      <c r="A50" s="12">
        <v>32</v>
      </c>
      <c r="B50" s="11" t="s">
        <v>2399</v>
      </c>
      <c r="C50" s="12">
        <v>31</v>
      </c>
      <c r="D50" s="12">
        <v>10</v>
      </c>
      <c r="E50" s="13">
        <v>120</v>
      </c>
      <c r="F50" s="12">
        <v>90</v>
      </c>
      <c r="G50" s="13">
        <v>4</v>
      </c>
      <c r="H50" s="13">
        <v>12</v>
      </c>
      <c r="I50" s="12">
        <v>50</v>
      </c>
      <c r="J50">
        <v>14</v>
      </c>
      <c r="K50" s="12">
        <v>39</v>
      </c>
      <c r="L50" s="12">
        <v>6</v>
      </c>
    </row>
    <row r="51" spans="1:12" x14ac:dyDescent="0.35">
      <c r="A51" s="12">
        <v>32</v>
      </c>
      <c r="B51" s="11">
        <v>6</v>
      </c>
      <c r="C51" s="12">
        <v>31</v>
      </c>
      <c r="D51" s="11">
        <v>14</v>
      </c>
      <c r="E51" s="12">
        <v>120</v>
      </c>
      <c r="F51" s="12">
        <v>90</v>
      </c>
      <c r="G51" s="12">
        <v>4</v>
      </c>
      <c r="H51" s="12">
        <v>12</v>
      </c>
      <c r="I51" s="12">
        <v>50</v>
      </c>
      <c r="J51">
        <v>15</v>
      </c>
      <c r="K51" s="12">
        <v>39</v>
      </c>
      <c r="L51" s="12">
        <v>6</v>
      </c>
    </row>
    <row r="52" spans="1:12" ht="15" customHeight="1" x14ac:dyDescent="0.35">
      <c r="A52" s="12">
        <v>32</v>
      </c>
      <c r="B52" s="11">
        <v>10</v>
      </c>
      <c r="C52" s="12">
        <v>31</v>
      </c>
      <c r="D52" s="11">
        <v>15</v>
      </c>
      <c r="E52" s="11">
        <v>135</v>
      </c>
      <c r="F52" s="11">
        <v>100</v>
      </c>
      <c r="G52" s="12">
        <v>4</v>
      </c>
      <c r="H52" s="13">
        <v>16</v>
      </c>
      <c r="I52" s="11">
        <v>55</v>
      </c>
      <c r="J52">
        <v>21</v>
      </c>
      <c r="K52" s="12">
        <v>39</v>
      </c>
      <c r="L52" s="12">
        <v>6</v>
      </c>
    </row>
    <row r="53" spans="1:12" x14ac:dyDescent="0.35">
      <c r="A53" s="12">
        <v>32</v>
      </c>
      <c r="B53" s="11">
        <v>16</v>
      </c>
      <c r="C53" s="12">
        <v>31</v>
      </c>
      <c r="D53" s="12">
        <v>15</v>
      </c>
      <c r="E53" s="12">
        <v>135</v>
      </c>
      <c r="F53" s="12">
        <v>100</v>
      </c>
      <c r="G53" s="12">
        <v>4</v>
      </c>
      <c r="H53" s="12">
        <v>16</v>
      </c>
      <c r="I53" s="12">
        <v>55</v>
      </c>
      <c r="J53">
        <v>21</v>
      </c>
      <c r="K53" s="12">
        <v>39</v>
      </c>
      <c r="L53" s="12">
        <v>6</v>
      </c>
    </row>
    <row r="54" spans="1:12" ht="15" customHeight="1" x14ac:dyDescent="0.35">
      <c r="A54" s="12">
        <v>32</v>
      </c>
      <c r="B54" s="11">
        <v>25</v>
      </c>
      <c r="C54" s="12">
        <v>31</v>
      </c>
      <c r="D54" s="13">
        <v>18</v>
      </c>
      <c r="E54" s="12">
        <v>135</v>
      </c>
      <c r="F54" s="12">
        <v>100</v>
      </c>
      <c r="G54" s="12">
        <v>4</v>
      </c>
      <c r="H54" s="12">
        <v>16</v>
      </c>
      <c r="I54" s="11">
        <v>56</v>
      </c>
      <c r="J54">
        <v>21</v>
      </c>
      <c r="K54" s="12">
        <v>39</v>
      </c>
      <c r="L54" s="12">
        <v>6</v>
      </c>
    </row>
    <row r="55" spans="1:12" x14ac:dyDescent="0.35">
      <c r="A55" s="12">
        <v>32</v>
      </c>
      <c r="B55" s="11">
        <v>40</v>
      </c>
      <c r="C55" s="12">
        <v>31</v>
      </c>
      <c r="D55" s="12">
        <v>18</v>
      </c>
      <c r="E55" s="12">
        <v>135</v>
      </c>
      <c r="F55" s="12">
        <v>100</v>
      </c>
      <c r="G55" s="12">
        <v>4</v>
      </c>
      <c r="H55" s="12">
        <v>16</v>
      </c>
      <c r="I55" s="12">
        <v>56</v>
      </c>
      <c r="J55">
        <v>21</v>
      </c>
      <c r="K55" s="12">
        <v>39</v>
      </c>
      <c r="L55" s="12">
        <v>6</v>
      </c>
    </row>
    <row r="56" spans="1:12" ht="15" customHeight="1" x14ac:dyDescent="0.35">
      <c r="A56" s="12">
        <v>32</v>
      </c>
      <c r="B56" s="11">
        <v>63</v>
      </c>
      <c r="C56" s="12">
        <v>31</v>
      </c>
      <c r="D56" s="11">
        <v>23</v>
      </c>
      <c r="E56" s="11">
        <v>150</v>
      </c>
      <c r="F56" s="11">
        <v>110</v>
      </c>
      <c r="G56" s="12">
        <v>4</v>
      </c>
      <c r="H56" s="13">
        <v>20</v>
      </c>
      <c r="I56" s="11">
        <v>64</v>
      </c>
      <c r="J56">
        <v>31</v>
      </c>
      <c r="K56" s="12">
        <v>39</v>
      </c>
      <c r="L56" s="13">
        <v>8</v>
      </c>
    </row>
    <row r="57" spans="1:12" x14ac:dyDescent="0.35">
      <c r="A57" s="12">
        <v>32</v>
      </c>
      <c r="B57" s="11">
        <v>100</v>
      </c>
      <c r="C57" s="12">
        <v>31</v>
      </c>
      <c r="D57" s="11">
        <v>24</v>
      </c>
      <c r="E57" s="12">
        <v>150</v>
      </c>
      <c r="F57" s="12">
        <v>110</v>
      </c>
      <c r="G57" s="12">
        <v>4</v>
      </c>
      <c r="H57" s="12">
        <v>20</v>
      </c>
      <c r="I57" s="12">
        <v>64</v>
      </c>
      <c r="J57">
        <v>30</v>
      </c>
      <c r="K57" s="12">
        <v>39</v>
      </c>
      <c r="L57" s="12">
        <v>8</v>
      </c>
    </row>
    <row r="58" spans="1:12" x14ac:dyDescent="0.35">
      <c r="A58" s="12">
        <v>32</v>
      </c>
      <c r="B58" s="11">
        <v>160</v>
      </c>
      <c r="C58" s="12">
        <v>31</v>
      </c>
      <c r="D58" s="11">
        <v>24</v>
      </c>
      <c r="E58" s="12">
        <v>150</v>
      </c>
      <c r="F58" s="12">
        <v>110</v>
      </c>
      <c r="G58" s="11">
        <v>4</v>
      </c>
      <c r="H58" s="11">
        <v>20</v>
      </c>
      <c r="I58" s="12">
        <v>64</v>
      </c>
      <c r="J58">
        <v>35</v>
      </c>
      <c r="K58" s="12">
        <v>39</v>
      </c>
      <c r="L58" s="12">
        <v>8</v>
      </c>
    </row>
    <row r="59" spans="1:12" x14ac:dyDescent="0.35">
      <c r="A59" s="12">
        <v>32</v>
      </c>
      <c r="B59" s="11">
        <v>200</v>
      </c>
      <c r="C59" s="12">
        <v>31</v>
      </c>
      <c r="D59" s="11">
        <v>32</v>
      </c>
      <c r="E59" s="11">
        <v>160</v>
      </c>
      <c r="F59" s="11">
        <v>115</v>
      </c>
      <c r="G59" s="12">
        <v>4</v>
      </c>
      <c r="H59" s="11">
        <v>24</v>
      </c>
      <c r="I59" s="12">
        <v>64</v>
      </c>
      <c r="J59">
        <v>27</v>
      </c>
      <c r="K59" s="11">
        <v>43</v>
      </c>
      <c r="L59" s="12">
        <v>8</v>
      </c>
    </row>
    <row r="60" spans="1:12" ht="15" customHeight="1" x14ac:dyDescent="0.35">
      <c r="A60" s="12">
        <v>32</v>
      </c>
      <c r="B60" s="11">
        <v>250</v>
      </c>
      <c r="C60" s="12">
        <v>31</v>
      </c>
      <c r="D60" s="11">
        <v>37</v>
      </c>
      <c r="E60" s="12">
        <v>160</v>
      </c>
      <c r="F60" s="12">
        <v>115</v>
      </c>
      <c r="G60" s="12">
        <v>4</v>
      </c>
      <c r="H60" s="12">
        <v>24</v>
      </c>
      <c r="I60" s="12">
        <v>64</v>
      </c>
      <c r="J60">
        <v>26</v>
      </c>
      <c r="K60" s="12">
        <v>43</v>
      </c>
      <c r="L60" s="13">
        <v>9</v>
      </c>
    </row>
    <row r="61" spans="1:12" ht="15" customHeight="1" x14ac:dyDescent="0.35">
      <c r="A61" s="11">
        <v>40</v>
      </c>
      <c r="B61" s="11">
        <v>1</v>
      </c>
      <c r="C61" s="11">
        <v>38</v>
      </c>
      <c r="D61" s="11">
        <v>12</v>
      </c>
      <c r="E61" s="11">
        <v>130</v>
      </c>
      <c r="F61" s="11">
        <v>100</v>
      </c>
      <c r="G61" s="11">
        <v>4</v>
      </c>
      <c r="H61" s="11">
        <v>12</v>
      </c>
      <c r="I61" s="11">
        <v>60</v>
      </c>
      <c r="J61">
        <v>17</v>
      </c>
      <c r="K61" s="11">
        <v>46</v>
      </c>
      <c r="L61" s="13">
        <v>7</v>
      </c>
    </row>
    <row r="62" spans="1:12" ht="15" customHeight="1" x14ac:dyDescent="0.35">
      <c r="A62" s="12">
        <v>40</v>
      </c>
      <c r="B62" s="11" t="s">
        <v>2399</v>
      </c>
      <c r="C62" s="12">
        <v>38</v>
      </c>
      <c r="D62" s="12">
        <v>12</v>
      </c>
      <c r="E62" s="13">
        <v>130</v>
      </c>
      <c r="F62" s="12">
        <v>100</v>
      </c>
      <c r="G62" s="13">
        <v>4</v>
      </c>
      <c r="H62" s="13">
        <v>12</v>
      </c>
      <c r="I62" s="12">
        <v>60</v>
      </c>
      <c r="J62">
        <v>17</v>
      </c>
      <c r="K62" s="12">
        <v>46</v>
      </c>
      <c r="L62" s="12">
        <v>7</v>
      </c>
    </row>
    <row r="63" spans="1:12" x14ac:dyDescent="0.35">
      <c r="A63" s="12">
        <v>40</v>
      </c>
      <c r="B63" s="11">
        <v>6</v>
      </c>
      <c r="C63" s="12">
        <v>38</v>
      </c>
      <c r="D63" s="11">
        <v>15</v>
      </c>
      <c r="E63" s="12">
        <v>130</v>
      </c>
      <c r="F63" s="12">
        <v>100</v>
      </c>
      <c r="G63" s="12">
        <v>4</v>
      </c>
      <c r="H63" s="12">
        <v>12</v>
      </c>
      <c r="I63" s="12">
        <v>60</v>
      </c>
      <c r="J63">
        <v>16</v>
      </c>
      <c r="K63" s="12">
        <v>46</v>
      </c>
      <c r="L63" s="12">
        <v>7</v>
      </c>
    </row>
    <row r="64" spans="1:12" ht="15" customHeight="1" x14ac:dyDescent="0.35">
      <c r="A64" s="12">
        <v>40</v>
      </c>
      <c r="B64" s="11">
        <v>10</v>
      </c>
      <c r="C64" s="12">
        <v>38</v>
      </c>
      <c r="D64" s="11">
        <v>16</v>
      </c>
      <c r="E64" s="11">
        <v>145</v>
      </c>
      <c r="F64" s="11">
        <v>110</v>
      </c>
      <c r="G64" s="12">
        <v>4</v>
      </c>
      <c r="H64" s="13">
        <v>16</v>
      </c>
      <c r="I64" s="11">
        <v>62</v>
      </c>
      <c r="J64">
        <v>22</v>
      </c>
      <c r="K64" s="12">
        <v>46</v>
      </c>
      <c r="L64" s="12">
        <v>7</v>
      </c>
    </row>
    <row r="65" spans="1:12" x14ac:dyDescent="0.35">
      <c r="A65" s="12">
        <v>40</v>
      </c>
      <c r="B65" s="11">
        <v>16</v>
      </c>
      <c r="C65" s="12">
        <v>38</v>
      </c>
      <c r="D65" s="12">
        <v>16</v>
      </c>
      <c r="E65" s="12">
        <v>145</v>
      </c>
      <c r="F65" s="12">
        <v>110</v>
      </c>
      <c r="G65" s="12">
        <v>4</v>
      </c>
      <c r="H65" s="12">
        <v>16</v>
      </c>
      <c r="I65" s="11">
        <v>64</v>
      </c>
      <c r="J65">
        <v>22</v>
      </c>
      <c r="K65" s="12">
        <v>46</v>
      </c>
      <c r="L65" s="12">
        <v>7</v>
      </c>
    </row>
    <row r="66" spans="1:12" x14ac:dyDescent="0.35">
      <c r="A66" s="12">
        <v>40</v>
      </c>
      <c r="B66" s="11">
        <v>25</v>
      </c>
      <c r="C66" s="12">
        <v>38</v>
      </c>
      <c r="D66" s="11">
        <v>19</v>
      </c>
      <c r="E66" s="11">
        <v>145</v>
      </c>
      <c r="F66" s="12">
        <v>110</v>
      </c>
      <c r="G66" s="12">
        <v>4</v>
      </c>
      <c r="H66" s="12">
        <v>16</v>
      </c>
      <c r="I66" s="12">
        <v>64</v>
      </c>
      <c r="J66">
        <v>22</v>
      </c>
      <c r="K66" s="12">
        <v>46</v>
      </c>
      <c r="L66" s="12">
        <v>7</v>
      </c>
    </row>
    <row r="67" spans="1:12" x14ac:dyDescent="0.35">
      <c r="A67" s="12">
        <v>40</v>
      </c>
      <c r="B67" s="11">
        <v>40</v>
      </c>
      <c r="C67" s="12">
        <v>38</v>
      </c>
      <c r="D67" s="12">
        <v>19</v>
      </c>
      <c r="E67" s="12">
        <v>145</v>
      </c>
      <c r="F67" s="12">
        <v>110</v>
      </c>
      <c r="G67" s="12">
        <v>4</v>
      </c>
      <c r="H67" s="12">
        <v>16</v>
      </c>
      <c r="I67" s="12">
        <v>64</v>
      </c>
      <c r="J67">
        <v>22</v>
      </c>
      <c r="K67" s="12">
        <v>46</v>
      </c>
      <c r="L67" s="12">
        <v>7</v>
      </c>
    </row>
    <row r="68" spans="1:12" ht="15" customHeight="1" x14ac:dyDescent="0.35">
      <c r="A68" s="12">
        <v>40</v>
      </c>
      <c r="B68" s="11">
        <v>63</v>
      </c>
      <c r="C68" s="11">
        <v>37</v>
      </c>
      <c r="D68" s="11">
        <v>24</v>
      </c>
      <c r="E68" s="11">
        <v>165</v>
      </c>
      <c r="F68" s="11">
        <v>125</v>
      </c>
      <c r="G68" s="12">
        <v>4</v>
      </c>
      <c r="H68" s="13">
        <v>20</v>
      </c>
      <c r="I68" s="11">
        <v>74</v>
      </c>
      <c r="J68">
        <v>34</v>
      </c>
      <c r="K68" s="12">
        <v>46</v>
      </c>
      <c r="L68" s="13">
        <v>10</v>
      </c>
    </row>
    <row r="69" spans="1:12" x14ac:dyDescent="0.35">
      <c r="A69" s="12">
        <v>40</v>
      </c>
      <c r="B69" s="11">
        <v>100</v>
      </c>
      <c r="C69" s="12">
        <v>37</v>
      </c>
      <c r="D69" s="11">
        <v>26</v>
      </c>
      <c r="E69" s="12">
        <v>165</v>
      </c>
      <c r="F69" s="12">
        <v>125</v>
      </c>
      <c r="G69" s="12">
        <v>4</v>
      </c>
      <c r="H69" s="12">
        <v>20</v>
      </c>
      <c r="I69" s="11">
        <v>76</v>
      </c>
      <c r="J69">
        <v>34</v>
      </c>
      <c r="K69" s="12">
        <v>46</v>
      </c>
      <c r="L69" s="12">
        <v>10</v>
      </c>
    </row>
    <row r="70" spans="1:12" ht="15" customHeight="1" x14ac:dyDescent="0.35">
      <c r="A70" s="12">
        <v>40</v>
      </c>
      <c r="B70" s="11">
        <v>160</v>
      </c>
      <c r="C70" s="12">
        <v>37</v>
      </c>
      <c r="D70" s="13">
        <v>28</v>
      </c>
      <c r="E70" s="12">
        <v>165</v>
      </c>
      <c r="F70" s="12">
        <v>125</v>
      </c>
      <c r="G70" s="12">
        <v>4</v>
      </c>
      <c r="H70" s="12">
        <v>20</v>
      </c>
      <c r="I70" s="12">
        <v>76</v>
      </c>
      <c r="J70">
        <v>37</v>
      </c>
      <c r="K70" s="12">
        <v>46</v>
      </c>
      <c r="L70" s="12">
        <v>10</v>
      </c>
    </row>
    <row r="71" spans="1:12" x14ac:dyDescent="0.35">
      <c r="A71" s="12">
        <v>40</v>
      </c>
      <c r="B71" s="11">
        <v>200</v>
      </c>
      <c r="C71" s="11">
        <v>36</v>
      </c>
      <c r="D71" s="11">
        <v>34</v>
      </c>
      <c r="E71" s="11">
        <v>170</v>
      </c>
      <c r="F71" s="11">
        <v>124</v>
      </c>
      <c r="G71" s="11">
        <v>4</v>
      </c>
      <c r="H71" s="11">
        <v>24</v>
      </c>
      <c r="I71" s="11">
        <v>74</v>
      </c>
      <c r="J71">
        <v>31</v>
      </c>
      <c r="K71" s="11">
        <v>49</v>
      </c>
      <c r="L71" s="12">
        <v>10</v>
      </c>
    </row>
    <row r="72" spans="1:12" x14ac:dyDescent="0.35">
      <c r="A72" s="12">
        <v>40</v>
      </c>
      <c r="B72" s="11">
        <v>250</v>
      </c>
      <c r="C72" s="11">
        <v>36</v>
      </c>
      <c r="D72" s="11">
        <v>34</v>
      </c>
      <c r="E72" s="11">
        <v>170</v>
      </c>
      <c r="F72" s="11">
        <v>135</v>
      </c>
      <c r="G72" s="11">
        <v>4</v>
      </c>
      <c r="H72" s="11">
        <v>24</v>
      </c>
      <c r="I72" s="11">
        <v>74</v>
      </c>
      <c r="J72">
        <v>31</v>
      </c>
      <c r="K72" s="11">
        <v>49</v>
      </c>
      <c r="L72" s="12">
        <v>10</v>
      </c>
    </row>
    <row r="73" spans="1:12" ht="15" customHeight="1" x14ac:dyDescent="0.35">
      <c r="A73" s="11">
        <v>50</v>
      </c>
      <c r="B73" s="11">
        <v>1</v>
      </c>
      <c r="C73" s="11">
        <v>49</v>
      </c>
      <c r="D73" s="11">
        <v>12</v>
      </c>
      <c r="E73" s="11">
        <v>140</v>
      </c>
      <c r="F73" s="11">
        <v>110</v>
      </c>
      <c r="G73" s="11">
        <v>4</v>
      </c>
      <c r="H73" s="11">
        <v>12</v>
      </c>
      <c r="I73" s="11">
        <v>70</v>
      </c>
      <c r="J73">
        <v>16</v>
      </c>
      <c r="K73" s="11">
        <v>58</v>
      </c>
      <c r="L73" s="13">
        <v>8</v>
      </c>
    </row>
    <row r="74" spans="1:12" ht="15" customHeight="1" x14ac:dyDescent="0.35">
      <c r="A74" s="12">
        <v>50</v>
      </c>
      <c r="B74" s="11" t="s">
        <v>2399</v>
      </c>
      <c r="C74" s="12">
        <v>49</v>
      </c>
      <c r="D74" s="12">
        <v>12</v>
      </c>
      <c r="E74" s="13">
        <v>140</v>
      </c>
      <c r="F74" s="12">
        <v>110</v>
      </c>
      <c r="G74" s="13">
        <v>4</v>
      </c>
      <c r="H74" s="13">
        <v>12</v>
      </c>
      <c r="I74" s="12">
        <v>70</v>
      </c>
      <c r="J74">
        <v>16</v>
      </c>
      <c r="K74" s="12">
        <v>58</v>
      </c>
      <c r="L74" s="12">
        <v>8</v>
      </c>
    </row>
    <row r="75" spans="1:12" x14ac:dyDescent="0.35">
      <c r="A75" s="12">
        <v>50</v>
      </c>
      <c r="B75" s="11">
        <v>6</v>
      </c>
      <c r="C75" s="12">
        <v>49</v>
      </c>
      <c r="D75" s="11">
        <v>15</v>
      </c>
      <c r="E75" s="12">
        <v>140</v>
      </c>
      <c r="F75" s="12">
        <v>110</v>
      </c>
      <c r="G75" s="12">
        <v>4</v>
      </c>
      <c r="H75" s="12">
        <v>12</v>
      </c>
      <c r="I75" s="12">
        <v>70</v>
      </c>
      <c r="J75">
        <v>15</v>
      </c>
      <c r="K75" s="12">
        <v>58</v>
      </c>
      <c r="L75" s="12">
        <v>8</v>
      </c>
    </row>
    <row r="76" spans="1:12" ht="15" customHeight="1" x14ac:dyDescent="0.35">
      <c r="A76" s="12">
        <v>50</v>
      </c>
      <c r="B76" s="11">
        <v>10</v>
      </c>
      <c r="C76" s="12">
        <v>49</v>
      </c>
      <c r="D76" s="11">
        <v>16</v>
      </c>
      <c r="E76" s="11">
        <v>160</v>
      </c>
      <c r="F76" s="11">
        <v>125</v>
      </c>
      <c r="G76" s="12">
        <v>4</v>
      </c>
      <c r="H76" s="13">
        <v>16</v>
      </c>
      <c r="I76" s="11">
        <v>76</v>
      </c>
      <c r="J76">
        <v>21</v>
      </c>
      <c r="K76" s="12">
        <v>58</v>
      </c>
      <c r="L76" s="12">
        <v>8</v>
      </c>
    </row>
    <row r="77" spans="1:12" x14ac:dyDescent="0.35">
      <c r="A77" s="12">
        <v>50</v>
      </c>
      <c r="B77" s="11">
        <v>16</v>
      </c>
      <c r="C77" s="12">
        <v>49</v>
      </c>
      <c r="D77" s="12">
        <v>16</v>
      </c>
      <c r="E77" s="12">
        <v>160</v>
      </c>
      <c r="F77" s="12">
        <v>125</v>
      </c>
      <c r="G77" s="12">
        <v>4</v>
      </c>
      <c r="H77" s="12">
        <v>16</v>
      </c>
      <c r="I77" s="12">
        <v>76</v>
      </c>
      <c r="J77">
        <v>24</v>
      </c>
      <c r="K77" s="12">
        <v>58</v>
      </c>
      <c r="L77" s="12">
        <v>8</v>
      </c>
    </row>
    <row r="78" spans="1:12" ht="15" customHeight="1" x14ac:dyDescent="0.35">
      <c r="A78" s="12">
        <v>50</v>
      </c>
      <c r="B78" s="11">
        <v>25</v>
      </c>
      <c r="C78" s="12">
        <v>49</v>
      </c>
      <c r="D78" s="13">
        <v>20</v>
      </c>
      <c r="E78" s="12">
        <v>160</v>
      </c>
      <c r="F78" s="12">
        <v>125</v>
      </c>
      <c r="G78" s="12">
        <v>4</v>
      </c>
      <c r="H78" s="12">
        <v>16</v>
      </c>
      <c r="I78" s="12">
        <v>76</v>
      </c>
      <c r="J78">
        <v>20</v>
      </c>
      <c r="K78" s="12">
        <v>58</v>
      </c>
      <c r="L78" s="12">
        <v>8</v>
      </c>
    </row>
    <row r="79" spans="1:12" x14ac:dyDescent="0.35">
      <c r="A79" s="12">
        <v>50</v>
      </c>
      <c r="B79" s="11">
        <v>40</v>
      </c>
      <c r="C79" s="11">
        <v>48</v>
      </c>
      <c r="D79" s="12">
        <v>20</v>
      </c>
      <c r="E79" s="12">
        <v>160</v>
      </c>
      <c r="F79" s="12">
        <v>125</v>
      </c>
      <c r="G79" s="12">
        <v>4</v>
      </c>
      <c r="H79" s="12">
        <v>16</v>
      </c>
      <c r="I79" s="12">
        <v>76</v>
      </c>
      <c r="J79">
        <v>20</v>
      </c>
      <c r="K79" s="12">
        <v>58</v>
      </c>
      <c r="L79" s="12">
        <v>8</v>
      </c>
    </row>
    <row r="80" spans="1:12" ht="15" customHeight="1" x14ac:dyDescent="0.35">
      <c r="A80" s="12">
        <v>50</v>
      </c>
      <c r="B80" s="11">
        <v>63</v>
      </c>
      <c r="C80" s="11">
        <v>47</v>
      </c>
      <c r="D80" s="13">
        <v>26</v>
      </c>
      <c r="E80" s="11">
        <v>175</v>
      </c>
      <c r="F80" s="11">
        <v>135</v>
      </c>
      <c r="G80" s="12">
        <v>4</v>
      </c>
      <c r="H80" s="13">
        <v>20</v>
      </c>
      <c r="I80" s="11">
        <v>86</v>
      </c>
      <c r="J80">
        <v>34</v>
      </c>
      <c r="K80" s="12">
        <v>58</v>
      </c>
      <c r="L80" s="13">
        <v>10</v>
      </c>
    </row>
    <row r="81" spans="1:12" ht="15" customHeight="1" x14ac:dyDescent="0.35">
      <c r="A81" s="12">
        <v>50</v>
      </c>
      <c r="B81" s="11">
        <v>100</v>
      </c>
      <c r="C81" s="11">
        <v>45</v>
      </c>
      <c r="D81" s="13">
        <v>28</v>
      </c>
      <c r="E81" s="13">
        <v>195</v>
      </c>
      <c r="F81" s="11">
        <v>145</v>
      </c>
      <c r="G81" s="12">
        <v>4</v>
      </c>
      <c r="H81" s="13">
        <v>24</v>
      </c>
      <c r="I81" s="12">
        <v>86</v>
      </c>
      <c r="J81">
        <v>33</v>
      </c>
      <c r="K81" s="12">
        <v>58</v>
      </c>
      <c r="L81" s="12">
        <v>10</v>
      </c>
    </row>
    <row r="82" spans="1:12" ht="15" customHeight="1" x14ac:dyDescent="0.35">
      <c r="A82" s="12">
        <v>50</v>
      </c>
      <c r="B82" s="11">
        <v>160</v>
      </c>
      <c r="C82" s="12">
        <v>45</v>
      </c>
      <c r="D82" s="13">
        <v>30</v>
      </c>
      <c r="E82" s="12">
        <v>195</v>
      </c>
      <c r="F82" s="12">
        <v>145</v>
      </c>
      <c r="G82" s="12">
        <v>4</v>
      </c>
      <c r="H82" s="12">
        <v>24</v>
      </c>
      <c r="I82" s="12">
        <v>86</v>
      </c>
      <c r="J82">
        <v>38</v>
      </c>
      <c r="K82" s="12">
        <v>58</v>
      </c>
      <c r="L82" s="12">
        <v>10</v>
      </c>
    </row>
    <row r="83" spans="1:12" x14ac:dyDescent="0.35">
      <c r="A83" s="12">
        <v>50</v>
      </c>
      <c r="B83" s="11">
        <v>200</v>
      </c>
      <c r="C83" s="11">
        <v>46</v>
      </c>
      <c r="D83" s="11">
        <v>40</v>
      </c>
      <c r="E83" s="11">
        <v>210</v>
      </c>
      <c r="F83" s="11">
        <v>160</v>
      </c>
      <c r="G83" s="11">
        <v>8</v>
      </c>
      <c r="H83" s="11">
        <v>24</v>
      </c>
      <c r="I83" s="11">
        <v>105</v>
      </c>
      <c r="J83">
        <v>48</v>
      </c>
      <c r="K83" s="11">
        <v>61</v>
      </c>
      <c r="L83" s="12">
        <v>10</v>
      </c>
    </row>
    <row r="84" spans="1:12" x14ac:dyDescent="0.35">
      <c r="A84" s="12">
        <v>50</v>
      </c>
      <c r="B84" s="11">
        <v>250</v>
      </c>
      <c r="C84" s="11">
        <v>46</v>
      </c>
      <c r="D84" s="11">
        <v>40</v>
      </c>
      <c r="E84" s="11">
        <v>210</v>
      </c>
      <c r="F84" s="11">
        <v>150</v>
      </c>
      <c r="G84" s="11">
        <v>8</v>
      </c>
      <c r="H84" s="11">
        <v>24</v>
      </c>
      <c r="I84" s="11">
        <v>105</v>
      </c>
      <c r="J84">
        <v>48</v>
      </c>
      <c r="K84" s="11">
        <v>61</v>
      </c>
      <c r="L84" s="12">
        <v>10</v>
      </c>
    </row>
    <row r="85" spans="1:12" ht="15" customHeight="1" x14ac:dyDescent="0.35">
      <c r="A85" s="11">
        <v>65</v>
      </c>
      <c r="B85" s="11">
        <v>1</v>
      </c>
      <c r="C85" s="11">
        <v>66</v>
      </c>
      <c r="D85" s="11">
        <v>12</v>
      </c>
      <c r="E85" s="11">
        <v>160</v>
      </c>
      <c r="F85" s="11">
        <v>130</v>
      </c>
      <c r="G85" s="13">
        <v>4</v>
      </c>
      <c r="H85" s="11">
        <v>12</v>
      </c>
      <c r="I85" s="11">
        <v>88</v>
      </c>
      <c r="J85">
        <v>15</v>
      </c>
      <c r="K85" s="11">
        <v>77</v>
      </c>
      <c r="L85" s="13">
        <v>9</v>
      </c>
    </row>
    <row r="86" spans="1:12" ht="15" customHeight="1" x14ac:dyDescent="0.35">
      <c r="A86" s="12">
        <v>65</v>
      </c>
      <c r="B86" s="11" t="s">
        <v>2399</v>
      </c>
      <c r="C86" s="12">
        <v>66</v>
      </c>
      <c r="D86" s="12">
        <v>12</v>
      </c>
      <c r="E86" s="13">
        <v>160</v>
      </c>
      <c r="F86" s="12">
        <v>130</v>
      </c>
      <c r="G86" s="12">
        <v>4</v>
      </c>
      <c r="H86" s="13">
        <v>12</v>
      </c>
      <c r="I86" s="12">
        <v>88</v>
      </c>
      <c r="J86">
        <v>15</v>
      </c>
      <c r="K86" s="12">
        <v>77</v>
      </c>
      <c r="L86" s="12">
        <v>9</v>
      </c>
    </row>
    <row r="87" spans="1:12" x14ac:dyDescent="0.35">
      <c r="A87" s="12">
        <v>65</v>
      </c>
      <c r="B87" s="11">
        <v>6</v>
      </c>
      <c r="C87" s="12">
        <v>66</v>
      </c>
      <c r="D87" s="11">
        <v>15</v>
      </c>
      <c r="E87" s="12">
        <v>160</v>
      </c>
      <c r="F87" s="12">
        <v>130</v>
      </c>
      <c r="G87" s="12">
        <v>4</v>
      </c>
      <c r="H87" s="12">
        <v>12</v>
      </c>
      <c r="I87" s="12">
        <v>88</v>
      </c>
      <c r="J87">
        <v>14</v>
      </c>
      <c r="K87" s="12">
        <v>77</v>
      </c>
      <c r="L87" s="12">
        <v>9</v>
      </c>
    </row>
    <row r="88" spans="1:12" ht="15" customHeight="1" x14ac:dyDescent="0.35">
      <c r="A88" s="12">
        <v>65</v>
      </c>
      <c r="B88" s="11">
        <v>10</v>
      </c>
      <c r="C88" s="12">
        <v>66</v>
      </c>
      <c r="D88" s="13">
        <v>18</v>
      </c>
      <c r="E88" s="11">
        <v>180</v>
      </c>
      <c r="F88" s="11">
        <v>145</v>
      </c>
      <c r="G88" s="11">
        <v>4</v>
      </c>
      <c r="H88" s="13">
        <v>16</v>
      </c>
      <c r="I88" s="11">
        <v>94</v>
      </c>
      <c r="J88">
        <v>20</v>
      </c>
      <c r="K88" s="12">
        <v>77</v>
      </c>
      <c r="L88" s="13">
        <v>10</v>
      </c>
    </row>
    <row r="89" spans="1:12" x14ac:dyDescent="0.35">
      <c r="A89" s="12">
        <v>65</v>
      </c>
      <c r="B89" s="11">
        <v>16</v>
      </c>
      <c r="C89" s="12">
        <v>66</v>
      </c>
      <c r="D89" s="12">
        <v>18</v>
      </c>
      <c r="E89" s="12">
        <v>180</v>
      </c>
      <c r="F89" s="12">
        <v>145</v>
      </c>
      <c r="G89" s="12">
        <v>4</v>
      </c>
      <c r="H89" s="12">
        <v>16</v>
      </c>
      <c r="I89" s="12">
        <v>94</v>
      </c>
      <c r="J89">
        <v>22</v>
      </c>
      <c r="K89" s="12">
        <v>77</v>
      </c>
      <c r="L89" s="12">
        <v>10</v>
      </c>
    </row>
    <row r="90" spans="1:12" ht="15" customHeight="1" x14ac:dyDescent="0.35">
      <c r="A90" s="12">
        <v>65</v>
      </c>
      <c r="B90" s="11">
        <v>25</v>
      </c>
      <c r="C90" s="12">
        <v>66</v>
      </c>
      <c r="D90" s="13">
        <v>22</v>
      </c>
      <c r="E90" s="12">
        <v>180</v>
      </c>
      <c r="F90" s="11">
        <v>145</v>
      </c>
      <c r="G90" s="13">
        <v>8</v>
      </c>
      <c r="H90" s="12">
        <v>16</v>
      </c>
      <c r="I90" s="11">
        <v>96</v>
      </c>
      <c r="J90">
        <v>21</v>
      </c>
      <c r="K90" s="12">
        <v>77</v>
      </c>
      <c r="L90" s="12">
        <v>10</v>
      </c>
    </row>
    <row r="91" spans="1:12" x14ac:dyDescent="0.35">
      <c r="A91" s="12">
        <v>65</v>
      </c>
      <c r="B91" s="11">
        <v>40</v>
      </c>
      <c r="C91" s="12">
        <v>66</v>
      </c>
      <c r="D91" s="12">
        <v>22</v>
      </c>
      <c r="E91" s="12">
        <v>180</v>
      </c>
      <c r="F91" s="12">
        <v>145</v>
      </c>
      <c r="G91" s="12">
        <v>8</v>
      </c>
      <c r="H91" s="12">
        <v>16</v>
      </c>
      <c r="I91" s="12">
        <v>96</v>
      </c>
      <c r="J91">
        <v>21</v>
      </c>
      <c r="K91" s="12">
        <v>77</v>
      </c>
      <c r="L91" s="12">
        <v>10</v>
      </c>
    </row>
    <row r="92" spans="1:12" ht="15" customHeight="1" x14ac:dyDescent="0.35">
      <c r="A92" s="12">
        <v>65</v>
      </c>
      <c r="B92" s="11">
        <v>63</v>
      </c>
      <c r="C92" s="11">
        <v>64</v>
      </c>
      <c r="D92" s="11">
        <v>28</v>
      </c>
      <c r="E92" s="11">
        <v>200</v>
      </c>
      <c r="F92" s="11">
        <v>160</v>
      </c>
      <c r="G92" s="12">
        <v>8</v>
      </c>
      <c r="H92" s="13">
        <v>20</v>
      </c>
      <c r="I92" s="11">
        <v>106</v>
      </c>
      <c r="J92">
        <v>35</v>
      </c>
      <c r="K92" s="12">
        <v>77</v>
      </c>
      <c r="L92" s="13">
        <v>12</v>
      </c>
    </row>
    <row r="93" spans="1:12" ht="15" customHeight="1" x14ac:dyDescent="0.35">
      <c r="A93" s="12">
        <v>65</v>
      </c>
      <c r="B93" s="11">
        <v>100</v>
      </c>
      <c r="C93" s="11">
        <v>62</v>
      </c>
      <c r="D93" s="11">
        <v>32</v>
      </c>
      <c r="E93" s="13">
        <v>220</v>
      </c>
      <c r="F93" s="11">
        <v>170</v>
      </c>
      <c r="G93" s="12">
        <v>8</v>
      </c>
      <c r="H93" s="13">
        <v>24</v>
      </c>
      <c r="I93" s="11">
        <v>110</v>
      </c>
      <c r="J93">
        <v>39</v>
      </c>
      <c r="K93" s="12">
        <v>77</v>
      </c>
      <c r="L93" s="12">
        <v>12</v>
      </c>
    </row>
    <row r="94" spans="1:12" ht="15" customHeight="1" x14ac:dyDescent="0.35">
      <c r="A94" s="12">
        <v>65</v>
      </c>
      <c r="B94" s="11">
        <v>160</v>
      </c>
      <c r="C94" s="12">
        <v>62</v>
      </c>
      <c r="D94" s="13">
        <v>34</v>
      </c>
      <c r="E94" s="12">
        <v>220</v>
      </c>
      <c r="F94" s="12">
        <v>170</v>
      </c>
      <c r="G94" s="12">
        <v>8</v>
      </c>
      <c r="H94" s="12">
        <v>24</v>
      </c>
      <c r="I94" s="12">
        <v>110</v>
      </c>
      <c r="J94">
        <v>42</v>
      </c>
      <c r="K94" s="12">
        <v>77</v>
      </c>
      <c r="L94" s="12">
        <v>12</v>
      </c>
    </row>
    <row r="95" spans="1:12" x14ac:dyDescent="0.35">
      <c r="A95" s="12">
        <v>65</v>
      </c>
      <c r="B95" s="11">
        <v>200</v>
      </c>
      <c r="C95" s="11">
        <v>68</v>
      </c>
      <c r="D95" s="11">
        <v>48</v>
      </c>
      <c r="E95" s="11">
        <v>260</v>
      </c>
      <c r="F95" s="11">
        <v>203</v>
      </c>
      <c r="G95" s="11">
        <v>8</v>
      </c>
      <c r="H95" s="11">
        <v>27</v>
      </c>
      <c r="I95" s="11">
        <v>138</v>
      </c>
      <c r="J95">
        <v>61</v>
      </c>
      <c r="K95" s="11">
        <v>90</v>
      </c>
      <c r="L95" s="12">
        <v>12</v>
      </c>
    </row>
    <row r="96" spans="1:12" x14ac:dyDescent="0.35">
      <c r="A96" s="12">
        <v>65</v>
      </c>
      <c r="B96" s="11">
        <v>250</v>
      </c>
      <c r="C96" s="11">
        <v>68</v>
      </c>
      <c r="D96" s="11">
        <v>48</v>
      </c>
      <c r="E96" s="11">
        <v>260</v>
      </c>
      <c r="F96" s="11">
        <v>180</v>
      </c>
      <c r="G96" s="11">
        <v>8</v>
      </c>
      <c r="H96" s="11">
        <v>27</v>
      </c>
      <c r="I96" s="11">
        <v>138</v>
      </c>
      <c r="J96">
        <v>61</v>
      </c>
      <c r="K96" s="11">
        <v>90</v>
      </c>
      <c r="L96" s="12">
        <v>12</v>
      </c>
    </row>
    <row r="97" spans="1:12" ht="15" customHeight="1" x14ac:dyDescent="0.35">
      <c r="A97" s="11">
        <v>80</v>
      </c>
      <c r="B97" s="11">
        <v>1</v>
      </c>
      <c r="C97" s="11">
        <v>78</v>
      </c>
      <c r="D97" s="11">
        <v>14</v>
      </c>
      <c r="E97" s="11">
        <v>185</v>
      </c>
      <c r="F97" s="11">
        <v>150</v>
      </c>
      <c r="G97" s="11">
        <v>4</v>
      </c>
      <c r="H97" s="11">
        <v>16</v>
      </c>
      <c r="I97" s="11">
        <v>102</v>
      </c>
      <c r="J97">
        <v>14</v>
      </c>
      <c r="K97" s="11">
        <v>90</v>
      </c>
      <c r="L97" s="13">
        <v>10</v>
      </c>
    </row>
    <row r="98" spans="1:12" ht="15" customHeight="1" x14ac:dyDescent="0.35">
      <c r="A98" s="12">
        <v>80</v>
      </c>
      <c r="B98" s="11" t="s">
        <v>2399</v>
      </c>
      <c r="C98" s="12">
        <v>78</v>
      </c>
      <c r="D98" s="12">
        <v>14</v>
      </c>
      <c r="E98" s="12">
        <v>185</v>
      </c>
      <c r="F98" s="12">
        <v>150</v>
      </c>
      <c r="G98" s="13">
        <v>4</v>
      </c>
      <c r="H98" s="13">
        <v>16</v>
      </c>
      <c r="I98" s="12">
        <v>102</v>
      </c>
      <c r="J98">
        <v>14</v>
      </c>
      <c r="K98" s="12">
        <v>90</v>
      </c>
      <c r="L98" s="12">
        <v>10</v>
      </c>
    </row>
    <row r="99" spans="1:12" x14ac:dyDescent="0.35">
      <c r="A99" s="12">
        <v>80</v>
      </c>
      <c r="B99" s="11">
        <v>6</v>
      </c>
      <c r="C99" s="12">
        <v>78</v>
      </c>
      <c r="D99" s="11">
        <v>16</v>
      </c>
      <c r="E99" s="12">
        <v>185</v>
      </c>
      <c r="F99" s="12">
        <v>150</v>
      </c>
      <c r="G99" s="12">
        <v>4</v>
      </c>
      <c r="H99" s="12">
        <v>16</v>
      </c>
      <c r="I99" s="12">
        <v>102</v>
      </c>
      <c r="J99">
        <v>14</v>
      </c>
      <c r="K99" s="12">
        <v>90</v>
      </c>
      <c r="L99" s="12">
        <v>10</v>
      </c>
    </row>
    <row r="100" spans="1:12" x14ac:dyDescent="0.35">
      <c r="A100" s="12">
        <v>80</v>
      </c>
      <c r="B100" s="11">
        <v>10</v>
      </c>
      <c r="C100" s="12">
        <v>78</v>
      </c>
      <c r="D100" s="11">
        <v>18</v>
      </c>
      <c r="E100" s="11">
        <v>195</v>
      </c>
      <c r="F100" s="11">
        <v>160</v>
      </c>
      <c r="G100" s="11">
        <v>4</v>
      </c>
      <c r="H100" s="12">
        <v>16</v>
      </c>
      <c r="I100" s="11">
        <v>105</v>
      </c>
      <c r="J100">
        <v>22</v>
      </c>
      <c r="K100" s="12">
        <v>90</v>
      </c>
      <c r="L100" s="12">
        <v>10</v>
      </c>
    </row>
    <row r="101" spans="1:12" x14ac:dyDescent="0.35">
      <c r="A101" s="12">
        <v>80</v>
      </c>
      <c r="B101" s="11">
        <v>16</v>
      </c>
      <c r="C101" s="12">
        <v>78</v>
      </c>
      <c r="D101" s="11">
        <v>20</v>
      </c>
      <c r="E101" s="12">
        <v>195</v>
      </c>
      <c r="F101" s="12">
        <v>160</v>
      </c>
      <c r="G101" s="12">
        <v>4</v>
      </c>
      <c r="H101" s="12">
        <v>16</v>
      </c>
      <c r="I101" s="11">
        <v>110</v>
      </c>
      <c r="J101">
        <v>23</v>
      </c>
      <c r="K101" s="12">
        <v>90</v>
      </c>
      <c r="L101" s="12">
        <v>10</v>
      </c>
    </row>
    <row r="102" spans="1:12" ht="15" customHeight="1" x14ac:dyDescent="0.35">
      <c r="A102" s="12">
        <v>80</v>
      </c>
      <c r="B102" s="11">
        <v>25</v>
      </c>
      <c r="C102" s="12">
        <v>78</v>
      </c>
      <c r="D102" s="11">
        <v>22</v>
      </c>
      <c r="E102" s="12">
        <v>195</v>
      </c>
      <c r="F102" s="12">
        <v>160</v>
      </c>
      <c r="G102" s="13">
        <v>8</v>
      </c>
      <c r="H102" s="12">
        <v>16</v>
      </c>
      <c r="I102" s="12">
        <v>110</v>
      </c>
      <c r="J102">
        <v>21</v>
      </c>
      <c r="K102" s="12">
        <v>90</v>
      </c>
      <c r="L102" s="13">
        <v>12</v>
      </c>
    </row>
    <row r="103" spans="1:12" x14ac:dyDescent="0.35">
      <c r="A103" s="12">
        <v>80</v>
      </c>
      <c r="B103" s="11">
        <v>40</v>
      </c>
      <c r="C103" s="12">
        <v>78</v>
      </c>
      <c r="D103" s="11">
        <v>24</v>
      </c>
      <c r="E103" s="12">
        <v>195</v>
      </c>
      <c r="F103" s="12">
        <v>160</v>
      </c>
      <c r="G103" s="12">
        <v>8</v>
      </c>
      <c r="H103" s="12">
        <v>16</v>
      </c>
      <c r="I103" s="11">
        <v>112</v>
      </c>
      <c r="J103">
        <v>22</v>
      </c>
      <c r="K103" s="12">
        <v>90</v>
      </c>
      <c r="L103" s="12">
        <v>12</v>
      </c>
    </row>
    <row r="104" spans="1:12" ht="15" customHeight="1" x14ac:dyDescent="0.35">
      <c r="A104" s="12">
        <v>80</v>
      </c>
      <c r="B104" s="11">
        <v>63</v>
      </c>
      <c r="C104" s="11">
        <v>77</v>
      </c>
      <c r="D104" s="11">
        <v>30</v>
      </c>
      <c r="E104" s="11">
        <v>210</v>
      </c>
      <c r="F104" s="11">
        <v>170</v>
      </c>
      <c r="G104" s="12">
        <v>8</v>
      </c>
      <c r="H104" s="13">
        <v>20</v>
      </c>
      <c r="I104" s="11">
        <v>120</v>
      </c>
      <c r="J104">
        <v>33</v>
      </c>
      <c r="K104" s="12">
        <v>90</v>
      </c>
      <c r="L104" s="12">
        <v>12</v>
      </c>
    </row>
    <row r="105" spans="1:12" ht="15" customHeight="1" x14ac:dyDescent="0.35">
      <c r="A105" s="12">
        <v>80</v>
      </c>
      <c r="B105" s="11">
        <v>100</v>
      </c>
      <c r="C105" s="11">
        <v>75</v>
      </c>
      <c r="D105" s="11">
        <v>34</v>
      </c>
      <c r="E105" s="13">
        <v>230</v>
      </c>
      <c r="F105" s="11">
        <v>180</v>
      </c>
      <c r="G105" s="12">
        <v>8</v>
      </c>
      <c r="H105" s="13">
        <v>24</v>
      </c>
      <c r="I105" s="11">
        <v>124</v>
      </c>
      <c r="J105">
        <v>44</v>
      </c>
      <c r="K105" s="12">
        <v>90</v>
      </c>
      <c r="L105" s="12">
        <v>12</v>
      </c>
    </row>
    <row r="106" spans="1:12" ht="15" customHeight="1" x14ac:dyDescent="0.35">
      <c r="A106" s="12">
        <v>80</v>
      </c>
      <c r="B106" s="11">
        <v>160</v>
      </c>
      <c r="C106" s="12">
        <v>75</v>
      </c>
      <c r="D106" s="13">
        <v>36</v>
      </c>
      <c r="E106" s="12">
        <v>230</v>
      </c>
      <c r="F106" s="12">
        <v>180</v>
      </c>
      <c r="G106" s="12">
        <v>8</v>
      </c>
      <c r="H106" s="12">
        <v>24</v>
      </c>
      <c r="I106" s="12">
        <v>124</v>
      </c>
      <c r="J106">
        <v>45</v>
      </c>
      <c r="K106" s="12">
        <v>90</v>
      </c>
      <c r="L106" s="12">
        <v>12</v>
      </c>
    </row>
    <row r="107" spans="1:12" x14ac:dyDescent="0.35">
      <c r="A107" s="12">
        <v>80</v>
      </c>
      <c r="B107" s="11">
        <v>200</v>
      </c>
      <c r="C107" s="11">
        <v>80</v>
      </c>
      <c r="D107" s="11">
        <v>54</v>
      </c>
      <c r="E107" s="11">
        <v>290</v>
      </c>
      <c r="F107" s="11">
        <v>230</v>
      </c>
      <c r="G107" s="11">
        <v>8</v>
      </c>
      <c r="H107" s="11">
        <v>30</v>
      </c>
      <c r="I107" s="11">
        <v>162</v>
      </c>
      <c r="J107">
        <v>69</v>
      </c>
      <c r="K107" s="11">
        <v>110</v>
      </c>
      <c r="L107" s="12">
        <v>12</v>
      </c>
    </row>
    <row r="108" spans="1:12" x14ac:dyDescent="0.35">
      <c r="A108" s="12">
        <v>80</v>
      </c>
      <c r="B108" s="11">
        <v>250</v>
      </c>
      <c r="C108" s="11">
        <v>80</v>
      </c>
      <c r="D108" s="11">
        <v>54</v>
      </c>
      <c r="E108" s="11">
        <v>290</v>
      </c>
      <c r="F108" s="11">
        <v>200</v>
      </c>
      <c r="G108" s="11">
        <v>8</v>
      </c>
      <c r="H108" s="11">
        <v>30</v>
      </c>
      <c r="I108" s="11">
        <v>162</v>
      </c>
      <c r="J108">
        <v>69</v>
      </c>
      <c r="K108" s="11">
        <v>110</v>
      </c>
      <c r="L108" s="12">
        <v>12</v>
      </c>
    </row>
    <row r="109" spans="1:12" ht="15" customHeight="1" x14ac:dyDescent="0.35">
      <c r="A109" s="11">
        <v>100</v>
      </c>
      <c r="B109" s="11">
        <v>1</v>
      </c>
      <c r="C109" s="11">
        <v>96</v>
      </c>
      <c r="D109" s="11">
        <v>14</v>
      </c>
      <c r="E109" s="11">
        <v>205</v>
      </c>
      <c r="F109" s="11">
        <v>170</v>
      </c>
      <c r="G109" s="11">
        <v>4</v>
      </c>
      <c r="H109" s="11">
        <v>16</v>
      </c>
      <c r="I109" s="11">
        <v>122</v>
      </c>
      <c r="J109">
        <v>16</v>
      </c>
      <c r="K109" s="11">
        <v>110</v>
      </c>
      <c r="L109" s="13">
        <v>10</v>
      </c>
    </row>
    <row r="110" spans="1:12" ht="15" customHeight="1" x14ac:dyDescent="0.35">
      <c r="A110" s="12">
        <v>100</v>
      </c>
      <c r="B110" s="11" t="s">
        <v>2399</v>
      </c>
      <c r="C110" s="12">
        <v>96</v>
      </c>
      <c r="D110" s="12">
        <v>14</v>
      </c>
      <c r="E110" s="12">
        <v>205</v>
      </c>
      <c r="F110" s="12">
        <v>170</v>
      </c>
      <c r="G110" s="13">
        <v>4</v>
      </c>
      <c r="H110" s="13">
        <v>16</v>
      </c>
      <c r="I110" s="12">
        <v>122</v>
      </c>
      <c r="J110">
        <v>16</v>
      </c>
      <c r="K110" s="12">
        <v>110</v>
      </c>
      <c r="L110" s="12">
        <v>10</v>
      </c>
    </row>
    <row r="111" spans="1:12" x14ac:dyDescent="0.35">
      <c r="A111" s="12">
        <v>100</v>
      </c>
      <c r="B111" s="11">
        <v>6</v>
      </c>
      <c r="C111" s="12">
        <v>96</v>
      </c>
      <c r="D111" s="11">
        <v>16</v>
      </c>
      <c r="E111" s="12">
        <v>205</v>
      </c>
      <c r="F111" s="12">
        <v>170</v>
      </c>
      <c r="G111" s="12">
        <v>4</v>
      </c>
      <c r="H111" s="12">
        <v>16</v>
      </c>
      <c r="I111" s="12">
        <v>122</v>
      </c>
      <c r="J111">
        <v>15</v>
      </c>
      <c r="K111" s="12">
        <v>110</v>
      </c>
      <c r="L111" s="12">
        <v>10</v>
      </c>
    </row>
    <row r="112" spans="1:12" ht="15" customHeight="1" x14ac:dyDescent="0.35">
      <c r="A112" s="12">
        <v>100</v>
      </c>
      <c r="B112" s="11">
        <v>10</v>
      </c>
      <c r="C112" s="12">
        <v>96</v>
      </c>
      <c r="D112" s="11">
        <v>20</v>
      </c>
      <c r="E112" s="11">
        <v>215</v>
      </c>
      <c r="F112" s="11">
        <v>180</v>
      </c>
      <c r="G112" s="13">
        <v>8</v>
      </c>
      <c r="H112" s="12">
        <v>16</v>
      </c>
      <c r="I112" s="11">
        <v>128</v>
      </c>
      <c r="J112">
        <v>19</v>
      </c>
      <c r="K112" s="12">
        <v>110</v>
      </c>
      <c r="L112" s="13">
        <v>12</v>
      </c>
    </row>
    <row r="113" spans="1:12" x14ac:dyDescent="0.35">
      <c r="A113" s="12">
        <v>100</v>
      </c>
      <c r="B113" s="11">
        <v>16</v>
      </c>
      <c r="C113" s="12">
        <v>96</v>
      </c>
      <c r="D113" s="12">
        <v>20</v>
      </c>
      <c r="E113" s="12">
        <v>215</v>
      </c>
      <c r="F113" s="12">
        <v>180</v>
      </c>
      <c r="G113" s="12">
        <v>8</v>
      </c>
      <c r="H113" s="12">
        <v>16</v>
      </c>
      <c r="I113" s="11">
        <v>130</v>
      </c>
      <c r="J113">
        <v>21</v>
      </c>
      <c r="K113" s="12">
        <v>110</v>
      </c>
      <c r="L113" s="12">
        <v>12</v>
      </c>
    </row>
    <row r="114" spans="1:12" ht="15" customHeight="1" x14ac:dyDescent="0.35">
      <c r="A114" s="12">
        <v>100</v>
      </c>
      <c r="B114" s="11">
        <v>25</v>
      </c>
      <c r="C114" s="12">
        <v>96</v>
      </c>
      <c r="D114" s="11">
        <v>24</v>
      </c>
      <c r="E114" s="11">
        <v>230</v>
      </c>
      <c r="F114" s="11">
        <v>190</v>
      </c>
      <c r="G114" s="12">
        <v>8</v>
      </c>
      <c r="H114" s="13">
        <v>20</v>
      </c>
      <c r="I114" s="11">
        <v>132</v>
      </c>
      <c r="J114">
        <v>25</v>
      </c>
      <c r="K114" s="12">
        <v>110</v>
      </c>
      <c r="L114" s="12">
        <v>12</v>
      </c>
    </row>
    <row r="115" spans="1:12" x14ac:dyDescent="0.35">
      <c r="A115" s="12">
        <v>100</v>
      </c>
      <c r="B115" s="11">
        <v>40</v>
      </c>
      <c r="C115" s="12">
        <v>96</v>
      </c>
      <c r="D115" s="11">
        <v>26</v>
      </c>
      <c r="E115" s="12">
        <v>230</v>
      </c>
      <c r="F115" s="12">
        <v>190</v>
      </c>
      <c r="G115" s="12">
        <v>8</v>
      </c>
      <c r="H115" s="12">
        <v>20</v>
      </c>
      <c r="I115" s="11">
        <v>138</v>
      </c>
      <c r="J115">
        <v>30</v>
      </c>
      <c r="K115" s="12">
        <v>110</v>
      </c>
      <c r="L115" s="12">
        <v>12</v>
      </c>
    </row>
    <row r="116" spans="1:12" ht="15" customHeight="1" x14ac:dyDescent="0.35">
      <c r="A116" s="12">
        <v>100</v>
      </c>
      <c r="B116" s="11">
        <v>63</v>
      </c>
      <c r="C116" s="11">
        <v>94</v>
      </c>
      <c r="D116" s="11">
        <v>32</v>
      </c>
      <c r="E116" s="13">
        <v>250</v>
      </c>
      <c r="F116" s="11">
        <v>200</v>
      </c>
      <c r="G116" s="12">
        <v>8</v>
      </c>
      <c r="H116" s="13">
        <v>24</v>
      </c>
      <c r="I116" s="11">
        <v>140</v>
      </c>
      <c r="J116">
        <v>36</v>
      </c>
      <c r="K116" s="12">
        <v>110</v>
      </c>
      <c r="L116" s="12">
        <v>12</v>
      </c>
    </row>
    <row r="117" spans="1:12" ht="15" customHeight="1" x14ac:dyDescent="0.35">
      <c r="A117" s="12">
        <v>100</v>
      </c>
      <c r="B117" s="11">
        <v>100</v>
      </c>
      <c r="C117" s="11">
        <v>92</v>
      </c>
      <c r="D117" s="11">
        <v>38</v>
      </c>
      <c r="E117" s="13">
        <v>265</v>
      </c>
      <c r="F117" s="11">
        <v>210</v>
      </c>
      <c r="G117" s="12">
        <v>8</v>
      </c>
      <c r="H117" s="13">
        <v>27</v>
      </c>
      <c r="I117" s="11">
        <v>146</v>
      </c>
      <c r="J117">
        <v>50</v>
      </c>
      <c r="K117" s="12">
        <v>110</v>
      </c>
      <c r="L117" s="12">
        <v>12</v>
      </c>
    </row>
    <row r="118" spans="1:12" ht="15" customHeight="1" x14ac:dyDescent="0.35">
      <c r="A118" s="12">
        <v>100</v>
      </c>
      <c r="B118" s="11">
        <v>160</v>
      </c>
      <c r="C118" s="12">
        <v>92</v>
      </c>
      <c r="D118" s="13">
        <v>40</v>
      </c>
      <c r="E118" s="12">
        <v>265</v>
      </c>
      <c r="F118" s="12">
        <v>210</v>
      </c>
      <c r="G118" s="12">
        <v>8</v>
      </c>
      <c r="H118" s="12">
        <v>27</v>
      </c>
      <c r="I118" s="12">
        <v>146</v>
      </c>
      <c r="J118">
        <v>51</v>
      </c>
      <c r="K118" s="12">
        <v>110</v>
      </c>
      <c r="L118" s="12">
        <v>12</v>
      </c>
    </row>
    <row r="119" spans="1:12" x14ac:dyDescent="0.35">
      <c r="A119" s="12">
        <v>100</v>
      </c>
      <c r="B119" s="11">
        <v>200</v>
      </c>
      <c r="C119" s="11">
        <v>102</v>
      </c>
      <c r="D119" s="11">
        <v>66</v>
      </c>
      <c r="E119" s="11">
        <v>360</v>
      </c>
      <c r="F119" s="11">
        <v>292</v>
      </c>
      <c r="G119" s="11">
        <v>8</v>
      </c>
      <c r="H119" s="11">
        <v>36</v>
      </c>
      <c r="I119" s="11">
        <v>208</v>
      </c>
      <c r="J119">
        <v>100</v>
      </c>
      <c r="K119" s="11">
        <v>135</v>
      </c>
      <c r="L119" s="12">
        <v>12</v>
      </c>
    </row>
    <row r="120" spans="1:12" ht="15" customHeight="1" x14ac:dyDescent="0.35">
      <c r="A120" s="12">
        <v>100</v>
      </c>
      <c r="B120" s="11">
        <v>250</v>
      </c>
      <c r="C120" s="11">
        <v>102</v>
      </c>
      <c r="D120" s="11">
        <v>66</v>
      </c>
      <c r="E120" s="11">
        <v>360</v>
      </c>
      <c r="F120" s="11">
        <v>235</v>
      </c>
      <c r="G120" s="11">
        <v>8</v>
      </c>
      <c r="H120" s="11">
        <v>36</v>
      </c>
      <c r="I120" s="11">
        <v>208</v>
      </c>
      <c r="J120">
        <v>98</v>
      </c>
      <c r="K120" s="11">
        <v>135</v>
      </c>
      <c r="L120" s="13">
        <v>14</v>
      </c>
    </row>
    <row r="121" spans="1:12" ht="15" customHeight="1" x14ac:dyDescent="0.35">
      <c r="A121" s="11">
        <v>125</v>
      </c>
      <c r="B121" s="11">
        <v>1</v>
      </c>
      <c r="C121" s="11">
        <v>121</v>
      </c>
      <c r="D121" s="11">
        <v>14</v>
      </c>
      <c r="E121" s="11">
        <v>235</v>
      </c>
      <c r="F121" s="11">
        <v>200</v>
      </c>
      <c r="G121" s="11">
        <v>8</v>
      </c>
      <c r="H121" s="11">
        <v>16</v>
      </c>
      <c r="I121" s="11">
        <v>148</v>
      </c>
      <c r="J121">
        <v>16</v>
      </c>
      <c r="K121" s="11">
        <v>135</v>
      </c>
      <c r="L121" s="13">
        <v>10</v>
      </c>
    </row>
    <row r="122" spans="1:12" ht="15" customHeight="1" x14ac:dyDescent="0.35">
      <c r="A122" s="12">
        <v>125</v>
      </c>
      <c r="B122" s="11" t="s">
        <v>2399</v>
      </c>
      <c r="C122" s="12">
        <v>121</v>
      </c>
      <c r="D122" s="12">
        <v>14</v>
      </c>
      <c r="E122" s="12">
        <v>235</v>
      </c>
      <c r="F122" s="12">
        <v>200</v>
      </c>
      <c r="G122" s="13">
        <v>8</v>
      </c>
      <c r="H122" s="13">
        <v>16</v>
      </c>
      <c r="I122" s="12">
        <v>148</v>
      </c>
      <c r="J122">
        <v>16</v>
      </c>
      <c r="K122" s="12">
        <v>135</v>
      </c>
      <c r="L122" s="12">
        <v>10</v>
      </c>
    </row>
    <row r="123" spans="1:12" x14ac:dyDescent="0.35">
      <c r="A123" s="12">
        <v>125</v>
      </c>
      <c r="B123" s="11">
        <v>6</v>
      </c>
      <c r="C123" s="12">
        <v>121</v>
      </c>
      <c r="D123" s="11">
        <v>18</v>
      </c>
      <c r="E123" s="12">
        <v>235</v>
      </c>
      <c r="F123" s="12">
        <v>200</v>
      </c>
      <c r="G123" s="12">
        <v>8</v>
      </c>
      <c r="H123" s="12">
        <v>16</v>
      </c>
      <c r="I123" s="12">
        <v>148</v>
      </c>
      <c r="J123">
        <v>15</v>
      </c>
      <c r="K123" s="12">
        <v>135</v>
      </c>
      <c r="L123" s="12">
        <v>10</v>
      </c>
    </row>
    <row r="124" spans="1:12" ht="15" customHeight="1" x14ac:dyDescent="0.35">
      <c r="A124" s="12">
        <v>125</v>
      </c>
      <c r="B124" s="11">
        <v>10</v>
      </c>
      <c r="C124" s="12">
        <v>121</v>
      </c>
      <c r="D124" s="13">
        <v>22</v>
      </c>
      <c r="E124" s="11">
        <v>245</v>
      </c>
      <c r="F124" s="11">
        <v>210</v>
      </c>
      <c r="G124" s="12">
        <v>8</v>
      </c>
      <c r="H124" s="12">
        <v>16</v>
      </c>
      <c r="I124" s="11">
        <v>156</v>
      </c>
      <c r="J124">
        <v>26</v>
      </c>
      <c r="K124" s="12">
        <v>135</v>
      </c>
      <c r="L124" s="13">
        <v>12</v>
      </c>
    </row>
    <row r="125" spans="1:12" x14ac:dyDescent="0.35">
      <c r="A125" s="12">
        <v>125</v>
      </c>
      <c r="B125" s="11">
        <v>16</v>
      </c>
      <c r="C125" s="12">
        <v>121</v>
      </c>
      <c r="D125" s="12">
        <v>22</v>
      </c>
      <c r="E125" s="12">
        <v>245</v>
      </c>
      <c r="F125" s="12">
        <v>210</v>
      </c>
      <c r="G125" s="12">
        <v>8</v>
      </c>
      <c r="H125" s="12">
        <v>16</v>
      </c>
      <c r="I125" s="12">
        <v>156</v>
      </c>
      <c r="J125">
        <v>26</v>
      </c>
      <c r="K125" s="12">
        <v>135</v>
      </c>
      <c r="L125" s="12">
        <v>12</v>
      </c>
    </row>
    <row r="126" spans="1:12" ht="15" customHeight="1" x14ac:dyDescent="0.35">
      <c r="A126" s="12">
        <v>125</v>
      </c>
      <c r="B126" s="11">
        <v>25</v>
      </c>
      <c r="C126" s="12">
        <v>121</v>
      </c>
      <c r="D126" s="11">
        <v>26</v>
      </c>
      <c r="E126" s="13">
        <v>270</v>
      </c>
      <c r="F126" s="11">
        <v>220</v>
      </c>
      <c r="G126" s="12">
        <v>8</v>
      </c>
      <c r="H126" s="13">
        <v>24</v>
      </c>
      <c r="I126" s="11">
        <v>160</v>
      </c>
      <c r="J126">
        <v>30</v>
      </c>
      <c r="K126" s="12">
        <v>135</v>
      </c>
      <c r="L126" s="12">
        <v>12</v>
      </c>
    </row>
    <row r="127" spans="1:12" x14ac:dyDescent="0.35">
      <c r="A127" s="12">
        <v>125</v>
      </c>
      <c r="B127" s="11">
        <v>40</v>
      </c>
      <c r="C127" s="11">
        <v>120</v>
      </c>
      <c r="D127" s="11">
        <v>28</v>
      </c>
      <c r="E127" s="12">
        <v>270</v>
      </c>
      <c r="F127" s="12">
        <v>220</v>
      </c>
      <c r="G127" s="12">
        <v>8</v>
      </c>
      <c r="H127" s="12">
        <v>24</v>
      </c>
      <c r="I127" s="12">
        <v>160</v>
      </c>
      <c r="J127">
        <v>28</v>
      </c>
      <c r="K127" s="12">
        <v>135</v>
      </c>
      <c r="L127" s="12">
        <v>12</v>
      </c>
    </row>
    <row r="128" spans="1:12" ht="15" customHeight="1" x14ac:dyDescent="0.35">
      <c r="A128" s="12">
        <v>125</v>
      </c>
      <c r="B128" s="11">
        <v>63</v>
      </c>
      <c r="C128" s="11">
        <v>118</v>
      </c>
      <c r="D128" s="11">
        <v>36</v>
      </c>
      <c r="E128" s="13">
        <v>295</v>
      </c>
      <c r="F128" s="11">
        <v>240</v>
      </c>
      <c r="G128" s="12">
        <v>8</v>
      </c>
      <c r="H128" s="13">
        <v>27</v>
      </c>
      <c r="I128" s="11">
        <v>172</v>
      </c>
      <c r="J128">
        <v>50</v>
      </c>
      <c r="K128" s="12">
        <v>135</v>
      </c>
      <c r="L128" s="12">
        <v>12</v>
      </c>
    </row>
    <row r="129" spans="1:12" ht="15" customHeight="1" x14ac:dyDescent="0.35">
      <c r="A129" s="12">
        <v>125</v>
      </c>
      <c r="B129" s="11">
        <v>100</v>
      </c>
      <c r="C129" s="11">
        <v>112</v>
      </c>
      <c r="D129" s="11">
        <v>42</v>
      </c>
      <c r="E129" s="11">
        <v>310</v>
      </c>
      <c r="F129" s="11">
        <v>250</v>
      </c>
      <c r="G129" s="12">
        <v>8</v>
      </c>
      <c r="H129" s="13">
        <v>30</v>
      </c>
      <c r="I129" s="11">
        <v>180</v>
      </c>
      <c r="J129">
        <v>61</v>
      </c>
      <c r="K129" s="12">
        <v>135</v>
      </c>
      <c r="L129" s="12">
        <v>12</v>
      </c>
    </row>
    <row r="130" spans="1:12" ht="15" customHeight="1" x14ac:dyDescent="0.35">
      <c r="A130" s="12">
        <v>125</v>
      </c>
      <c r="B130" s="11">
        <v>160</v>
      </c>
      <c r="C130" s="12">
        <v>112</v>
      </c>
      <c r="D130" s="13">
        <v>44</v>
      </c>
      <c r="E130" s="12">
        <v>310</v>
      </c>
      <c r="F130" s="12">
        <v>250</v>
      </c>
      <c r="G130" s="12">
        <v>8</v>
      </c>
      <c r="H130" s="12">
        <v>30</v>
      </c>
      <c r="I130" s="12">
        <v>180</v>
      </c>
      <c r="J130">
        <v>60</v>
      </c>
      <c r="K130" s="12">
        <v>135</v>
      </c>
      <c r="L130" s="13">
        <v>14</v>
      </c>
    </row>
    <row r="131" spans="1:12" x14ac:dyDescent="0.35">
      <c r="A131" s="12">
        <v>125</v>
      </c>
      <c r="B131" s="11">
        <v>200</v>
      </c>
      <c r="C131" s="11">
        <v>130</v>
      </c>
      <c r="D131" s="11">
        <v>76</v>
      </c>
      <c r="E131" s="11">
        <v>385</v>
      </c>
      <c r="F131" s="11">
        <v>318</v>
      </c>
      <c r="G131" s="11">
        <v>12</v>
      </c>
      <c r="H131" s="11">
        <v>36</v>
      </c>
      <c r="I131" s="11">
        <v>234</v>
      </c>
      <c r="J131">
        <v>88</v>
      </c>
      <c r="K131" s="11">
        <v>170</v>
      </c>
      <c r="L131" s="12">
        <v>14</v>
      </c>
    </row>
    <row r="132" spans="1:12" ht="15" customHeight="1" x14ac:dyDescent="0.35">
      <c r="A132" s="12">
        <v>125</v>
      </c>
      <c r="B132" s="11">
        <v>250</v>
      </c>
      <c r="C132" s="11">
        <v>130</v>
      </c>
      <c r="D132" s="11">
        <v>76</v>
      </c>
      <c r="E132" s="11">
        <v>385</v>
      </c>
      <c r="F132" s="11">
        <v>275</v>
      </c>
      <c r="G132" s="11">
        <v>12</v>
      </c>
      <c r="H132" s="11">
        <v>36</v>
      </c>
      <c r="I132" s="11">
        <v>234</v>
      </c>
      <c r="J132">
        <v>86</v>
      </c>
      <c r="K132" s="11">
        <v>170</v>
      </c>
      <c r="L132" s="13">
        <v>16</v>
      </c>
    </row>
    <row r="133" spans="1:12" ht="15" customHeight="1" x14ac:dyDescent="0.35">
      <c r="A133" s="11">
        <v>150</v>
      </c>
      <c r="B133" s="11">
        <v>1</v>
      </c>
      <c r="C133" s="11">
        <v>146</v>
      </c>
      <c r="D133" s="11">
        <v>14</v>
      </c>
      <c r="E133" s="11">
        <v>260</v>
      </c>
      <c r="F133" s="11">
        <v>225</v>
      </c>
      <c r="G133" s="11">
        <v>8</v>
      </c>
      <c r="H133" s="11">
        <v>16</v>
      </c>
      <c r="I133" s="11">
        <v>172</v>
      </c>
      <c r="J133">
        <v>15</v>
      </c>
      <c r="K133" s="11">
        <v>161</v>
      </c>
      <c r="L133" s="13">
        <v>12</v>
      </c>
    </row>
    <row r="134" spans="1:12" ht="15" customHeight="1" x14ac:dyDescent="0.35">
      <c r="A134" s="12">
        <v>150</v>
      </c>
      <c r="B134" s="11" t="s">
        <v>2399</v>
      </c>
      <c r="C134" s="12">
        <v>146</v>
      </c>
      <c r="D134" s="12">
        <v>14</v>
      </c>
      <c r="E134" s="12">
        <v>260</v>
      </c>
      <c r="F134" s="12">
        <v>225</v>
      </c>
      <c r="G134" s="13">
        <v>8</v>
      </c>
      <c r="H134" s="13">
        <v>16</v>
      </c>
      <c r="I134" s="12">
        <v>172</v>
      </c>
      <c r="J134">
        <v>15</v>
      </c>
      <c r="K134" s="12">
        <v>161</v>
      </c>
      <c r="L134" s="12">
        <v>12</v>
      </c>
    </row>
    <row r="135" spans="1:12" x14ac:dyDescent="0.35">
      <c r="A135" s="12">
        <v>150</v>
      </c>
      <c r="B135" s="11">
        <v>6</v>
      </c>
      <c r="C135" s="12">
        <v>146</v>
      </c>
      <c r="D135" s="11">
        <v>18</v>
      </c>
      <c r="E135" s="12">
        <v>260</v>
      </c>
      <c r="F135" s="12">
        <v>225</v>
      </c>
      <c r="G135" s="12">
        <v>8</v>
      </c>
      <c r="H135" s="12">
        <v>16</v>
      </c>
      <c r="I135" s="12">
        <v>172</v>
      </c>
      <c r="J135">
        <v>16</v>
      </c>
      <c r="K135" s="12">
        <v>161</v>
      </c>
      <c r="L135" s="12">
        <v>12</v>
      </c>
    </row>
    <row r="136" spans="1:12" ht="15" customHeight="1" x14ac:dyDescent="0.35">
      <c r="A136" s="12">
        <v>150</v>
      </c>
      <c r="B136" s="11">
        <v>10</v>
      </c>
      <c r="C136" s="12">
        <v>146</v>
      </c>
      <c r="D136" s="13">
        <v>22</v>
      </c>
      <c r="E136" s="11">
        <v>280</v>
      </c>
      <c r="F136" s="11">
        <v>240</v>
      </c>
      <c r="G136" s="12">
        <v>8</v>
      </c>
      <c r="H136" s="13">
        <v>20</v>
      </c>
      <c r="I136" s="11">
        <v>180</v>
      </c>
      <c r="J136">
        <v>26</v>
      </c>
      <c r="K136" s="12">
        <v>161</v>
      </c>
      <c r="L136" s="12">
        <v>12</v>
      </c>
    </row>
    <row r="137" spans="1:12" x14ac:dyDescent="0.35">
      <c r="A137" s="12">
        <v>150</v>
      </c>
      <c r="B137" s="11">
        <v>16</v>
      </c>
      <c r="C137" s="12">
        <v>146</v>
      </c>
      <c r="D137" s="12">
        <v>22</v>
      </c>
      <c r="E137" s="12">
        <v>280</v>
      </c>
      <c r="F137" s="12">
        <v>240</v>
      </c>
      <c r="G137" s="12">
        <v>8</v>
      </c>
      <c r="H137" s="12">
        <v>20</v>
      </c>
      <c r="I137" s="12">
        <v>180</v>
      </c>
      <c r="J137">
        <v>26</v>
      </c>
      <c r="K137" s="12">
        <v>161</v>
      </c>
      <c r="L137" s="12">
        <v>12</v>
      </c>
    </row>
    <row r="138" spans="1:12" ht="15" customHeight="1" x14ac:dyDescent="0.35">
      <c r="A138" s="12">
        <v>150</v>
      </c>
      <c r="B138" s="11">
        <v>25</v>
      </c>
      <c r="C138" s="12">
        <v>146</v>
      </c>
      <c r="D138" s="11">
        <v>28</v>
      </c>
      <c r="E138" s="13">
        <v>300</v>
      </c>
      <c r="F138" s="11">
        <v>250</v>
      </c>
      <c r="G138" s="12">
        <v>8</v>
      </c>
      <c r="H138" s="13">
        <v>24</v>
      </c>
      <c r="I138" s="11">
        <v>186</v>
      </c>
      <c r="J138">
        <v>31</v>
      </c>
      <c r="K138" s="12">
        <v>161</v>
      </c>
      <c r="L138" s="12">
        <v>12</v>
      </c>
    </row>
    <row r="139" spans="1:12" x14ac:dyDescent="0.35">
      <c r="A139" s="12">
        <v>150</v>
      </c>
      <c r="B139" s="11">
        <v>40</v>
      </c>
      <c r="C139" s="11">
        <v>145</v>
      </c>
      <c r="D139" s="11">
        <v>30</v>
      </c>
      <c r="E139" s="12">
        <v>300</v>
      </c>
      <c r="F139" s="12">
        <v>250</v>
      </c>
      <c r="G139" s="12">
        <v>8</v>
      </c>
      <c r="H139" s="12">
        <v>24</v>
      </c>
      <c r="I139" s="12">
        <v>186</v>
      </c>
      <c r="J139">
        <v>29</v>
      </c>
      <c r="K139" s="12">
        <v>161</v>
      </c>
      <c r="L139" s="12">
        <v>12</v>
      </c>
    </row>
    <row r="140" spans="1:12" ht="15" customHeight="1" x14ac:dyDescent="0.35">
      <c r="A140" s="12">
        <v>150</v>
      </c>
      <c r="B140" s="11">
        <v>63</v>
      </c>
      <c r="C140" s="11">
        <v>142</v>
      </c>
      <c r="D140" s="11">
        <v>38</v>
      </c>
      <c r="E140" s="11">
        <v>340</v>
      </c>
      <c r="F140" s="11">
        <v>280</v>
      </c>
      <c r="G140" s="12">
        <v>8</v>
      </c>
      <c r="H140" s="13">
        <v>30</v>
      </c>
      <c r="I140" s="11">
        <v>206</v>
      </c>
      <c r="J140">
        <v>58</v>
      </c>
      <c r="K140" s="12">
        <v>161</v>
      </c>
      <c r="L140" s="12">
        <v>12</v>
      </c>
    </row>
    <row r="141" spans="1:12" ht="15" customHeight="1" x14ac:dyDescent="0.35">
      <c r="A141" s="12">
        <v>150</v>
      </c>
      <c r="B141" s="11">
        <v>100</v>
      </c>
      <c r="C141" s="11">
        <v>136</v>
      </c>
      <c r="D141" s="11">
        <v>46</v>
      </c>
      <c r="E141" s="11">
        <v>350</v>
      </c>
      <c r="F141" s="11">
        <v>290</v>
      </c>
      <c r="G141" s="13">
        <v>12</v>
      </c>
      <c r="H141" s="12">
        <v>30</v>
      </c>
      <c r="I141" s="11">
        <v>214</v>
      </c>
      <c r="J141">
        <v>70</v>
      </c>
      <c r="K141" s="12">
        <v>161</v>
      </c>
      <c r="L141" s="12">
        <v>12</v>
      </c>
    </row>
    <row r="142" spans="1:12" ht="15" customHeight="1" x14ac:dyDescent="0.35">
      <c r="A142" s="12">
        <v>150</v>
      </c>
      <c r="B142" s="11">
        <v>160</v>
      </c>
      <c r="C142" s="12">
        <v>136</v>
      </c>
      <c r="D142" s="13">
        <v>50</v>
      </c>
      <c r="E142" s="12">
        <v>350</v>
      </c>
      <c r="F142" s="12">
        <v>290</v>
      </c>
      <c r="G142" s="12">
        <v>12</v>
      </c>
      <c r="H142" s="12">
        <v>30</v>
      </c>
      <c r="I142" s="12">
        <v>214</v>
      </c>
      <c r="J142">
        <v>69</v>
      </c>
      <c r="K142" s="12">
        <v>161</v>
      </c>
      <c r="L142" s="13">
        <v>14</v>
      </c>
    </row>
    <row r="143" spans="1:12" x14ac:dyDescent="0.35">
      <c r="A143" s="12">
        <v>150</v>
      </c>
      <c r="B143" s="11">
        <v>200</v>
      </c>
      <c r="C143" s="11">
        <v>150</v>
      </c>
      <c r="D143" s="11">
        <v>82</v>
      </c>
      <c r="E143" s="11">
        <v>440</v>
      </c>
      <c r="F143" s="11">
        <v>360</v>
      </c>
      <c r="G143" s="11">
        <v>12</v>
      </c>
      <c r="H143" s="11">
        <v>42</v>
      </c>
      <c r="I143" s="11">
        <v>266</v>
      </c>
      <c r="J143">
        <v>97</v>
      </c>
      <c r="K143" s="11">
        <v>196</v>
      </c>
      <c r="L143" s="12">
        <v>14</v>
      </c>
    </row>
    <row r="144" spans="1:12" ht="15" customHeight="1" x14ac:dyDescent="0.35">
      <c r="A144" s="12">
        <v>150</v>
      </c>
      <c r="B144" s="11">
        <v>250</v>
      </c>
      <c r="C144" s="11">
        <v>150</v>
      </c>
      <c r="D144" s="11">
        <v>82</v>
      </c>
      <c r="E144" s="11">
        <v>440</v>
      </c>
      <c r="F144" s="11">
        <v>320</v>
      </c>
      <c r="G144" s="11">
        <v>12</v>
      </c>
      <c r="H144" s="11">
        <v>42</v>
      </c>
      <c r="I144" s="11">
        <v>266</v>
      </c>
      <c r="J144">
        <v>93</v>
      </c>
      <c r="K144" s="11">
        <v>196</v>
      </c>
      <c r="L144" s="13">
        <v>18</v>
      </c>
    </row>
    <row r="145" spans="1:12" ht="15" customHeight="1" x14ac:dyDescent="0.35">
      <c r="A145" s="11">
        <v>200</v>
      </c>
      <c r="B145" s="11">
        <v>1</v>
      </c>
      <c r="C145" s="11">
        <v>202</v>
      </c>
      <c r="D145" s="11">
        <v>16</v>
      </c>
      <c r="E145" s="11">
        <v>315</v>
      </c>
      <c r="F145" s="11">
        <v>280</v>
      </c>
      <c r="G145" s="11">
        <v>8</v>
      </c>
      <c r="H145" s="11">
        <v>16</v>
      </c>
      <c r="I145" s="11">
        <v>235</v>
      </c>
      <c r="J145">
        <v>17</v>
      </c>
      <c r="K145" s="11">
        <v>222</v>
      </c>
      <c r="L145" s="13">
        <v>15</v>
      </c>
    </row>
    <row r="146" spans="1:12" ht="15" customHeight="1" x14ac:dyDescent="0.35">
      <c r="A146" s="12">
        <v>200</v>
      </c>
      <c r="B146" s="11" t="s">
        <v>2399</v>
      </c>
      <c r="C146" s="12">
        <v>202</v>
      </c>
      <c r="D146" s="12">
        <v>16</v>
      </c>
      <c r="E146" s="12">
        <v>315</v>
      </c>
      <c r="F146" s="12">
        <v>280</v>
      </c>
      <c r="G146" s="13">
        <v>8</v>
      </c>
      <c r="H146" s="13">
        <v>16</v>
      </c>
      <c r="I146" s="12">
        <v>235</v>
      </c>
      <c r="J146">
        <v>17</v>
      </c>
      <c r="K146" s="12">
        <v>222</v>
      </c>
      <c r="L146" s="12">
        <v>15</v>
      </c>
    </row>
    <row r="147" spans="1:12" x14ac:dyDescent="0.35">
      <c r="A147" s="12">
        <v>200</v>
      </c>
      <c r="B147" s="11">
        <v>6</v>
      </c>
      <c r="C147" s="12">
        <v>202</v>
      </c>
      <c r="D147" s="11">
        <v>20</v>
      </c>
      <c r="E147" s="12">
        <v>315</v>
      </c>
      <c r="F147" s="12">
        <v>280</v>
      </c>
      <c r="G147" s="12">
        <v>8</v>
      </c>
      <c r="H147" s="12">
        <v>16</v>
      </c>
      <c r="I147" s="12">
        <v>235</v>
      </c>
      <c r="J147">
        <v>18</v>
      </c>
      <c r="K147" s="12">
        <v>222</v>
      </c>
      <c r="L147" s="12">
        <v>15</v>
      </c>
    </row>
    <row r="148" spans="1:12" ht="15" customHeight="1" x14ac:dyDescent="0.35">
      <c r="A148" s="12">
        <v>200</v>
      </c>
      <c r="B148" s="11">
        <v>10</v>
      </c>
      <c r="C148" s="12">
        <v>202</v>
      </c>
      <c r="D148" s="11">
        <v>22</v>
      </c>
      <c r="E148" s="11">
        <v>335</v>
      </c>
      <c r="F148" s="11">
        <v>295</v>
      </c>
      <c r="G148" s="12">
        <v>8</v>
      </c>
      <c r="H148" s="13">
        <v>20</v>
      </c>
      <c r="I148" s="11">
        <v>240</v>
      </c>
      <c r="J148">
        <v>23</v>
      </c>
      <c r="K148" s="12">
        <v>222</v>
      </c>
      <c r="L148" s="13">
        <v>16</v>
      </c>
    </row>
    <row r="149" spans="1:12" ht="15" customHeight="1" x14ac:dyDescent="0.35">
      <c r="A149" s="12">
        <v>200</v>
      </c>
      <c r="B149" s="11">
        <v>16</v>
      </c>
      <c r="C149" s="12">
        <v>202</v>
      </c>
      <c r="D149" s="11">
        <v>24</v>
      </c>
      <c r="E149" s="12">
        <v>335</v>
      </c>
      <c r="F149" s="12">
        <v>295</v>
      </c>
      <c r="G149" s="13">
        <v>12</v>
      </c>
      <c r="H149" s="12">
        <v>20</v>
      </c>
      <c r="I149" s="12">
        <v>240</v>
      </c>
      <c r="J149">
        <v>21</v>
      </c>
      <c r="K149" s="12">
        <v>222</v>
      </c>
      <c r="L149" s="12">
        <v>16</v>
      </c>
    </row>
    <row r="150" spans="1:12" ht="15" customHeight="1" x14ac:dyDescent="0.35">
      <c r="A150" s="12">
        <v>200</v>
      </c>
      <c r="B150" s="11">
        <v>25</v>
      </c>
      <c r="C150" s="12">
        <v>202</v>
      </c>
      <c r="D150" s="13">
        <v>30</v>
      </c>
      <c r="E150" s="13">
        <v>360</v>
      </c>
      <c r="F150" s="11">
        <v>310</v>
      </c>
      <c r="G150" s="12">
        <v>12</v>
      </c>
      <c r="H150" s="13">
        <v>24</v>
      </c>
      <c r="I150" s="11">
        <v>245</v>
      </c>
      <c r="J150">
        <v>32</v>
      </c>
      <c r="K150" s="12">
        <v>222</v>
      </c>
      <c r="L150" s="12">
        <v>16</v>
      </c>
    </row>
    <row r="151" spans="1:12" ht="15" customHeight="1" x14ac:dyDescent="0.35">
      <c r="A151" s="12">
        <v>200</v>
      </c>
      <c r="B151" s="11">
        <v>40</v>
      </c>
      <c r="C151" s="11">
        <v>200</v>
      </c>
      <c r="D151" s="11">
        <v>38</v>
      </c>
      <c r="E151" s="13">
        <v>375</v>
      </c>
      <c r="F151" s="11">
        <v>320</v>
      </c>
      <c r="G151" s="12">
        <v>12</v>
      </c>
      <c r="H151" s="13">
        <v>27</v>
      </c>
      <c r="I151" s="11">
        <v>250</v>
      </c>
      <c r="J151">
        <v>34</v>
      </c>
      <c r="K151" s="12">
        <v>222</v>
      </c>
      <c r="L151" s="12">
        <v>16</v>
      </c>
    </row>
    <row r="152" spans="1:12" x14ac:dyDescent="0.35">
      <c r="A152" s="12">
        <v>200</v>
      </c>
      <c r="B152" s="11">
        <v>63</v>
      </c>
      <c r="C152" s="11">
        <v>198</v>
      </c>
      <c r="D152" s="11">
        <v>44</v>
      </c>
      <c r="E152" s="11">
        <v>405</v>
      </c>
      <c r="F152" s="11">
        <v>345</v>
      </c>
      <c r="G152" s="12">
        <v>12</v>
      </c>
      <c r="H152" s="11">
        <v>30</v>
      </c>
      <c r="I152" s="11">
        <v>264</v>
      </c>
      <c r="J152">
        <v>53</v>
      </c>
      <c r="K152" s="12">
        <v>222</v>
      </c>
      <c r="L152" s="12">
        <v>16</v>
      </c>
    </row>
    <row r="153" spans="1:12" ht="15" customHeight="1" x14ac:dyDescent="0.35">
      <c r="A153" s="12">
        <v>200</v>
      </c>
      <c r="B153" s="11">
        <v>100</v>
      </c>
      <c r="C153" s="11">
        <v>190</v>
      </c>
      <c r="D153" s="11">
        <v>54</v>
      </c>
      <c r="E153" s="13">
        <v>430</v>
      </c>
      <c r="F153" s="11">
        <v>360</v>
      </c>
      <c r="G153" s="12">
        <v>12</v>
      </c>
      <c r="H153" s="11">
        <v>36</v>
      </c>
      <c r="I153" s="11">
        <v>276</v>
      </c>
      <c r="J153">
        <v>73</v>
      </c>
      <c r="K153" s="12">
        <v>222</v>
      </c>
      <c r="L153" s="12">
        <v>16</v>
      </c>
    </row>
    <row r="154" spans="1:12" ht="15" customHeight="1" x14ac:dyDescent="0.35">
      <c r="A154" s="12">
        <v>200</v>
      </c>
      <c r="B154" s="11">
        <v>160</v>
      </c>
      <c r="C154" s="12">
        <v>190</v>
      </c>
      <c r="D154" s="13">
        <v>60</v>
      </c>
      <c r="E154" s="12">
        <v>430</v>
      </c>
      <c r="F154" s="12">
        <v>360</v>
      </c>
      <c r="G154" s="12">
        <v>12</v>
      </c>
      <c r="H154" s="12">
        <v>36</v>
      </c>
      <c r="I154" s="12">
        <v>276</v>
      </c>
      <c r="J154">
        <v>72</v>
      </c>
      <c r="K154" s="12">
        <v>222</v>
      </c>
      <c r="L154" s="12">
        <v>16</v>
      </c>
    </row>
    <row r="155" spans="1:12" x14ac:dyDescent="0.35">
      <c r="A155" s="12">
        <v>200</v>
      </c>
      <c r="B155" s="11">
        <v>200</v>
      </c>
      <c r="C155" s="11">
        <v>192</v>
      </c>
      <c r="D155" s="11">
        <v>92</v>
      </c>
      <c r="E155" s="11">
        <v>535</v>
      </c>
      <c r="F155" s="11">
        <v>440</v>
      </c>
      <c r="G155" s="11">
        <v>12</v>
      </c>
      <c r="H155" s="11">
        <v>48</v>
      </c>
      <c r="I155" s="11">
        <v>340</v>
      </c>
      <c r="J155">
        <v>125</v>
      </c>
      <c r="K155" s="11">
        <v>248</v>
      </c>
      <c r="L155" s="12">
        <v>16</v>
      </c>
    </row>
    <row r="156" spans="1:12" ht="15" customHeight="1" x14ac:dyDescent="0.35">
      <c r="A156" s="12">
        <v>200</v>
      </c>
      <c r="B156" s="11">
        <v>250</v>
      </c>
      <c r="C156" s="11">
        <v>192</v>
      </c>
      <c r="D156" s="11">
        <v>92</v>
      </c>
      <c r="E156" s="11">
        <v>535</v>
      </c>
      <c r="F156" s="11">
        <v>400</v>
      </c>
      <c r="G156" s="11">
        <v>12</v>
      </c>
      <c r="H156" s="11">
        <v>48</v>
      </c>
      <c r="I156" s="11">
        <v>340</v>
      </c>
      <c r="J156">
        <v>116</v>
      </c>
      <c r="K156" s="11">
        <v>248</v>
      </c>
      <c r="L156" s="13">
        <v>25</v>
      </c>
    </row>
    <row r="157" spans="1:12" ht="15" customHeight="1" x14ac:dyDescent="0.35">
      <c r="A157" s="11">
        <v>250</v>
      </c>
      <c r="B157" s="11">
        <v>1</v>
      </c>
      <c r="C157" s="11">
        <v>254</v>
      </c>
      <c r="D157" s="11">
        <v>19</v>
      </c>
      <c r="E157" s="11">
        <v>370</v>
      </c>
      <c r="F157" s="11">
        <v>335</v>
      </c>
      <c r="G157" s="11">
        <v>12</v>
      </c>
      <c r="H157" s="11">
        <v>16</v>
      </c>
      <c r="I157" s="11">
        <v>288</v>
      </c>
      <c r="J157">
        <v>14</v>
      </c>
      <c r="K157" s="11">
        <v>278</v>
      </c>
      <c r="L157" s="13">
        <v>15</v>
      </c>
    </row>
    <row r="158" spans="1:12" ht="15" customHeight="1" x14ac:dyDescent="0.35">
      <c r="A158" s="12">
        <v>250</v>
      </c>
      <c r="B158" s="11" t="s">
        <v>2399</v>
      </c>
      <c r="C158" s="12">
        <v>254</v>
      </c>
      <c r="D158" s="12">
        <v>19</v>
      </c>
      <c r="E158" s="12">
        <v>370</v>
      </c>
      <c r="F158" s="12">
        <v>335</v>
      </c>
      <c r="G158" s="13">
        <v>12</v>
      </c>
      <c r="H158" s="13">
        <v>16</v>
      </c>
      <c r="I158" s="12">
        <v>288</v>
      </c>
      <c r="J158">
        <v>14</v>
      </c>
      <c r="K158" s="12">
        <v>278</v>
      </c>
      <c r="L158" s="12">
        <v>15</v>
      </c>
    </row>
    <row r="159" spans="1:12" x14ac:dyDescent="0.35">
      <c r="A159" s="12">
        <v>250</v>
      </c>
      <c r="B159" s="11">
        <v>6</v>
      </c>
      <c r="C159" s="12">
        <v>254</v>
      </c>
      <c r="D159" s="11">
        <v>21</v>
      </c>
      <c r="E159" s="12">
        <v>370</v>
      </c>
      <c r="F159" s="12">
        <v>335</v>
      </c>
      <c r="G159" s="12">
        <v>12</v>
      </c>
      <c r="H159" s="12">
        <v>16</v>
      </c>
      <c r="I159" s="11">
        <v>288</v>
      </c>
      <c r="J159">
        <v>17</v>
      </c>
      <c r="K159" s="12">
        <v>278</v>
      </c>
      <c r="L159" s="12">
        <v>15</v>
      </c>
    </row>
    <row r="160" spans="1:12" ht="15" customHeight="1" x14ac:dyDescent="0.35">
      <c r="A160" s="12">
        <v>250</v>
      </c>
      <c r="B160" s="11">
        <v>10</v>
      </c>
      <c r="C160" s="12">
        <v>254</v>
      </c>
      <c r="D160" s="11">
        <v>24</v>
      </c>
      <c r="E160" s="11">
        <v>390</v>
      </c>
      <c r="F160" s="11">
        <v>350</v>
      </c>
      <c r="G160" s="12">
        <v>12</v>
      </c>
      <c r="H160" s="13">
        <v>20</v>
      </c>
      <c r="I160" s="11">
        <v>290</v>
      </c>
      <c r="J160">
        <v>23</v>
      </c>
      <c r="K160" s="12">
        <v>278</v>
      </c>
      <c r="L160" s="13">
        <v>16</v>
      </c>
    </row>
    <row r="161" spans="1:12" ht="15" customHeight="1" x14ac:dyDescent="0.35">
      <c r="A161" s="12">
        <v>250</v>
      </c>
      <c r="B161" s="11">
        <v>16</v>
      </c>
      <c r="C161" s="12">
        <v>254</v>
      </c>
      <c r="D161" s="13">
        <v>26</v>
      </c>
      <c r="E161" s="13">
        <v>405</v>
      </c>
      <c r="F161" s="11">
        <v>355</v>
      </c>
      <c r="G161" s="12">
        <v>12</v>
      </c>
      <c r="H161" s="13">
        <v>24</v>
      </c>
      <c r="I161" s="11">
        <v>292</v>
      </c>
      <c r="J161">
        <v>26</v>
      </c>
      <c r="K161" s="12">
        <v>278</v>
      </c>
      <c r="L161" s="12">
        <v>16</v>
      </c>
    </row>
    <row r="162" spans="1:12" ht="15" customHeight="1" x14ac:dyDescent="0.35">
      <c r="A162" s="12">
        <v>250</v>
      </c>
      <c r="B162" s="11">
        <v>25</v>
      </c>
      <c r="C162" s="12">
        <v>254</v>
      </c>
      <c r="D162" s="13">
        <v>32</v>
      </c>
      <c r="E162" s="13">
        <v>425</v>
      </c>
      <c r="F162" s="11">
        <v>370</v>
      </c>
      <c r="G162" s="12">
        <v>12</v>
      </c>
      <c r="H162" s="13">
        <v>27</v>
      </c>
      <c r="I162" s="11">
        <v>300</v>
      </c>
      <c r="J162">
        <v>28</v>
      </c>
      <c r="K162" s="12">
        <v>278</v>
      </c>
      <c r="L162" s="13">
        <v>18</v>
      </c>
    </row>
    <row r="163" spans="1:12" ht="15" customHeight="1" x14ac:dyDescent="0.35">
      <c r="A163" s="12">
        <v>250</v>
      </c>
      <c r="B163" s="11">
        <v>40</v>
      </c>
      <c r="C163" s="11">
        <v>252</v>
      </c>
      <c r="D163" s="11">
        <v>42</v>
      </c>
      <c r="E163" s="11">
        <v>445</v>
      </c>
      <c r="F163" s="11">
        <v>385</v>
      </c>
      <c r="G163" s="12">
        <v>12</v>
      </c>
      <c r="H163" s="13">
        <v>30</v>
      </c>
      <c r="I163" s="11">
        <v>310</v>
      </c>
      <c r="J163">
        <v>41</v>
      </c>
      <c r="K163" s="12">
        <v>278</v>
      </c>
      <c r="L163" s="12">
        <v>18</v>
      </c>
    </row>
    <row r="164" spans="1:12" ht="15" customHeight="1" x14ac:dyDescent="0.35">
      <c r="A164" s="12">
        <v>250</v>
      </c>
      <c r="B164" s="11">
        <v>63</v>
      </c>
      <c r="C164" s="11">
        <v>246</v>
      </c>
      <c r="D164" s="11">
        <v>48</v>
      </c>
      <c r="E164" s="13">
        <v>470</v>
      </c>
      <c r="F164" s="11">
        <v>400</v>
      </c>
      <c r="G164" s="12">
        <v>12</v>
      </c>
      <c r="H164" s="11">
        <v>36</v>
      </c>
      <c r="I164" s="11">
        <v>316</v>
      </c>
      <c r="J164">
        <v>52</v>
      </c>
      <c r="K164" s="12">
        <v>278</v>
      </c>
      <c r="L164" s="12">
        <v>18</v>
      </c>
    </row>
    <row r="165" spans="1:12" ht="15" customHeight="1" x14ac:dyDescent="0.35">
      <c r="A165" s="12">
        <v>250</v>
      </c>
      <c r="B165" s="11">
        <v>100</v>
      </c>
      <c r="C165" s="11">
        <v>236</v>
      </c>
      <c r="D165" s="13">
        <v>60</v>
      </c>
      <c r="E165" s="11">
        <v>500</v>
      </c>
      <c r="F165" s="11">
        <v>430</v>
      </c>
      <c r="G165" s="12">
        <v>12</v>
      </c>
      <c r="H165" s="12">
        <v>36</v>
      </c>
      <c r="I165" s="11">
        <v>340</v>
      </c>
      <c r="J165">
        <v>85</v>
      </c>
      <c r="K165" s="12">
        <v>278</v>
      </c>
      <c r="L165" s="12">
        <v>18</v>
      </c>
    </row>
    <row r="166" spans="1:12" ht="15" customHeight="1" x14ac:dyDescent="0.35">
      <c r="A166" s="12">
        <v>250</v>
      </c>
      <c r="B166" s="11">
        <v>160</v>
      </c>
      <c r="C166" s="12">
        <v>236</v>
      </c>
      <c r="D166" s="13">
        <v>68</v>
      </c>
      <c r="E166" s="12">
        <v>500</v>
      </c>
      <c r="F166" s="12">
        <v>430</v>
      </c>
      <c r="G166" s="12">
        <v>12</v>
      </c>
      <c r="H166" s="12">
        <v>36</v>
      </c>
      <c r="I166" s="12">
        <v>340</v>
      </c>
      <c r="J166">
        <v>82</v>
      </c>
      <c r="K166" s="12">
        <v>278</v>
      </c>
      <c r="L166" s="12">
        <v>18</v>
      </c>
    </row>
    <row r="167" spans="1:12" x14ac:dyDescent="0.35">
      <c r="A167" s="12">
        <v>250</v>
      </c>
      <c r="B167" s="11">
        <v>200</v>
      </c>
      <c r="C167" s="11">
        <v>254</v>
      </c>
      <c r="D167" s="11">
        <v>110</v>
      </c>
      <c r="E167" s="11">
        <v>670</v>
      </c>
      <c r="F167" s="11">
        <v>572</v>
      </c>
      <c r="G167" s="11">
        <v>16</v>
      </c>
      <c r="H167" s="11">
        <v>52</v>
      </c>
      <c r="I167" s="11">
        <v>460</v>
      </c>
      <c r="J167">
        <v>175</v>
      </c>
      <c r="K167" s="11">
        <v>330</v>
      </c>
      <c r="L167" s="12">
        <v>18</v>
      </c>
    </row>
    <row r="168" spans="1:12" ht="15" customHeight="1" x14ac:dyDescent="0.35">
      <c r="A168" s="12">
        <v>250</v>
      </c>
      <c r="B168" s="11">
        <v>250</v>
      </c>
      <c r="C168" s="11">
        <v>254</v>
      </c>
      <c r="D168" s="11">
        <v>110</v>
      </c>
      <c r="E168" s="11">
        <v>670</v>
      </c>
      <c r="F168" s="11">
        <v>490</v>
      </c>
      <c r="G168" s="11">
        <v>16</v>
      </c>
      <c r="H168" s="11">
        <v>52</v>
      </c>
      <c r="I168" s="11">
        <v>460</v>
      </c>
      <c r="J168">
        <v>163</v>
      </c>
      <c r="K168" s="11">
        <v>330</v>
      </c>
      <c r="L168" s="13">
        <v>30</v>
      </c>
    </row>
    <row r="169" spans="1:12" ht="15" customHeight="1" x14ac:dyDescent="0.35">
      <c r="A169" s="11">
        <v>300</v>
      </c>
      <c r="B169" s="11">
        <v>1</v>
      </c>
      <c r="C169" s="11">
        <v>303</v>
      </c>
      <c r="D169" s="11">
        <v>20</v>
      </c>
      <c r="E169" s="11">
        <v>435</v>
      </c>
      <c r="F169" s="11">
        <v>395</v>
      </c>
      <c r="G169" s="11">
        <v>12</v>
      </c>
      <c r="H169" s="11">
        <v>20</v>
      </c>
      <c r="I169" s="11">
        <v>340</v>
      </c>
      <c r="J169">
        <v>14</v>
      </c>
      <c r="K169" s="11">
        <v>330</v>
      </c>
      <c r="L169" s="13">
        <v>15</v>
      </c>
    </row>
    <row r="170" spans="1:12" ht="15" customHeight="1" x14ac:dyDescent="0.35">
      <c r="A170" s="12">
        <v>300</v>
      </c>
      <c r="B170" s="11" t="s">
        <v>2399</v>
      </c>
      <c r="C170" s="12">
        <v>303</v>
      </c>
      <c r="D170" s="12">
        <v>20</v>
      </c>
      <c r="E170" s="12">
        <v>435</v>
      </c>
      <c r="F170" s="12">
        <v>395</v>
      </c>
      <c r="G170" s="13">
        <v>12</v>
      </c>
      <c r="H170" s="13">
        <v>20</v>
      </c>
      <c r="I170" s="12">
        <v>340</v>
      </c>
      <c r="J170">
        <v>14</v>
      </c>
      <c r="K170" s="12">
        <v>330</v>
      </c>
      <c r="L170" s="12">
        <v>15</v>
      </c>
    </row>
    <row r="171" spans="1:12" x14ac:dyDescent="0.35">
      <c r="A171" s="12">
        <v>300</v>
      </c>
      <c r="B171" s="11">
        <v>6</v>
      </c>
      <c r="C171" s="12">
        <v>303</v>
      </c>
      <c r="D171" s="11">
        <v>22</v>
      </c>
      <c r="E171" s="12">
        <v>435</v>
      </c>
      <c r="F171" s="12">
        <v>395</v>
      </c>
      <c r="G171" s="12">
        <v>12</v>
      </c>
      <c r="H171" s="12">
        <v>20</v>
      </c>
      <c r="I171" s="12">
        <v>340</v>
      </c>
      <c r="J171">
        <v>17</v>
      </c>
      <c r="K171" s="12">
        <v>330</v>
      </c>
      <c r="L171" s="12">
        <v>15</v>
      </c>
    </row>
    <row r="172" spans="1:12" ht="15" customHeight="1" x14ac:dyDescent="0.35">
      <c r="A172" s="12">
        <v>300</v>
      </c>
      <c r="B172" s="11">
        <v>10</v>
      </c>
      <c r="C172" s="12">
        <v>303</v>
      </c>
      <c r="D172" s="13">
        <v>26</v>
      </c>
      <c r="E172" s="11">
        <v>440</v>
      </c>
      <c r="F172" s="11">
        <v>400</v>
      </c>
      <c r="G172" s="12">
        <v>12</v>
      </c>
      <c r="H172" s="12">
        <v>20</v>
      </c>
      <c r="I172" s="11">
        <v>345</v>
      </c>
      <c r="J172">
        <v>22</v>
      </c>
      <c r="K172" s="12">
        <v>330</v>
      </c>
      <c r="L172" s="13">
        <v>16</v>
      </c>
    </row>
    <row r="173" spans="1:12" ht="15" customHeight="1" x14ac:dyDescent="0.35">
      <c r="A173" s="12">
        <v>300</v>
      </c>
      <c r="B173" s="11">
        <v>16</v>
      </c>
      <c r="C173" s="12">
        <v>303</v>
      </c>
      <c r="D173" s="13">
        <v>28</v>
      </c>
      <c r="E173" s="13">
        <v>460</v>
      </c>
      <c r="F173" s="11">
        <v>410</v>
      </c>
      <c r="G173" s="12">
        <v>12</v>
      </c>
      <c r="H173" s="13">
        <v>24</v>
      </c>
      <c r="I173" s="11">
        <v>346</v>
      </c>
      <c r="J173">
        <v>26</v>
      </c>
      <c r="K173" s="12">
        <v>330</v>
      </c>
      <c r="L173" s="12">
        <v>16</v>
      </c>
    </row>
    <row r="174" spans="1:12" ht="15" customHeight="1" x14ac:dyDescent="0.35">
      <c r="A174" s="12">
        <v>300</v>
      </c>
      <c r="B174" s="11">
        <v>25</v>
      </c>
      <c r="C174" s="12">
        <v>303</v>
      </c>
      <c r="D174" s="11">
        <v>36</v>
      </c>
      <c r="E174" s="13">
        <v>485</v>
      </c>
      <c r="F174" s="11">
        <v>430</v>
      </c>
      <c r="G174" s="13">
        <v>16</v>
      </c>
      <c r="H174" s="13">
        <v>27</v>
      </c>
      <c r="I174" s="11">
        <v>352</v>
      </c>
      <c r="J174">
        <v>30</v>
      </c>
      <c r="K174" s="12">
        <v>330</v>
      </c>
      <c r="L174" s="13">
        <v>18</v>
      </c>
    </row>
    <row r="175" spans="1:12" ht="15" customHeight="1" x14ac:dyDescent="0.35">
      <c r="A175" s="12">
        <v>300</v>
      </c>
      <c r="B175" s="11">
        <v>40</v>
      </c>
      <c r="C175" s="11">
        <v>301</v>
      </c>
      <c r="D175" s="11">
        <v>46</v>
      </c>
      <c r="E175" s="11">
        <v>510</v>
      </c>
      <c r="F175" s="11">
        <v>450</v>
      </c>
      <c r="G175" s="12">
        <v>16</v>
      </c>
      <c r="H175" s="13">
        <v>30</v>
      </c>
      <c r="I175" s="11">
        <v>368</v>
      </c>
      <c r="J175">
        <v>52</v>
      </c>
      <c r="K175" s="12">
        <v>330</v>
      </c>
      <c r="L175" s="12">
        <v>18</v>
      </c>
    </row>
    <row r="176" spans="1:12" ht="15" customHeight="1" x14ac:dyDescent="0.35">
      <c r="A176" s="12">
        <v>300</v>
      </c>
      <c r="B176" s="11">
        <v>63</v>
      </c>
      <c r="C176" s="11">
        <v>294</v>
      </c>
      <c r="D176" s="11">
        <v>54</v>
      </c>
      <c r="E176" s="13">
        <v>530</v>
      </c>
      <c r="F176" s="11">
        <v>460</v>
      </c>
      <c r="G176" s="12">
        <v>16</v>
      </c>
      <c r="H176" s="11">
        <v>36</v>
      </c>
      <c r="I176" s="11">
        <v>370</v>
      </c>
      <c r="J176">
        <v>52</v>
      </c>
      <c r="K176" s="12">
        <v>330</v>
      </c>
      <c r="L176" s="12">
        <v>18</v>
      </c>
    </row>
    <row r="177" spans="1:12" ht="15" customHeight="1" x14ac:dyDescent="0.35">
      <c r="A177" s="12">
        <v>300</v>
      </c>
      <c r="B177" s="11">
        <v>100</v>
      </c>
      <c r="C177" s="11">
        <v>284</v>
      </c>
      <c r="D177" s="11">
        <v>70</v>
      </c>
      <c r="E177" s="13">
        <v>585</v>
      </c>
      <c r="F177" s="11">
        <v>500</v>
      </c>
      <c r="G177" s="12">
        <v>16</v>
      </c>
      <c r="H177" s="11">
        <v>42</v>
      </c>
      <c r="I177" s="11">
        <v>400</v>
      </c>
      <c r="J177">
        <v>96</v>
      </c>
      <c r="K177" s="12">
        <v>330</v>
      </c>
      <c r="L177" s="12">
        <v>18</v>
      </c>
    </row>
    <row r="178" spans="1:12" ht="15" customHeight="1" x14ac:dyDescent="0.35">
      <c r="A178" s="12">
        <v>300</v>
      </c>
      <c r="B178" s="11">
        <v>160</v>
      </c>
      <c r="C178" s="12">
        <v>284</v>
      </c>
      <c r="D178" s="13">
        <v>78</v>
      </c>
      <c r="E178" s="12">
        <v>585</v>
      </c>
      <c r="F178" s="12">
        <v>500</v>
      </c>
      <c r="G178" s="12">
        <v>16</v>
      </c>
      <c r="H178" s="12">
        <v>42</v>
      </c>
      <c r="I178" s="12">
        <v>400</v>
      </c>
      <c r="J178">
        <v>93</v>
      </c>
      <c r="K178" s="12">
        <v>330</v>
      </c>
      <c r="L178" s="12">
        <v>18</v>
      </c>
    </row>
    <row r="179" spans="1:12" ht="15" customHeight="1" x14ac:dyDescent="0.35">
      <c r="A179" s="11">
        <v>350</v>
      </c>
      <c r="B179" s="11">
        <v>1</v>
      </c>
      <c r="C179" s="11">
        <v>351</v>
      </c>
      <c r="D179" s="11">
        <v>20</v>
      </c>
      <c r="E179" s="11">
        <v>485</v>
      </c>
      <c r="F179" s="11">
        <v>445</v>
      </c>
      <c r="G179" s="11">
        <v>12</v>
      </c>
      <c r="H179" s="11">
        <v>20</v>
      </c>
      <c r="I179" s="11">
        <v>390</v>
      </c>
      <c r="J179">
        <v>14</v>
      </c>
      <c r="K179" s="11">
        <v>382</v>
      </c>
      <c r="L179" s="13">
        <v>15</v>
      </c>
    </row>
    <row r="180" spans="1:12" ht="15" customHeight="1" x14ac:dyDescent="0.35">
      <c r="A180" s="12">
        <v>350</v>
      </c>
      <c r="B180" s="11" t="s">
        <v>2399</v>
      </c>
      <c r="C180" s="12">
        <v>351</v>
      </c>
      <c r="D180" s="12">
        <v>20</v>
      </c>
      <c r="E180" s="12">
        <v>485</v>
      </c>
      <c r="F180" s="12">
        <v>445</v>
      </c>
      <c r="G180" s="13">
        <v>12</v>
      </c>
      <c r="H180" s="13">
        <v>20</v>
      </c>
      <c r="I180" s="12">
        <v>390</v>
      </c>
      <c r="J180">
        <v>14</v>
      </c>
      <c r="K180" s="12">
        <v>382</v>
      </c>
      <c r="L180" s="12">
        <v>15</v>
      </c>
    </row>
    <row r="181" spans="1:12" x14ac:dyDescent="0.35">
      <c r="A181" s="12">
        <v>350</v>
      </c>
      <c r="B181" s="11">
        <v>6</v>
      </c>
      <c r="C181" s="12">
        <v>351</v>
      </c>
      <c r="D181" s="11">
        <v>22</v>
      </c>
      <c r="E181" s="12">
        <v>485</v>
      </c>
      <c r="F181" s="12">
        <v>445</v>
      </c>
      <c r="G181" s="12">
        <v>12</v>
      </c>
      <c r="H181" s="12">
        <v>20</v>
      </c>
      <c r="I181" s="12">
        <v>390</v>
      </c>
      <c r="J181">
        <v>17</v>
      </c>
      <c r="K181" s="12">
        <v>382</v>
      </c>
      <c r="L181" s="12">
        <v>15</v>
      </c>
    </row>
    <row r="182" spans="1:12" ht="15" customHeight="1" x14ac:dyDescent="0.35">
      <c r="A182" s="12">
        <v>350</v>
      </c>
      <c r="B182" s="11">
        <v>10</v>
      </c>
      <c r="C182" s="12">
        <v>351</v>
      </c>
      <c r="D182" s="13">
        <v>26</v>
      </c>
      <c r="E182" s="11">
        <v>500</v>
      </c>
      <c r="F182" s="11">
        <v>460</v>
      </c>
      <c r="G182" s="13">
        <v>16</v>
      </c>
      <c r="H182" s="12">
        <v>20</v>
      </c>
      <c r="I182" s="11">
        <v>400</v>
      </c>
      <c r="J182">
        <v>22</v>
      </c>
      <c r="K182" s="12">
        <v>382</v>
      </c>
      <c r="L182" s="13">
        <v>16</v>
      </c>
    </row>
    <row r="183" spans="1:12" ht="15" customHeight="1" x14ac:dyDescent="0.35">
      <c r="A183" s="12">
        <v>350</v>
      </c>
      <c r="B183" s="11">
        <v>16</v>
      </c>
      <c r="C183" s="12">
        <v>351</v>
      </c>
      <c r="D183" s="11">
        <v>32</v>
      </c>
      <c r="E183" s="13">
        <v>520</v>
      </c>
      <c r="F183" s="11">
        <v>470</v>
      </c>
      <c r="G183" s="12">
        <v>16</v>
      </c>
      <c r="H183" s="13">
        <v>24</v>
      </c>
      <c r="I183" s="12">
        <v>400</v>
      </c>
      <c r="J183">
        <v>26</v>
      </c>
      <c r="K183" s="12">
        <v>382</v>
      </c>
      <c r="L183" s="12">
        <v>16</v>
      </c>
    </row>
    <row r="184" spans="1:12" ht="15" customHeight="1" x14ac:dyDescent="0.35">
      <c r="A184" s="12">
        <v>350</v>
      </c>
      <c r="B184" s="11">
        <v>25</v>
      </c>
      <c r="C184" s="12">
        <v>351</v>
      </c>
      <c r="D184" s="11">
        <v>40</v>
      </c>
      <c r="E184" s="11">
        <v>550</v>
      </c>
      <c r="F184" s="11">
        <v>490</v>
      </c>
      <c r="G184" s="12">
        <v>16</v>
      </c>
      <c r="H184" s="13">
        <v>30</v>
      </c>
      <c r="I184" s="11">
        <v>406</v>
      </c>
      <c r="J184">
        <v>29</v>
      </c>
      <c r="K184" s="12">
        <v>382</v>
      </c>
      <c r="L184" s="13">
        <v>20</v>
      </c>
    </row>
    <row r="185" spans="1:12" x14ac:dyDescent="0.35">
      <c r="A185" s="12">
        <v>350</v>
      </c>
      <c r="B185" s="11">
        <v>40</v>
      </c>
      <c r="C185" s="12">
        <v>351</v>
      </c>
      <c r="D185" s="11">
        <v>52</v>
      </c>
      <c r="E185" s="11">
        <v>570</v>
      </c>
      <c r="F185" s="11">
        <v>510</v>
      </c>
      <c r="G185" s="12">
        <v>16</v>
      </c>
      <c r="H185" s="11">
        <v>30</v>
      </c>
      <c r="I185" s="11">
        <v>418</v>
      </c>
      <c r="J185">
        <v>48</v>
      </c>
      <c r="K185" s="12">
        <v>382</v>
      </c>
      <c r="L185" s="12">
        <v>20</v>
      </c>
    </row>
    <row r="186" spans="1:12" ht="15" customHeight="1" x14ac:dyDescent="0.35">
      <c r="A186" s="12">
        <v>350</v>
      </c>
      <c r="B186" s="11">
        <v>63</v>
      </c>
      <c r="C186" s="11">
        <v>342</v>
      </c>
      <c r="D186" s="11">
        <v>60</v>
      </c>
      <c r="E186" s="11">
        <v>595</v>
      </c>
      <c r="F186" s="11">
        <v>525</v>
      </c>
      <c r="G186" s="12">
        <v>16</v>
      </c>
      <c r="H186" s="13">
        <v>36</v>
      </c>
      <c r="I186" s="11">
        <v>430</v>
      </c>
      <c r="J186">
        <v>64</v>
      </c>
      <c r="K186" s="12">
        <v>382</v>
      </c>
      <c r="L186" s="12">
        <v>20</v>
      </c>
    </row>
    <row r="187" spans="1:12" ht="15" customHeight="1" x14ac:dyDescent="0.35">
      <c r="A187" s="12">
        <v>350</v>
      </c>
      <c r="B187" s="11">
        <v>100</v>
      </c>
      <c r="C187" s="11">
        <v>332</v>
      </c>
      <c r="D187" s="11">
        <v>76</v>
      </c>
      <c r="E187" s="13">
        <v>655</v>
      </c>
      <c r="F187" s="11">
        <v>560</v>
      </c>
      <c r="G187" s="12">
        <v>16</v>
      </c>
      <c r="H187" s="11">
        <v>48</v>
      </c>
      <c r="I187" s="11">
        <v>460</v>
      </c>
      <c r="J187">
        <v>103</v>
      </c>
      <c r="K187" s="12">
        <v>382</v>
      </c>
      <c r="L187" s="12">
        <v>20</v>
      </c>
    </row>
    <row r="188" spans="1:12" ht="15" customHeight="1" x14ac:dyDescent="0.35">
      <c r="A188" s="12">
        <v>350</v>
      </c>
      <c r="B188" s="11">
        <v>160</v>
      </c>
      <c r="C188" s="12">
        <v>332</v>
      </c>
      <c r="D188" s="11">
        <v>84</v>
      </c>
      <c r="E188" s="11">
        <v>655</v>
      </c>
      <c r="F188" s="12">
        <v>560</v>
      </c>
      <c r="G188" s="11">
        <v>16</v>
      </c>
      <c r="H188" s="12">
        <v>48</v>
      </c>
      <c r="I188" s="12">
        <v>460</v>
      </c>
      <c r="J188">
        <v>97.5</v>
      </c>
      <c r="K188" s="12">
        <v>382</v>
      </c>
      <c r="L188" s="13" t="s">
        <v>2799</v>
      </c>
    </row>
    <row r="189" spans="1:12" ht="15" customHeight="1" x14ac:dyDescent="0.35">
      <c r="A189" s="11">
        <v>400</v>
      </c>
      <c r="B189" s="11">
        <v>1</v>
      </c>
      <c r="C189" s="11">
        <v>398</v>
      </c>
      <c r="D189" s="11">
        <v>20</v>
      </c>
      <c r="E189" s="11">
        <v>535</v>
      </c>
      <c r="F189" s="11">
        <v>495</v>
      </c>
      <c r="G189" s="11">
        <v>16</v>
      </c>
      <c r="H189" s="11">
        <v>20</v>
      </c>
      <c r="I189" s="11">
        <v>440</v>
      </c>
      <c r="J189">
        <v>14</v>
      </c>
      <c r="K189" s="11">
        <v>432</v>
      </c>
      <c r="L189" s="13">
        <v>15</v>
      </c>
    </row>
    <row r="190" spans="1:12" ht="15" customHeight="1" x14ac:dyDescent="0.35">
      <c r="A190" s="12">
        <v>400</v>
      </c>
      <c r="B190" s="11" t="s">
        <v>2399</v>
      </c>
      <c r="C190" s="12">
        <v>398</v>
      </c>
      <c r="D190" s="12">
        <v>20</v>
      </c>
      <c r="E190" s="12">
        <v>535</v>
      </c>
      <c r="F190" s="12">
        <v>495</v>
      </c>
      <c r="G190" s="13">
        <v>16</v>
      </c>
      <c r="H190" s="13">
        <v>20</v>
      </c>
      <c r="I190" s="12">
        <v>440</v>
      </c>
      <c r="J190">
        <v>14</v>
      </c>
      <c r="K190" s="12">
        <v>432</v>
      </c>
      <c r="L190" s="12">
        <v>15</v>
      </c>
    </row>
    <row r="191" spans="1:12" x14ac:dyDescent="0.35">
      <c r="A191" s="12">
        <v>400</v>
      </c>
      <c r="B191" s="11">
        <v>6</v>
      </c>
      <c r="C191" s="12">
        <v>398</v>
      </c>
      <c r="D191" s="11">
        <v>22</v>
      </c>
      <c r="E191" s="12">
        <v>535</v>
      </c>
      <c r="F191" s="12">
        <v>495</v>
      </c>
      <c r="G191" s="12">
        <v>16</v>
      </c>
      <c r="H191" s="12">
        <v>20</v>
      </c>
      <c r="I191" s="12">
        <v>440</v>
      </c>
      <c r="J191">
        <v>17</v>
      </c>
      <c r="K191" s="12">
        <v>432</v>
      </c>
      <c r="L191" s="12">
        <v>15</v>
      </c>
    </row>
    <row r="192" spans="1:12" ht="15" customHeight="1" x14ac:dyDescent="0.35">
      <c r="A192" s="12">
        <v>400</v>
      </c>
      <c r="B192" s="11">
        <v>10</v>
      </c>
      <c r="C192" s="12">
        <v>398</v>
      </c>
      <c r="D192" s="13">
        <v>26</v>
      </c>
      <c r="E192" s="13">
        <v>565</v>
      </c>
      <c r="F192" s="11">
        <v>515</v>
      </c>
      <c r="G192" s="12">
        <v>16</v>
      </c>
      <c r="H192" s="13">
        <v>24</v>
      </c>
      <c r="I192" s="11">
        <v>445</v>
      </c>
      <c r="J192">
        <v>22</v>
      </c>
      <c r="K192" s="12">
        <v>432</v>
      </c>
      <c r="L192" s="13">
        <v>16</v>
      </c>
    </row>
    <row r="193" spans="1:12" ht="15" customHeight="1" x14ac:dyDescent="0.35">
      <c r="A193" s="12">
        <v>400</v>
      </c>
      <c r="B193" s="11">
        <v>16</v>
      </c>
      <c r="C193" s="12">
        <v>398</v>
      </c>
      <c r="D193" s="11">
        <v>36</v>
      </c>
      <c r="E193" s="13">
        <v>580</v>
      </c>
      <c r="F193" s="11">
        <v>525</v>
      </c>
      <c r="G193" s="12">
        <v>16</v>
      </c>
      <c r="H193" s="13">
        <v>27</v>
      </c>
      <c r="I193" s="11">
        <v>450</v>
      </c>
      <c r="J193">
        <v>27</v>
      </c>
      <c r="K193" s="12">
        <v>432</v>
      </c>
      <c r="L193" s="12">
        <v>16</v>
      </c>
    </row>
    <row r="194" spans="1:12" ht="15" customHeight="1" x14ac:dyDescent="0.35">
      <c r="A194" s="12">
        <v>400</v>
      </c>
      <c r="B194" s="11">
        <v>25</v>
      </c>
      <c r="C194" s="12">
        <v>398</v>
      </c>
      <c r="D194" s="11">
        <v>44</v>
      </c>
      <c r="E194" s="11">
        <v>610</v>
      </c>
      <c r="F194" s="11">
        <v>550</v>
      </c>
      <c r="G194" s="12">
        <v>16</v>
      </c>
      <c r="H194" s="11">
        <v>30</v>
      </c>
      <c r="I194" s="11">
        <v>464</v>
      </c>
      <c r="J194">
        <v>40</v>
      </c>
      <c r="K194" s="12">
        <v>432</v>
      </c>
      <c r="L194" s="13">
        <v>20</v>
      </c>
    </row>
    <row r="195" spans="1:12" ht="15" customHeight="1" x14ac:dyDescent="0.35">
      <c r="A195" s="12">
        <v>400</v>
      </c>
      <c r="B195" s="11">
        <v>40</v>
      </c>
      <c r="C195" s="12">
        <v>398</v>
      </c>
      <c r="D195" s="11">
        <v>58</v>
      </c>
      <c r="E195" s="11">
        <v>655</v>
      </c>
      <c r="F195" s="11">
        <v>585</v>
      </c>
      <c r="G195" s="12">
        <v>16</v>
      </c>
      <c r="H195" s="13">
        <v>36</v>
      </c>
      <c r="I195" s="11">
        <v>480</v>
      </c>
      <c r="J195">
        <v>61</v>
      </c>
      <c r="K195" s="12">
        <v>432</v>
      </c>
      <c r="L195" s="12">
        <v>20</v>
      </c>
    </row>
    <row r="196" spans="1:12" ht="15" customHeight="1" x14ac:dyDescent="0.35">
      <c r="A196" s="12">
        <v>400</v>
      </c>
      <c r="B196" s="11">
        <v>63</v>
      </c>
      <c r="C196" s="11">
        <v>386</v>
      </c>
      <c r="D196" s="11">
        <v>66</v>
      </c>
      <c r="E196" s="13">
        <v>670</v>
      </c>
      <c r="F196" s="12">
        <v>585</v>
      </c>
      <c r="G196" s="12">
        <v>16</v>
      </c>
      <c r="H196" s="11">
        <v>42</v>
      </c>
      <c r="I196" s="12">
        <v>480</v>
      </c>
      <c r="J196">
        <v>73</v>
      </c>
      <c r="K196" s="12">
        <v>432</v>
      </c>
      <c r="L196" s="12">
        <v>20</v>
      </c>
    </row>
    <row r="197" spans="1:12" ht="15" customHeight="1" x14ac:dyDescent="0.35">
      <c r="A197" s="12">
        <v>400</v>
      </c>
      <c r="B197" s="11">
        <v>100</v>
      </c>
      <c r="C197" s="11">
        <v>376</v>
      </c>
      <c r="D197" s="11">
        <v>80</v>
      </c>
      <c r="E197" s="13">
        <v>715</v>
      </c>
      <c r="F197" s="11">
        <v>620</v>
      </c>
      <c r="G197" s="12">
        <v>16</v>
      </c>
      <c r="H197" s="11">
        <v>48</v>
      </c>
      <c r="I197" s="11">
        <v>510</v>
      </c>
      <c r="J197">
        <v>104</v>
      </c>
      <c r="K197" s="12">
        <v>432</v>
      </c>
      <c r="L197" s="12">
        <v>20</v>
      </c>
    </row>
    <row r="198" spans="1:12" ht="15" customHeight="1" x14ac:dyDescent="0.35">
      <c r="A198" s="12">
        <v>400</v>
      </c>
      <c r="B198" s="11">
        <v>160</v>
      </c>
      <c r="C198" s="12">
        <v>376</v>
      </c>
      <c r="D198" s="11">
        <v>88</v>
      </c>
      <c r="E198" s="11">
        <v>715</v>
      </c>
      <c r="F198" s="12">
        <v>620</v>
      </c>
      <c r="G198" s="11">
        <v>16</v>
      </c>
      <c r="H198" s="12">
        <v>48</v>
      </c>
      <c r="I198" s="12">
        <v>510</v>
      </c>
      <c r="J198">
        <v>97.5</v>
      </c>
      <c r="K198" s="12">
        <v>432</v>
      </c>
      <c r="L198" s="13" t="s">
        <v>2800</v>
      </c>
    </row>
    <row r="199" spans="1:12" ht="15" customHeight="1" x14ac:dyDescent="0.35">
      <c r="A199" s="11">
        <v>450</v>
      </c>
      <c r="B199" s="11">
        <v>1</v>
      </c>
      <c r="C199" s="11">
        <v>450</v>
      </c>
      <c r="D199" s="11">
        <v>20</v>
      </c>
      <c r="E199" s="11">
        <v>590</v>
      </c>
      <c r="F199" s="11">
        <v>550</v>
      </c>
      <c r="G199" s="11">
        <v>16</v>
      </c>
      <c r="H199" s="11">
        <v>20</v>
      </c>
      <c r="I199" s="11">
        <v>494</v>
      </c>
      <c r="J199">
        <v>19</v>
      </c>
      <c r="K199" s="11">
        <v>484</v>
      </c>
      <c r="L199" s="13">
        <v>15</v>
      </c>
    </row>
    <row r="200" spans="1:12" ht="15" customHeight="1" x14ac:dyDescent="0.35">
      <c r="A200" s="12">
        <v>450</v>
      </c>
      <c r="B200" s="11" t="s">
        <v>2399</v>
      </c>
      <c r="C200" s="12">
        <v>450</v>
      </c>
      <c r="D200" s="12">
        <v>20</v>
      </c>
      <c r="E200" s="12">
        <v>590</v>
      </c>
      <c r="F200" s="12">
        <v>550</v>
      </c>
      <c r="G200" s="13">
        <v>16</v>
      </c>
      <c r="H200" s="13">
        <v>20</v>
      </c>
      <c r="I200" s="12">
        <v>494</v>
      </c>
      <c r="J200">
        <v>19</v>
      </c>
      <c r="K200" s="12">
        <v>484</v>
      </c>
      <c r="L200" s="12">
        <v>15</v>
      </c>
    </row>
    <row r="201" spans="1:12" x14ac:dyDescent="0.35">
      <c r="A201" s="12">
        <v>450</v>
      </c>
      <c r="B201" s="11">
        <v>6</v>
      </c>
      <c r="C201" s="12">
        <v>450</v>
      </c>
      <c r="D201" s="11">
        <v>22</v>
      </c>
      <c r="E201" s="12">
        <v>590</v>
      </c>
      <c r="F201" s="12">
        <v>550</v>
      </c>
      <c r="G201" s="12">
        <v>16</v>
      </c>
      <c r="H201" s="12">
        <v>20</v>
      </c>
      <c r="I201" s="12">
        <v>494</v>
      </c>
      <c r="J201">
        <v>17</v>
      </c>
      <c r="K201" s="12">
        <v>484</v>
      </c>
      <c r="L201" s="12">
        <v>15</v>
      </c>
    </row>
    <row r="202" spans="1:12" ht="15" customHeight="1" x14ac:dyDescent="0.35">
      <c r="A202" s="12">
        <v>450</v>
      </c>
      <c r="B202" s="11">
        <v>10</v>
      </c>
      <c r="C202" s="12">
        <v>450</v>
      </c>
      <c r="D202" s="11">
        <v>26</v>
      </c>
      <c r="E202" s="13">
        <v>615</v>
      </c>
      <c r="F202" s="11">
        <v>565</v>
      </c>
      <c r="G202" s="13">
        <v>20</v>
      </c>
      <c r="H202" s="13">
        <v>24</v>
      </c>
      <c r="I202" s="11">
        <v>500</v>
      </c>
      <c r="J202">
        <v>27</v>
      </c>
      <c r="K202" s="12">
        <v>484</v>
      </c>
      <c r="L202" s="13">
        <v>16</v>
      </c>
    </row>
    <row r="203" spans="1:12" ht="15" customHeight="1" x14ac:dyDescent="0.35">
      <c r="A203" s="12">
        <v>450</v>
      </c>
      <c r="B203" s="11">
        <v>16</v>
      </c>
      <c r="C203" s="12">
        <v>450</v>
      </c>
      <c r="D203" s="11">
        <v>38</v>
      </c>
      <c r="E203" s="13">
        <v>640</v>
      </c>
      <c r="F203" s="11">
        <v>585</v>
      </c>
      <c r="G203" s="12">
        <v>20</v>
      </c>
      <c r="H203" s="13">
        <v>27</v>
      </c>
      <c r="I203" s="11">
        <v>506</v>
      </c>
      <c r="J203">
        <v>35</v>
      </c>
      <c r="K203" s="12">
        <v>484</v>
      </c>
      <c r="L203" s="12">
        <v>16</v>
      </c>
    </row>
    <row r="204" spans="1:12" ht="15" customHeight="1" x14ac:dyDescent="0.35">
      <c r="A204" s="12">
        <v>450</v>
      </c>
      <c r="B204" s="11">
        <v>25</v>
      </c>
      <c r="C204" s="12">
        <v>450</v>
      </c>
      <c r="D204" s="13">
        <v>46</v>
      </c>
      <c r="E204" s="11">
        <v>660</v>
      </c>
      <c r="F204" s="11">
        <v>600</v>
      </c>
      <c r="G204" s="12">
        <v>20</v>
      </c>
      <c r="H204" s="11">
        <v>30</v>
      </c>
      <c r="I204" s="11">
        <v>515</v>
      </c>
      <c r="J204">
        <v>38</v>
      </c>
      <c r="K204" s="12">
        <v>484</v>
      </c>
      <c r="L204" s="13">
        <v>20</v>
      </c>
    </row>
    <row r="205" spans="1:12" ht="15" customHeight="1" x14ac:dyDescent="0.35">
      <c r="A205" s="12">
        <v>450</v>
      </c>
      <c r="B205" s="11">
        <v>40</v>
      </c>
      <c r="C205" s="11">
        <v>448</v>
      </c>
      <c r="D205" s="11">
        <v>60</v>
      </c>
      <c r="E205" s="11">
        <v>680</v>
      </c>
      <c r="F205" s="11">
        <v>610</v>
      </c>
      <c r="G205" s="12">
        <v>20</v>
      </c>
      <c r="H205" s="13">
        <v>36</v>
      </c>
      <c r="I205" s="11">
        <v>530</v>
      </c>
      <c r="J205">
        <v>59</v>
      </c>
      <c r="K205" s="12">
        <v>484</v>
      </c>
      <c r="L205" s="12">
        <v>20</v>
      </c>
    </row>
    <row r="206" spans="1:12" ht="15" customHeight="1" x14ac:dyDescent="0.35">
      <c r="A206" s="12">
        <v>450</v>
      </c>
      <c r="B206" s="11">
        <v>63</v>
      </c>
      <c r="C206" s="11">
        <v>436</v>
      </c>
      <c r="D206" s="11">
        <v>68</v>
      </c>
      <c r="E206" s="11">
        <v>695</v>
      </c>
      <c r="F206" s="12">
        <v>610</v>
      </c>
      <c r="G206" s="11">
        <v>16</v>
      </c>
      <c r="H206" s="11">
        <v>42</v>
      </c>
      <c r="I206" s="11">
        <v>534</v>
      </c>
      <c r="J206">
        <v>62.5</v>
      </c>
      <c r="K206" s="12">
        <v>484</v>
      </c>
      <c r="L206" s="13" t="s">
        <v>2798</v>
      </c>
    </row>
    <row r="207" spans="1:12" ht="15" customHeight="1" x14ac:dyDescent="0.35">
      <c r="A207" s="12">
        <v>450</v>
      </c>
      <c r="B207" s="11">
        <v>100</v>
      </c>
      <c r="C207" s="11">
        <v>426</v>
      </c>
      <c r="D207" s="11">
        <v>82</v>
      </c>
      <c r="E207" s="11">
        <v>740</v>
      </c>
      <c r="F207" s="11">
        <v>645</v>
      </c>
      <c r="G207" s="12">
        <v>16</v>
      </c>
      <c r="H207" s="11">
        <v>48</v>
      </c>
      <c r="I207" s="11">
        <v>560</v>
      </c>
      <c r="J207">
        <v>95</v>
      </c>
      <c r="K207" s="12">
        <v>484</v>
      </c>
      <c r="L207" s="13">
        <v>27</v>
      </c>
    </row>
    <row r="208" spans="1:12" ht="15" customHeight="1" x14ac:dyDescent="0.35">
      <c r="A208" s="11">
        <v>500</v>
      </c>
      <c r="B208" s="11">
        <v>1</v>
      </c>
      <c r="C208" s="11">
        <v>501</v>
      </c>
      <c r="D208" s="11">
        <v>23</v>
      </c>
      <c r="E208" s="11">
        <v>640</v>
      </c>
      <c r="F208" s="11">
        <v>600</v>
      </c>
      <c r="G208" s="11">
        <v>16</v>
      </c>
      <c r="H208" s="11">
        <v>20</v>
      </c>
      <c r="I208" s="11">
        <v>545</v>
      </c>
      <c r="J208">
        <v>16</v>
      </c>
      <c r="K208" s="11">
        <v>535</v>
      </c>
      <c r="L208" s="13">
        <v>15</v>
      </c>
    </row>
    <row r="209" spans="1:12" ht="15" customHeight="1" x14ac:dyDescent="0.35">
      <c r="A209" s="12">
        <v>500</v>
      </c>
      <c r="B209" s="11" t="s">
        <v>2399</v>
      </c>
      <c r="C209" s="12">
        <v>501</v>
      </c>
      <c r="D209" s="12">
        <v>23</v>
      </c>
      <c r="E209" s="12">
        <v>640</v>
      </c>
      <c r="F209" s="12">
        <v>600</v>
      </c>
      <c r="G209" s="12">
        <v>16</v>
      </c>
      <c r="H209" s="13">
        <v>20</v>
      </c>
      <c r="I209" s="12">
        <v>545</v>
      </c>
      <c r="J209">
        <v>16</v>
      </c>
      <c r="K209" s="12">
        <v>535</v>
      </c>
      <c r="L209" s="12">
        <v>15</v>
      </c>
    </row>
    <row r="210" spans="1:12" x14ac:dyDescent="0.35">
      <c r="A210" s="12">
        <v>500</v>
      </c>
      <c r="B210" s="11">
        <v>6</v>
      </c>
      <c r="C210" s="12">
        <v>501</v>
      </c>
      <c r="D210" s="12">
        <v>23</v>
      </c>
      <c r="E210" s="12">
        <v>640</v>
      </c>
      <c r="F210" s="12">
        <v>600</v>
      </c>
      <c r="G210" s="12">
        <v>16</v>
      </c>
      <c r="H210" s="12">
        <v>20</v>
      </c>
      <c r="I210" s="12">
        <v>545</v>
      </c>
      <c r="J210">
        <v>16</v>
      </c>
      <c r="K210" s="12">
        <v>535</v>
      </c>
      <c r="L210" s="12">
        <v>15</v>
      </c>
    </row>
    <row r="211" spans="1:12" ht="15" customHeight="1" x14ac:dyDescent="0.35">
      <c r="A211" s="12">
        <v>500</v>
      </c>
      <c r="B211" s="11">
        <v>10</v>
      </c>
      <c r="C211" s="12">
        <v>501</v>
      </c>
      <c r="D211" s="13">
        <v>28</v>
      </c>
      <c r="E211" s="13">
        <v>670</v>
      </c>
      <c r="F211" s="11">
        <v>620</v>
      </c>
      <c r="G211" s="13">
        <v>20</v>
      </c>
      <c r="H211" s="13">
        <v>24</v>
      </c>
      <c r="I211" s="11">
        <v>550</v>
      </c>
      <c r="J211">
        <v>25</v>
      </c>
      <c r="K211" s="12">
        <v>535</v>
      </c>
      <c r="L211" s="13">
        <v>16</v>
      </c>
    </row>
    <row r="212" spans="1:12" ht="15" customHeight="1" x14ac:dyDescent="0.35">
      <c r="A212" s="12">
        <v>500</v>
      </c>
      <c r="B212" s="11">
        <v>16</v>
      </c>
      <c r="C212" s="12">
        <v>501</v>
      </c>
      <c r="D212" s="11">
        <v>42</v>
      </c>
      <c r="E212" s="11">
        <v>710</v>
      </c>
      <c r="F212" s="11">
        <v>650</v>
      </c>
      <c r="G212" s="12">
        <v>20</v>
      </c>
      <c r="H212" s="13">
        <v>30</v>
      </c>
      <c r="I212" s="11">
        <v>559</v>
      </c>
      <c r="J212">
        <v>36</v>
      </c>
      <c r="K212" s="12">
        <v>535</v>
      </c>
      <c r="L212" s="12">
        <v>16</v>
      </c>
    </row>
    <row r="213" spans="1:12" ht="15" customHeight="1" x14ac:dyDescent="0.35">
      <c r="A213" s="12">
        <v>500</v>
      </c>
      <c r="B213" s="11">
        <v>25</v>
      </c>
      <c r="C213" s="11">
        <v>500</v>
      </c>
      <c r="D213" s="13">
        <v>48</v>
      </c>
      <c r="E213" s="13">
        <v>730</v>
      </c>
      <c r="F213" s="11">
        <v>660</v>
      </c>
      <c r="G213" s="12">
        <v>20</v>
      </c>
      <c r="H213" s="11">
        <v>36</v>
      </c>
      <c r="I213" s="11">
        <v>570</v>
      </c>
      <c r="J213">
        <v>36</v>
      </c>
      <c r="K213" s="12">
        <v>535</v>
      </c>
      <c r="L213" s="13">
        <v>20</v>
      </c>
    </row>
    <row r="214" spans="1:12" ht="15" customHeight="1" x14ac:dyDescent="0.35">
      <c r="A214" s="12">
        <v>500</v>
      </c>
      <c r="B214" s="11">
        <v>40</v>
      </c>
      <c r="C214" s="11">
        <v>495</v>
      </c>
      <c r="D214" s="11">
        <v>62</v>
      </c>
      <c r="E214" s="13">
        <v>755</v>
      </c>
      <c r="F214" s="11">
        <v>670</v>
      </c>
      <c r="G214" s="12">
        <v>20</v>
      </c>
      <c r="H214" s="11">
        <v>42</v>
      </c>
      <c r="I214" s="11">
        <v>580</v>
      </c>
      <c r="J214">
        <v>62</v>
      </c>
      <c r="K214" s="12">
        <v>535</v>
      </c>
      <c r="L214" s="12">
        <v>20</v>
      </c>
    </row>
    <row r="215" spans="1:12" ht="15" customHeight="1" x14ac:dyDescent="0.35">
      <c r="A215" s="12">
        <v>500</v>
      </c>
      <c r="B215" s="11">
        <v>63</v>
      </c>
      <c r="C215" s="11">
        <v>485</v>
      </c>
      <c r="D215" s="11">
        <v>70</v>
      </c>
      <c r="E215" s="13">
        <v>800</v>
      </c>
      <c r="F215" s="11">
        <v>705</v>
      </c>
      <c r="G215" s="12">
        <v>20</v>
      </c>
      <c r="H215" s="11">
        <v>48</v>
      </c>
      <c r="I215" s="11">
        <v>594</v>
      </c>
      <c r="J215">
        <v>79</v>
      </c>
      <c r="K215" s="12">
        <v>535</v>
      </c>
      <c r="L215" s="11">
        <v>20</v>
      </c>
    </row>
    <row r="216" spans="1:12" ht="15" customHeight="1" x14ac:dyDescent="0.35">
      <c r="A216" s="12">
        <v>500</v>
      </c>
      <c r="B216" s="11">
        <v>100</v>
      </c>
      <c r="C216" s="11">
        <v>485</v>
      </c>
      <c r="D216" s="11">
        <v>70</v>
      </c>
      <c r="E216" s="11">
        <v>800</v>
      </c>
      <c r="F216" s="11">
        <v>760</v>
      </c>
      <c r="G216" s="11">
        <v>20</v>
      </c>
      <c r="H216" s="11">
        <v>48</v>
      </c>
      <c r="I216" s="11">
        <v>594</v>
      </c>
      <c r="J216">
        <v>79</v>
      </c>
      <c r="K216" s="11">
        <v>535</v>
      </c>
      <c r="L216" s="13">
        <v>20</v>
      </c>
    </row>
    <row r="217" spans="1:12" ht="15" customHeight="1" x14ac:dyDescent="0.35">
      <c r="A217" s="11">
        <v>600</v>
      </c>
      <c r="B217" s="11">
        <v>1</v>
      </c>
      <c r="C217" s="11">
        <v>602</v>
      </c>
      <c r="D217" s="11">
        <v>24</v>
      </c>
      <c r="E217" s="11">
        <v>755</v>
      </c>
      <c r="F217" s="11">
        <v>705</v>
      </c>
      <c r="G217" s="11">
        <v>20</v>
      </c>
      <c r="H217" s="11">
        <v>24</v>
      </c>
      <c r="I217" s="11">
        <v>650</v>
      </c>
      <c r="J217">
        <v>20</v>
      </c>
      <c r="K217" s="11">
        <v>636</v>
      </c>
      <c r="L217" s="13">
        <v>16</v>
      </c>
    </row>
    <row r="218" spans="1:12" ht="15" customHeight="1" x14ac:dyDescent="0.35">
      <c r="A218" s="12">
        <v>600</v>
      </c>
      <c r="B218" s="11" t="s">
        <v>2399</v>
      </c>
      <c r="C218" s="12">
        <v>602</v>
      </c>
      <c r="D218" s="12">
        <v>24</v>
      </c>
      <c r="E218" s="13">
        <v>755</v>
      </c>
      <c r="F218" s="12">
        <v>705</v>
      </c>
      <c r="G218" s="13">
        <v>20</v>
      </c>
      <c r="H218" s="13">
        <v>24</v>
      </c>
      <c r="I218" s="12">
        <v>650</v>
      </c>
      <c r="J218">
        <v>20</v>
      </c>
      <c r="K218" s="12">
        <v>636</v>
      </c>
      <c r="L218" s="12">
        <v>16</v>
      </c>
    </row>
    <row r="219" spans="1:12" x14ac:dyDescent="0.35">
      <c r="A219" s="12">
        <v>600</v>
      </c>
      <c r="B219" s="11">
        <v>6</v>
      </c>
      <c r="C219" s="12">
        <v>602</v>
      </c>
      <c r="D219" s="12">
        <v>24</v>
      </c>
      <c r="E219" s="12">
        <v>755</v>
      </c>
      <c r="F219" s="12">
        <v>705</v>
      </c>
      <c r="G219" s="12">
        <v>20</v>
      </c>
      <c r="H219" s="12">
        <v>24</v>
      </c>
      <c r="I219" s="12">
        <v>650</v>
      </c>
      <c r="J219">
        <v>20</v>
      </c>
      <c r="K219" s="12">
        <v>636</v>
      </c>
      <c r="L219" s="12">
        <v>16</v>
      </c>
    </row>
    <row r="220" spans="1:12" ht="15" customHeight="1" x14ac:dyDescent="0.35">
      <c r="A220" s="12">
        <v>600</v>
      </c>
      <c r="B220" s="11">
        <v>10</v>
      </c>
      <c r="C220" s="12">
        <v>602</v>
      </c>
      <c r="D220" s="11">
        <v>29</v>
      </c>
      <c r="E220" s="13">
        <v>780</v>
      </c>
      <c r="F220" s="11">
        <v>725</v>
      </c>
      <c r="G220" s="12">
        <v>20</v>
      </c>
      <c r="H220" s="13">
        <v>27</v>
      </c>
      <c r="I220" s="12">
        <v>650</v>
      </c>
      <c r="J220">
        <v>23</v>
      </c>
      <c r="K220" s="12">
        <v>636</v>
      </c>
      <c r="L220" s="13">
        <v>18</v>
      </c>
    </row>
    <row r="221" spans="1:12" ht="15" customHeight="1" x14ac:dyDescent="0.35">
      <c r="A221" s="12">
        <v>600</v>
      </c>
      <c r="B221" s="11">
        <v>16</v>
      </c>
      <c r="C221" s="12">
        <v>602</v>
      </c>
      <c r="D221" s="11">
        <v>46</v>
      </c>
      <c r="E221" s="13">
        <v>840</v>
      </c>
      <c r="F221" s="11">
        <v>770</v>
      </c>
      <c r="G221" s="12">
        <v>20</v>
      </c>
      <c r="H221" s="11">
        <v>36</v>
      </c>
      <c r="I221" s="11">
        <v>660</v>
      </c>
      <c r="J221">
        <v>31</v>
      </c>
      <c r="K221" s="12">
        <v>636</v>
      </c>
      <c r="L221" s="12">
        <v>18</v>
      </c>
    </row>
    <row r="222" spans="1:12" ht="15" customHeight="1" x14ac:dyDescent="0.35">
      <c r="A222" s="12">
        <v>600</v>
      </c>
      <c r="B222" s="11">
        <v>25</v>
      </c>
      <c r="C222" s="11">
        <v>600</v>
      </c>
      <c r="D222" s="11">
        <v>54</v>
      </c>
      <c r="E222" s="11">
        <v>840</v>
      </c>
      <c r="F222" s="12">
        <v>770</v>
      </c>
      <c r="G222" s="12">
        <v>20</v>
      </c>
      <c r="H222" s="13">
        <v>36</v>
      </c>
      <c r="I222" s="11">
        <v>670</v>
      </c>
      <c r="J222">
        <v>46</v>
      </c>
      <c r="K222" s="12">
        <v>636</v>
      </c>
      <c r="L222" s="13">
        <v>20</v>
      </c>
    </row>
    <row r="223" spans="1:12" ht="15" customHeight="1" x14ac:dyDescent="0.35">
      <c r="A223" s="12">
        <v>600</v>
      </c>
      <c r="B223" s="11">
        <v>40</v>
      </c>
      <c r="C223" s="11">
        <v>595</v>
      </c>
      <c r="D223" s="11">
        <v>63</v>
      </c>
      <c r="E223" s="13">
        <v>890</v>
      </c>
      <c r="F223" s="11">
        <v>795</v>
      </c>
      <c r="G223" s="12">
        <v>20</v>
      </c>
      <c r="H223" s="11">
        <v>48</v>
      </c>
      <c r="I223" s="11">
        <v>686</v>
      </c>
      <c r="J223">
        <v>62</v>
      </c>
      <c r="K223" s="12">
        <v>636</v>
      </c>
      <c r="L223" s="12">
        <v>20</v>
      </c>
    </row>
    <row r="224" spans="1:12" ht="15" customHeight="1" x14ac:dyDescent="0.35">
      <c r="A224" s="12">
        <v>600</v>
      </c>
      <c r="B224" s="11">
        <v>63</v>
      </c>
      <c r="C224" s="11">
        <v>585</v>
      </c>
      <c r="D224" s="11">
        <v>76</v>
      </c>
      <c r="E224" s="11">
        <v>925</v>
      </c>
      <c r="F224" s="11">
        <v>820</v>
      </c>
      <c r="G224" s="12">
        <v>20</v>
      </c>
      <c r="H224" s="13">
        <v>52</v>
      </c>
      <c r="I224" s="11">
        <v>704</v>
      </c>
      <c r="J224">
        <v>89</v>
      </c>
      <c r="K224" s="12">
        <v>636</v>
      </c>
      <c r="L224" s="13">
        <v>20</v>
      </c>
    </row>
    <row r="225" spans="1:12" x14ac:dyDescent="0.35">
      <c r="A225" s="11">
        <v>700</v>
      </c>
      <c r="B225" s="11">
        <v>1</v>
      </c>
      <c r="C225" s="11">
        <v>692</v>
      </c>
      <c r="D225" s="11">
        <v>24</v>
      </c>
      <c r="E225" s="11">
        <v>860</v>
      </c>
      <c r="F225" s="11">
        <v>810</v>
      </c>
      <c r="G225" s="11">
        <v>24</v>
      </c>
      <c r="H225" s="11">
        <v>24</v>
      </c>
      <c r="I225" s="11">
        <v>740</v>
      </c>
      <c r="J225">
        <v>16</v>
      </c>
      <c r="K225" s="11">
        <v>726</v>
      </c>
      <c r="L225" s="12">
        <v>20</v>
      </c>
    </row>
    <row r="226" spans="1:12" ht="15" customHeight="1" x14ac:dyDescent="0.35">
      <c r="A226" s="12">
        <v>700</v>
      </c>
      <c r="B226" s="11" t="s">
        <v>2399</v>
      </c>
      <c r="C226" s="12">
        <v>692</v>
      </c>
      <c r="D226" s="12">
        <v>24</v>
      </c>
      <c r="E226" s="13">
        <v>860</v>
      </c>
      <c r="F226" s="12">
        <v>810</v>
      </c>
      <c r="G226" s="13">
        <v>24</v>
      </c>
      <c r="H226" s="13">
        <v>24</v>
      </c>
      <c r="I226" s="12">
        <v>740</v>
      </c>
      <c r="J226">
        <v>20</v>
      </c>
      <c r="K226" s="12">
        <v>726</v>
      </c>
      <c r="L226" s="13">
        <v>16</v>
      </c>
    </row>
    <row r="227" spans="1:12" x14ac:dyDescent="0.35">
      <c r="A227" s="12">
        <v>700</v>
      </c>
      <c r="B227" s="11">
        <v>6</v>
      </c>
      <c r="C227" s="12">
        <v>692</v>
      </c>
      <c r="D227" s="12">
        <v>24</v>
      </c>
      <c r="E227" s="12">
        <v>860</v>
      </c>
      <c r="F227" s="12">
        <v>810</v>
      </c>
      <c r="G227" s="12">
        <v>24</v>
      </c>
      <c r="H227" s="12">
        <v>24</v>
      </c>
      <c r="I227" s="12">
        <v>740</v>
      </c>
      <c r="J227">
        <v>20</v>
      </c>
      <c r="K227" s="12">
        <v>726</v>
      </c>
      <c r="L227" s="12">
        <v>16</v>
      </c>
    </row>
    <row r="228" spans="1:12" ht="15" customHeight="1" x14ac:dyDescent="0.35">
      <c r="A228" s="12">
        <v>700</v>
      </c>
      <c r="B228" s="11">
        <v>10</v>
      </c>
      <c r="C228" s="12">
        <v>692</v>
      </c>
      <c r="D228" s="11">
        <v>30</v>
      </c>
      <c r="E228" s="13">
        <v>895</v>
      </c>
      <c r="F228" s="11">
        <v>840</v>
      </c>
      <c r="G228" s="12">
        <v>24</v>
      </c>
      <c r="H228" s="13">
        <v>27</v>
      </c>
      <c r="I228" s="11">
        <v>744</v>
      </c>
      <c r="J228">
        <v>22</v>
      </c>
      <c r="K228" s="12">
        <v>726</v>
      </c>
      <c r="L228" s="13">
        <v>18</v>
      </c>
    </row>
    <row r="229" spans="1:12" ht="15" customHeight="1" x14ac:dyDescent="0.35">
      <c r="A229" s="12">
        <v>700</v>
      </c>
      <c r="B229" s="11">
        <v>16</v>
      </c>
      <c r="C229" s="12">
        <v>692</v>
      </c>
      <c r="D229" s="11">
        <v>48</v>
      </c>
      <c r="E229" s="13">
        <v>910</v>
      </c>
      <c r="F229" s="12">
        <v>840</v>
      </c>
      <c r="G229" s="12">
        <v>24</v>
      </c>
      <c r="H229" s="11">
        <v>36</v>
      </c>
      <c r="I229" s="11">
        <v>750</v>
      </c>
      <c r="J229">
        <v>34</v>
      </c>
      <c r="K229" s="12">
        <v>726</v>
      </c>
      <c r="L229" s="12">
        <v>18</v>
      </c>
    </row>
    <row r="230" spans="1:12" ht="15" customHeight="1" x14ac:dyDescent="0.35">
      <c r="A230" s="12">
        <v>700</v>
      </c>
      <c r="B230" s="11">
        <v>25</v>
      </c>
      <c r="C230" s="11">
        <v>690</v>
      </c>
      <c r="D230" s="11">
        <v>58</v>
      </c>
      <c r="E230" s="13">
        <v>960</v>
      </c>
      <c r="F230" s="11">
        <v>875</v>
      </c>
      <c r="G230" s="12">
        <v>24</v>
      </c>
      <c r="H230" s="11">
        <v>42</v>
      </c>
      <c r="I230" s="11">
        <v>766</v>
      </c>
      <c r="J230">
        <v>52</v>
      </c>
      <c r="K230" s="12">
        <v>726</v>
      </c>
      <c r="L230" s="13">
        <v>20</v>
      </c>
    </row>
    <row r="231" spans="1:12" ht="15" customHeight="1" x14ac:dyDescent="0.35">
      <c r="A231" s="12">
        <v>700</v>
      </c>
      <c r="B231" s="11">
        <v>40</v>
      </c>
      <c r="C231" s="11">
        <v>695</v>
      </c>
      <c r="D231" s="11">
        <v>68</v>
      </c>
      <c r="E231" s="13">
        <v>995</v>
      </c>
      <c r="F231" s="11">
        <v>900</v>
      </c>
      <c r="G231" s="12">
        <v>24</v>
      </c>
      <c r="H231" s="11">
        <v>48</v>
      </c>
      <c r="I231" s="11">
        <v>790</v>
      </c>
      <c r="J231">
        <v>77</v>
      </c>
      <c r="K231" s="12">
        <v>726</v>
      </c>
      <c r="L231" s="11">
        <v>20</v>
      </c>
    </row>
    <row r="232" spans="1:12" ht="15" customHeight="1" x14ac:dyDescent="0.35">
      <c r="A232" s="12">
        <v>700</v>
      </c>
      <c r="B232" s="11">
        <v>63</v>
      </c>
      <c r="C232" s="11">
        <v>685</v>
      </c>
      <c r="D232" s="11">
        <v>81</v>
      </c>
      <c r="E232" s="13">
        <v>1045</v>
      </c>
      <c r="F232" s="11">
        <v>935</v>
      </c>
      <c r="G232" s="12">
        <v>24</v>
      </c>
      <c r="H232" s="13">
        <v>52</v>
      </c>
      <c r="I232" s="11">
        <v>820</v>
      </c>
      <c r="J232">
        <v>129</v>
      </c>
      <c r="K232" s="12">
        <v>726</v>
      </c>
      <c r="L232" s="12">
        <v>20</v>
      </c>
    </row>
    <row r="233" spans="1:12" ht="15" customHeight="1" x14ac:dyDescent="0.35">
      <c r="A233" s="11">
        <v>800</v>
      </c>
      <c r="B233" s="11">
        <v>1</v>
      </c>
      <c r="C233" s="11">
        <v>792</v>
      </c>
      <c r="D233" s="11">
        <v>24</v>
      </c>
      <c r="E233" s="11">
        <v>975</v>
      </c>
      <c r="F233" s="11">
        <v>920</v>
      </c>
      <c r="G233" s="11">
        <v>24</v>
      </c>
      <c r="H233" s="11">
        <v>27</v>
      </c>
      <c r="I233" s="11">
        <v>844</v>
      </c>
      <c r="J233">
        <v>25</v>
      </c>
      <c r="K233" s="11">
        <v>826</v>
      </c>
      <c r="L233" s="13">
        <v>16</v>
      </c>
    </row>
    <row r="234" spans="1:12" ht="15" customHeight="1" x14ac:dyDescent="0.35">
      <c r="A234" s="12">
        <v>800</v>
      </c>
      <c r="B234" s="11" t="s">
        <v>2399</v>
      </c>
      <c r="C234" s="12">
        <v>792</v>
      </c>
      <c r="D234" s="12">
        <v>24</v>
      </c>
      <c r="E234" s="13">
        <v>975</v>
      </c>
      <c r="F234" s="12">
        <v>920</v>
      </c>
      <c r="G234" s="13">
        <v>24</v>
      </c>
      <c r="H234" s="13">
        <v>27</v>
      </c>
      <c r="I234" s="12">
        <v>844</v>
      </c>
      <c r="J234">
        <v>25</v>
      </c>
      <c r="K234" s="12">
        <v>826</v>
      </c>
      <c r="L234" s="12">
        <v>16</v>
      </c>
    </row>
    <row r="235" spans="1:12" x14ac:dyDescent="0.35">
      <c r="A235" s="12">
        <v>800</v>
      </c>
      <c r="B235" s="11">
        <v>6</v>
      </c>
      <c r="C235" s="12">
        <v>792</v>
      </c>
      <c r="D235" s="12">
        <v>24</v>
      </c>
      <c r="E235" s="12">
        <v>975</v>
      </c>
      <c r="F235" s="12">
        <v>920</v>
      </c>
      <c r="G235" s="12">
        <v>24</v>
      </c>
      <c r="H235" s="12">
        <v>27</v>
      </c>
      <c r="I235" s="12">
        <v>844</v>
      </c>
      <c r="J235">
        <v>25</v>
      </c>
      <c r="K235" s="12">
        <v>826</v>
      </c>
      <c r="L235" s="12">
        <v>16</v>
      </c>
    </row>
    <row r="236" spans="1:12" ht="15" customHeight="1" x14ac:dyDescent="0.35">
      <c r="A236" s="12">
        <v>800</v>
      </c>
      <c r="B236" s="11">
        <v>10</v>
      </c>
      <c r="C236" s="12">
        <v>792</v>
      </c>
      <c r="D236" s="11">
        <v>32</v>
      </c>
      <c r="E236" s="11">
        <v>1010</v>
      </c>
      <c r="F236" s="11">
        <v>950</v>
      </c>
      <c r="G236" s="12">
        <v>24</v>
      </c>
      <c r="H236" s="13">
        <v>30</v>
      </c>
      <c r="I236" s="11">
        <v>850</v>
      </c>
      <c r="J236">
        <v>30</v>
      </c>
      <c r="K236" s="12">
        <v>826</v>
      </c>
      <c r="L236" s="13">
        <v>18</v>
      </c>
    </row>
    <row r="237" spans="1:12" ht="15" customHeight="1" x14ac:dyDescent="0.35">
      <c r="A237" s="12">
        <v>800</v>
      </c>
      <c r="B237" s="11">
        <v>16</v>
      </c>
      <c r="C237" s="12">
        <v>792</v>
      </c>
      <c r="D237" s="11">
        <v>50</v>
      </c>
      <c r="E237" s="11">
        <v>1020</v>
      </c>
      <c r="F237" s="12">
        <v>950</v>
      </c>
      <c r="G237" s="12">
        <v>24</v>
      </c>
      <c r="H237" s="13">
        <v>36</v>
      </c>
      <c r="I237" s="12">
        <v>850</v>
      </c>
      <c r="J237">
        <v>30</v>
      </c>
      <c r="K237" s="12">
        <v>826</v>
      </c>
      <c r="L237" s="13">
        <v>20</v>
      </c>
    </row>
    <row r="238" spans="1:12" ht="15" customHeight="1" x14ac:dyDescent="0.35">
      <c r="A238" s="12">
        <v>800</v>
      </c>
      <c r="B238" s="11">
        <v>25</v>
      </c>
      <c r="C238" s="11">
        <v>790</v>
      </c>
      <c r="D238" s="11">
        <v>60</v>
      </c>
      <c r="E238" s="11">
        <v>1075</v>
      </c>
      <c r="F238" s="11">
        <v>990</v>
      </c>
      <c r="G238" s="12">
        <v>24</v>
      </c>
      <c r="H238" s="11">
        <v>42</v>
      </c>
      <c r="I238" s="11">
        <v>874</v>
      </c>
      <c r="J238">
        <v>58</v>
      </c>
      <c r="K238" s="12">
        <v>826</v>
      </c>
      <c r="L238" s="13">
        <v>22</v>
      </c>
    </row>
    <row r="239" spans="1:12" ht="15" customHeight="1" x14ac:dyDescent="0.35">
      <c r="A239" s="12">
        <v>800</v>
      </c>
      <c r="B239" s="11">
        <v>40</v>
      </c>
      <c r="C239" s="11">
        <v>795</v>
      </c>
      <c r="D239" s="11">
        <v>76</v>
      </c>
      <c r="E239" s="11">
        <v>1135</v>
      </c>
      <c r="F239" s="11">
        <v>1030</v>
      </c>
      <c r="G239" s="12">
        <v>24</v>
      </c>
      <c r="H239" s="13">
        <v>52</v>
      </c>
      <c r="I239" s="11">
        <v>908</v>
      </c>
      <c r="J239">
        <v>97</v>
      </c>
      <c r="K239" s="12">
        <v>826</v>
      </c>
      <c r="L239" s="12">
        <v>22</v>
      </c>
    </row>
    <row r="240" spans="1:12" ht="15" customHeight="1" x14ac:dyDescent="0.35">
      <c r="A240" s="12">
        <v>800</v>
      </c>
      <c r="B240" s="11">
        <v>63</v>
      </c>
      <c r="C240" s="11">
        <v>785</v>
      </c>
      <c r="D240" s="11">
        <v>90</v>
      </c>
      <c r="E240" s="13">
        <v>1165</v>
      </c>
      <c r="F240" s="11">
        <v>1050</v>
      </c>
      <c r="G240" s="12">
        <v>24</v>
      </c>
      <c r="H240" s="13">
        <v>56</v>
      </c>
      <c r="I240" s="11">
        <v>920</v>
      </c>
      <c r="J240">
        <v>118</v>
      </c>
      <c r="K240" s="12">
        <v>826</v>
      </c>
      <c r="L240" s="12">
        <v>22</v>
      </c>
    </row>
    <row r="241" spans="1:12" ht="15" customHeight="1" x14ac:dyDescent="0.35">
      <c r="A241" s="11">
        <v>900</v>
      </c>
      <c r="B241" s="11">
        <v>1</v>
      </c>
      <c r="C241" s="11">
        <v>892</v>
      </c>
      <c r="D241" s="11">
        <v>26</v>
      </c>
      <c r="E241" s="11">
        <v>1075</v>
      </c>
      <c r="F241" s="11">
        <v>1020</v>
      </c>
      <c r="G241" s="11">
        <v>24</v>
      </c>
      <c r="H241" s="11">
        <v>27</v>
      </c>
      <c r="I241" s="11">
        <v>944</v>
      </c>
      <c r="J241">
        <v>23</v>
      </c>
      <c r="K241" s="11">
        <v>926</v>
      </c>
      <c r="L241" s="13">
        <v>16</v>
      </c>
    </row>
    <row r="242" spans="1:12" ht="15" customHeight="1" x14ac:dyDescent="0.35">
      <c r="A242" s="12">
        <v>900</v>
      </c>
      <c r="B242" s="11" t="s">
        <v>2399</v>
      </c>
      <c r="C242" s="12">
        <v>892</v>
      </c>
      <c r="D242" s="12">
        <v>26</v>
      </c>
      <c r="E242" s="13">
        <v>1075</v>
      </c>
      <c r="F242" s="12">
        <v>1020</v>
      </c>
      <c r="G242" s="13">
        <v>24</v>
      </c>
      <c r="H242" s="13">
        <v>27</v>
      </c>
      <c r="I242" s="12">
        <v>944</v>
      </c>
      <c r="J242">
        <v>23</v>
      </c>
      <c r="K242" s="12">
        <v>926</v>
      </c>
      <c r="L242" s="12">
        <v>16</v>
      </c>
    </row>
    <row r="243" spans="1:12" x14ac:dyDescent="0.35">
      <c r="A243" s="12">
        <v>900</v>
      </c>
      <c r="B243" s="11">
        <v>6</v>
      </c>
      <c r="C243" s="12">
        <v>892</v>
      </c>
      <c r="D243" s="12">
        <v>26</v>
      </c>
      <c r="E243" s="12">
        <v>1075</v>
      </c>
      <c r="F243" s="12">
        <v>1020</v>
      </c>
      <c r="G243" s="12">
        <v>24</v>
      </c>
      <c r="H243" s="12">
        <v>27</v>
      </c>
      <c r="I243" s="12">
        <v>944</v>
      </c>
      <c r="J243">
        <v>23</v>
      </c>
      <c r="K243" s="12">
        <v>926</v>
      </c>
      <c r="L243" s="12">
        <v>16</v>
      </c>
    </row>
    <row r="244" spans="1:12" ht="15" customHeight="1" x14ac:dyDescent="0.35">
      <c r="A244" s="12">
        <v>900</v>
      </c>
      <c r="B244" s="11">
        <v>10</v>
      </c>
      <c r="C244" s="12">
        <v>892</v>
      </c>
      <c r="D244" s="11">
        <v>34</v>
      </c>
      <c r="E244" s="11">
        <v>1110</v>
      </c>
      <c r="F244" s="11">
        <v>1050</v>
      </c>
      <c r="G244" s="13">
        <v>28</v>
      </c>
      <c r="H244" s="13">
        <v>30</v>
      </c>
      <c r="I244" s="11">
        <v>950</v>
      </c>
      <c r="J244">
        <v>31</v>
      </c>
      <c r="K244" s="12">
        <v>926</v>
      </c>
      <c r="L244" s="13">
        <v>20</v>
      </c>
    </row>
    <row r="245" spans="1:12" ht="15" customHeight="1" x14ac:dyDescent="0.35">
      <c r="A245" s="12">
        <v>900</v>
      </c>
      <c r="B245" s="11">
        <v>16</v>
      </c>
      <c r="C245" s="12">
        <v>892</v>
      </c>
      <c r="D245" s="11">
        <v>52</v>
      </c>
      <c r="E245" s="11">
        <v>1120</v>
      </c>
      <c r="F245" s="12">
        <v>1050</v>
      </c>
      <c r="G245" s="12">
        <v>28</v>
      </c>
      <c r="H245" s="13">
        <v>36</v>
      </c>
      <c r="I245" s="11">
        <v>958</v>
      </c>
      <c r="J245">
        <v>43</v>
      </c>
      <c r="K245" s="12">
        <v>926</v>
      </c>
      <c r="L245" s="12">
        <v>20</v>
      </c>
    </row>
    <row r="246" spans="1:12" ht="15" customHeight="1" x14ac:dyDescent="0.35">
      <c r="A246" s="12">
        <v>900</v>
      </c>
      <c r="B246" s="11">
        <v>25</v>
      </c>
      <c r="C246" s="12">
        <v>892</v>
      </c>
      <c r="D246" s="11">
        <v>62</v>
      </c>
      <c r="E246" s="13">
        <v>1185</v>
      </c>
      <c r="F246" s="11">
        <v>1090</v>
      </c>
      <c r="G246" s="12">
        <v>28</v>
      </c>
      <c r="H246" s="11">
        <v>48</v>
      </c>
      <c r="I246" s="11">
        <v>980</v>
      </c>
      <c r="J246">
        <v>64</v>
      </c>
      <c r="K246" s="12">
        <v>926</v>
      </c>
      <c r="L246" s="13">
        <v>24</v>
      </c>
    </row>
    <row r="247" spans="1:12" ht="15" customHeight="1" x14ac:dyDescent="0.35">
      <c r="A247" s="12">
        <v>900</v>
      </c>
      <c r="B247" s="11">
        <v>40</v>
      </c>
      <c r="C247" s="11">
        <v>895</v>
      </c>
      <c r="D247" s="11">
        <v>79</v>
      </c>
      <c r="E247" s="13">
        <v>1250</v>
      </c>
      <c r="F247" s="11">
        <v>1140</v>
      </c>
      <c r="G247" s="12">
        <v>28</v>
      </c>
      <c r="H247" s="13">
        <v>52</v>
      </c>
      <c r="I247" s="11">
        <v>1024</v>
      </c>
      <c r="J247">
        <v>117</v>
      </c>
      <c r="K247" s="12">
        <v>926</v>
      </c>
      <c r="L247" s="12">
        <v>24</v>
      </c>
    </row>
    <row r="248" spans="1:12" ht="15" customHeight="1" x14ac:dyDescent="0.35">
      <c r="A248" s="12">
        <v>900</v>
      </c>
      <c r="B248" s="11">
        <v>63</v>
      </c>
      <c r="C248" s="11">
        <v>885</v>
      </c>
      <c r="D248" s="11">
        <v>93</v>
      </c>
      <c r="E248" s="13">
        <v>1285</v>
      </c>
      <c r="F248" s="11">
        <v>1170</v>
      </c>
      <c r="G248" s="12">
        <v>28</v>
      </c>
      <c r="H248" s="13">
        <v>56</v>
      </c>
      <c r="I248" s="11">
        <v>1050</v>
      </c>
      <c r="J248">
        <v>153</v>
      </c>
      <c r="K248" s="12">
        <v>926</v>
      </c>
      <c r="L248" s="12">
        <v>24</v>
      </c>
    </row>
    <row r="249" spans="1:12" ht="15" customHeight="1" x14ac:dyDescent="0.35">
      <c r="A249" s="11">
        <v>1000</v>
      </c>
      <c r="B249" s="11">
        <v>1</v>
      </c>
      <c r="C249" s="11">
        <v>992</v>
      </c>
      <c r="D249" s="11">
        <v>26</v>
      </c>
      <c r="E249" s="11">
        <v>1175</v>
      </c>
      <c r="F249" s="11">
        <v>1120</v>
      </c>
      <c r="G249" s="11">
        <v>28</v>
      </c>
      <c r="H249" s="11">
        <v>27</v>
      </c>
      <c r="I249" s="11">
        <v>1044</v>
      </c>
      <c r="J249">
        <v>23</v>
      </c>
      <c r="K249" s="11">
        <v>1028</v>
      </c>
      <c r="L249" s="13">
        <v>16</v>
      </c>
    </row>
    <row r="250" spans="1:12" ht="15" customHeight="1" x14ac:dyDescent="0.35">
      <c r="A250" s="12">
        <v>1000</v>
      </c>
      <c r="B250" s="11" t="s">
        <v>2399</v>
      </c>
      <c r="C250" s="12">
        <v>992</v>
      </c>
      <c r="D250" s="12">
        <v>26</v>
      </c>
      <c r="E250" s="13">
        <v>1175</v>
      </c>
      <c r="F250" s="12">
        <v>1120</v>
      </c>
      <c r="G250" s="13">
        <v>28</v>
      </c>
      <c r="H250" s="13">
        <v>27</v>
      </c>
      <c r="I250" s="12">
        <v>1044</v>
      </c>
      <c r="J250">
        <v>23</v>
      </c>
      <c r="K250" s="12">
        <v>1028</v>
      </c>
      <c r="L250" s="12">
        <v>16</v>
      </c>
    </row>
    <row r="251" spans="1:12" x14ac:dyDescent="0.35">
      <c r="A251" s="12">
        <v>1000</v>
      </c>
      <c r="B251" s="11">
        <v>6</v>
      </c>
      <c r="C251" s="12">
        <v>992</v>
      </c>
      <c r="D251" s="12">
        <v>26</v>
      </c>
      <c r="E251" s="12">
        <v>1175</v>
      </c>
      <c r="F251" s="12">
        <v>1120</v>
      </c>
      <c r="G251" s="12">
        <v>28</v>
      </c>
      <c r="H251" s="12">
        <v>27</v>
      </c>
      <c r="I251" s="12">
        <v>1044</v>
      </c>
      <c r="J251">
        <v>23</v>
      </c>
      <c r="K251" s="12">
        <v>1028</v>
      </c>
      <c r="L251" s="12">
        <v>16</v>
      </c>
    </row>
    <row r="252" spans="1:12" ht="15" customHeight="1" x14ac:dyDescent="0.35">
      <c r="A252" s="12">
        <v>1000</v>
      </c>
      <c r="B252" s="11">
        <v>10</v>
      </c>
      <c r="C252" s="12">
        <v>992</v>
      </c>
      <c r="D252" s="11">
        <v>34</v>
      </c>
      <c r="E252" s="11">
        <v>1220</v>
      </c>
      <c r="F252" s="11">
        <v>1160</v>
      </c>
      <c r="G252" s="12">
        <v>28</v>
      </c>
      <c r="H252" s="11">
        <v>30</v>
      </c>
      <c r="I252" s="11">
        <v>1050</v>
      </c>
      <c r="J252">
        <v>31</v>
      </c>
      <c r="K252" s="12">
        <v>1028</v>
      </c>
      <c r="L252" s="13">
        <v>20</v>
      </c>
    </row>
    <row r="253" spans="1:12" ht="15" customHeight="1" x14ac:dyDescent="0.35">
      <c r="A253" s="12">
        <v>1000</v>
      </c>
      <c r="B253" s="11">
        <v>16</v>
      </c>
      <c r="C253" s="12">
        <v>992</v>
      </c>
      <c r="D253" s="11">
        <v>54</v>
      </c>
      <c r="E253" s="13">
        <v>1255</v>
      </c>
      <c r="F253" s="11">
        <v>1170</v>
      </c>
      <c r="G253" s="12">
        <v>28</v>
      </c>
      <c r="H253" s="11">
        <v>42</v>
      </c>
      <c r="I253" s="11">
        <v>1060</v>
      </c>
      <c r="J253">
        <v>39</v>
      </c>
      <c r="K253" s="12">
        <v>1028</v>
      </c>
      <c r="L253" s="13">
        <v>22</v>
      </c>
    </row>
    <row r="254" spans="1:12" ht="15" customHeight="1" x14ac:dyDescent="0.35">
      <c r="A254" s="12">
        <v>1000</v>
      </c>
      <c r="B254" s="11">
        <v>25</v>
      </c>
      <c r="C254" s="12">
        <v>992</v>
      </c>
      <c r="D254" s="11">
        <v>64</v>
      </c>
      <c r="E254" s="11">
        <v>1315</v>
      </c>
      <c r="F254" s="11">
        <v>1210</v>
      </c>
      <c r="G254" s="12">
        <v>28</v>
      </c>
      <c r="H254" s="13">
        <v>52</v>
      </c>
      <c r="I254" s="11">
        <v>1084</v>
      </c>
      <c r="J254">
        <v>67</v>
      </c>
      <c r="K254" s="12">
        <v>1028</v>
      </c>
      <c r="L254" s="13">
        <v>24</v>
      </c>
    </row>
    <row r="255" spans="1:12" ht="15" customHeight="1" x14ac:dyDescent="0.35">
      <c r="A255" s="12">
        <v>1000</v>
      </c>
      <c r="B255" s="11">
        <v>40</v>
      </c>
      <c r="C255" s="11">
        <v>995</v>
      </c>
      <c r="D255" s="11">
        <v>82</v>
      </c>
      <c r="E255" s="13">
        <v>1360</v>
      </c>
      <c r="F255" s="11">
        <v>1250</v>
      </c>
      <c r="G255" s="12">
        <v>28</v>
      </c>
      <c r="H255" s="12">
        <v>52</v>
      </c>
      <c r="I255" s="11">
        <v>1140</v>
      </c>
      <c r="J255">
        <v>134</v>
      </c>
      <c r="K255" s="12">
        <v>1028</v>
      </c>
      <c r="L255" s="12">
        <v>24</v>
      </c>
    </row>
    <row r="256" spans="1:12" ht="15" customHeight="1" x14ac:dyDescent="0.35">
      <c r="A256" s="12">
        <v>1000</v>
      </c>
      <c r="B256" s="11">
        <v>63</v>
      </c>
      <c r="C256" s="11">
        <v>985</v>
      </c>
      <c r="D256" s="11">
        <v>97</v>
      </c>
      <c r="E256" s="13">
        <v>1415</v>
      </c>
      <c r="F256" s="11">
        <v>1290</v>
      </c>
      <c r="G256" s="12">
        <v>28</v>
      </c>
      <c r="H256" s="13">
        <v>64</v>
      </c>
      <c r="I256" s="11">
        <v>1160</v>
      </c>
      <c r="J256">
        <v>164</v>
      </c>
      <c r="K256" s="12">
        <v>1028</v>
      </c>
      <c r="L256" s="12">
        <v>24</v>
      </c>
    </row>
    <row r="257" spans="1:12" ht="15" customHeight="1" x14ac:dyDescent="0.35">
      <c r="A257" s="11">
        <v>1200</v>
      </c>
      <c r="B257" s="11">
        <v>1</v>
      </c>
      <c r="C257" s="11">
        <v>1192</v>
      </c>
      <c r="D257" s="11">
        <v>28</v>
      </c>
      <c r="E257" s="11">
        <v>1375</v>
      </c>
      <c r="F257" s="11">
        <v>1320</v>
      </c>
      <c r="G257" s="11">
        <v>32</v>
      </c>
      <c r="H257" s="11">
        <v>27</v>
      </c>
      <c r="I257" s="11">
        <v>1244</v>
      </c>
      <c r="J257">
        <v>26</v>
      </c>
      <c r="K257" s="11">
        <v>1228</v>
      </c>
      <c r="L257" s="13">
        <v>16</v>
      </c>
    </row>
    <row r="258" spans="1:12" ht="15" customHeight="1" x14ac:dyDescent="0.35">
      <c r="A258" s="12">
        <v>1200</v>
      </c>
      <c r="B258" s="11" t="s">
        <v>2399</v>
      </c>
      <c r="C258" s="12">
        <v>1192</v>
      </c>
      <c r="D258" s="12">
        <v>28</v>
      </c>
      <c r="E258" s="13">
        <v>1375</v>
      </c>
      <c r="F258" s="12">
        <v>1320</v>
      </c>
      <c r="G258" s="13">
        <v>32</v>
      </c>
      <c r="H258" s="13">
        <v>27</v>
      </c>
      <c r="I258" s="12">
        <v>1244</v>
      </c>
      <c r="J258">
        <v>26</v>
      </c>
      <c r="K258" s="12">
        <v>1228</v>
      </c>
      <c r="L258" s="12">
        <v>16</v>
      </c>
    </row>
    <row r="259" spans="1:12" ht="15" customHeight="1" x14ac:dyDescent="0.35">
      <c r="A259" s="12">
        <v>1200</v>
      </c>
      <c r="B259" s="11">
        <v>6</v>
      </c>
      <c r="C259" s="12">
        <v>1192</v>
      </c>
      <c r="D259" s="12">
        <v>28</v>
      </c>
      <c r="E259" s="11">
        <v>1400</v>
      </c>
      <c r="F259" s="11">
        <v>1340</v>
      </c>
      <c r="G259" s="12">
        <v>32</v>
      </c>
      <c r="H259" s="13">
        <v>30</v>
      </c>
      <c r="I259" s="11">
        <v>1248</v>
      </c>
      <c r="J259">
        <v>27</v>
      </c>
      <c r="K259" s="12">
        <v>1228</v>
      </c>
      <c r="L259" s="13">
        <v>20</v>
      </c>
    </row>
    <row r="260" spans="1:12" ht="15" customHeight="1" x14ac:dyDescent="0.35">
      <c r="A260" s="12">
        <v>1200</v>
      </c>
      <c r="B260" s="11">
        <v>10</v>
      </c>
      <c r="C260" s="12">
        <v>1192</v>
      </c>
      <c r="D260" s="11">
        <v>38</v>
      </c>
      <c r="E260" s="13">
        <v>1455</v>
      </c>
      <c r="F260" s="11">
        <v>1380</v>
      </c>
      <c r="G260" s="12">
        <v>32</v>
      </c>
      <c r="H260" s="13">
        <v>36</v>
      </c>
      <c r="I260" s="11">
        <v>1256</v>
      </c>
      <c r="J260">
        <v>32</v>
      </c>
      <c r="K260" s="12">
        <v>1228</v>
      </c>
      <c r="L260" s="13">
        <v>25</v>
      </c>
    </row>
    <row r="261" spans="1:12" ht="15" customHeight="1" x14ac:dyDescent="0.35">
      <c r="A261" s="12">
        <v>1200</v>
      </c>
      <c r="B261" s="11">
        <v>16</v>
      </c>
      <c r="C261" s="12">
        <v>1192</v>
      </c>
      <c r="D261" s="11">
        <v>56</v>
      </c>
      <c r="E261" s="13">
        <v>1485</v>
      </c>
      <c r="F261" s="11">
        <v>1390</v>
      </c>
      <c r="G261" s="12">
        <v>32</v>
      </c>
      <c r="H261" s="11">
        <v>48</v>
      </c>
      <c r="I261" s="11">
        <v>1268</v>
      </c>
      <c r="J261">
        <v>44</v>
      </c>
      <c r="K261" s="12">
        <v>1228</v>
      </c>
      <c r="L261" s="13">
        <v>30</v>
      </c>
    </row>
    <row r="262" spans="1:12" ht="15" customHeight="1" x14ac:dyDescent="0.35">
      <c r="A262" s="12">
        <v>1200</v>
      </c>
      <c r="B262" s="11">
        <v>25</v>
      </c>
      <c r="C262" s="11">
        <v>1192</v>
      </c>
      <c r="D262" s="11">
        <v>67</v>
      </c>
      <c r="E262" s="11">
        <v>1525</v>
      </c>
      <c r="F262" s="11">
        <v>1420</v>
      </c>
      <c r="G262" s="12">
        <v>32</v>
      </c>
      <c r="H262" s="13">
        <v>52</v>
      </c>
      <c r="I262" s="11">
        <v>1288</v>
      </c>
      <c r="J262">
        <v>68</v>
      </c>
      <c r="K262" s="12">
        <v>1228</v>
      </c>
      <c r="L262" s="12">
        <v>30</v>
      </c>
    </row>
    <row r="263" spans="1:12" ht="15" customHeight="1" x14ac:dyDescent="0.35">
      <c r="A263" s="12">
        <v>1200</v>
      </c>
      <c r="B263" s="11">
        <v>40</v>
      </c>
      <c r="C263" s="11">
        <v>1195</v>
      </c>
      <c r="D263" s="11">
        <v>85</v>
      </c>
      <c r="E263" s="13">
        <v>1575</v>
      </c>
      <c r="F263" s="11">
        <v>1460</v>
      </c>
      <c r="G263" s="12">
        <v>32</v>
      </c>
      <c r="H263" s="13">
        <v>56</v>
      </c>
      <c r="I263" s="11">
        <v>1350</v>
      </c>
      <c r="J263">
        <v>140</v>
      </c>
      <c r="K263" s="12">
        <v>1228</v>
      </c>
      <c r="L263" s="12">
        <v>30</v>
      </c>
    </row>
    <row r="264" spans="1:12" ht="15" customHeight="1" x14ac:dyDescent="0.35">
      <c r="A264" s="12">
        <v>1200</v>
      </c>
      <c r="B264" s="11">
        <v>63</v>
      </c>
      <c r="C264" s="11">
        <v>1185</v>
      </c>
      <c r="D264" s="11">
        <v>100</v>
      </c>
      <c r="E264" s="13">
        <v>1665</v>
      </c>
      <c r="F264" s="11">
        <v>1530</v>
      </c>
      <c r="G264" s="12">
        <v>32</v>
      </c>
      <c r="H264" s="13">
        <v>72</v>
      </c>
      <c r="I264" s="11">
        <v>1386</v>
      </c>
      <c r="J264">
        <v>190</v>
      </c>
      <c r="K264" s="12">
        <v>1228</v>
      </c>
      <c r="L264" s="12">
        <v>30</v>
      </c>
    </row>
    <row r="265" spans="1:12" ht="15" customHeight="1" x14ac:dyDescent="0.35">
      <c r="A265" s="11">
        <v>1400</v>
      </c>
      <c r="B265" s="11">
        <v>1</v>
      </c>
      <c r="C265" s="11">
        <v>1392</v>
      </c>
      <c r="D265" s="11">
        <v>28</v>
      </c>
      <c r="E265" s="11">
        <v>1575</v>
      </c>
      <c r="F265" s="11">
        <v>1520</v>
      </c>
      <c r="G265" s="11">
        <v>36</v>
      </c>
      <c r="H265" s="11">
        <v>27</v>
      </c>
      <c r="I265" s="11">
        <v>1445</v>
      </c>
      <c r="J265">
        <v>26</v>
      </c>
      <c r="K265" s="11">
        <v>1428</v>
      </c>
      <c r="L265" s="13">
        <v>16</v>
      </c>
    </row>
    <row r="266" spans="1:12" ht="15" customHeight="1" x14ac:dyDescent="0.35">
      <c r="A266" s="12">
        <v>1400</v>
      </c>
      <c r="B266" s="11" t="s">
        <v>2399</v>
      </c>
      <c r="C266" s="12">
        <v>1392</v>
      </c>
      <c r="D266" s="12">
        <v>28</v>
      </c>
      <c r="E266" s="13">
        <v>1575</v>
      </c>
      <c r="F266" s="12">
        <v>1520</v>
      </c>
      <c r="G266" s="13">
        <v>36</v>
      </c>
      <c r="H266" s="13">
        <v>27</v>
      </c>
      <c r="I266" s="12">
        <v>1445</v>
      </c>
      <c r="J266">
        <v>26</v>
      </c>
      <c r="K266" s="12">
        <v>1428</v>
      </c>
      <c r="L266" s="12">
        <v>16</v>
      </c>
    </row>
    <row r="267" spans="1:12" ht="15" customHeight="1" x14ac:dyDescent="0.35">
      <c r="A267" s="12">
        <v>1400</v>
      </c>
      <c r="B267" s="11">
        <v>6</v>
      </c>
      <c r="C267" s="12">
        <v>1392</v>
      </c>
      <c r="D267" s="11">
        <v>32</v>
      </c>
      <c r="E267" s="11">
        <v>1620</v>
      </c>
      <c r="F267" s="11">
        <v>1560</v>
      </c>
      <c r="G267" s="12">
        <v>36</v>
      </c>
      <c r="H267" s="11">
        <v>30</v>
      </c>
      <c r="I267" s="11">
        <v>1456</v>
      </c>
      <c r="J267">
        <v>38</v>
      </c>
      <c r="K267" s="12">
        <v>1428</v>
      </c>
      <c r="L267" s="13">
        <v>20</v>
      </c>
    </row>
    <row r="268" spans="1:12" ht="15" customHeight="1" x14ac:dyDescent="0.35">
      <c r="A268" s="12">
        <v>1400</v>
      </c>
      <c r="B268" s="11">
        <v>10</v>
      </c>
      <c r="C268" s="11">
        <v>1392</v>
      </c>
      <c r="D268" s="11">
        <v>32</v>
      </c>
      <c r="E268" s="11">
        <v>1620</v>
      </c>
      <c r="F268" s="11">
        <v>1590</v>
      </c>
      <c r="G268" s="11">
        <v>36</v>
      </c>
      <c r="H268" s="11">
        <v>30</v>
      </c>
      <c r="I268" s="11">
        <v>1456</v>
      </c>
      <c r="J268">
        <v>33</v>
      </c>
      <c r="K268" s="11">
        <v>1428</v>
      </c>
      <c r="L268" s="13">
        <v>25</v>
      </c>
    </row>
    <row r="269" spans="1:12" ht="15" customHeight="1" x14ac:dyDescent="0.35">
      <c r="A269" s="12">
        <v>1400</v>
      </c>
      <c r="B269" s="11">
        <v>16</v>
      </c>
      <c r="C269" s="12">
        <v>1392</v>
      </c>
      <c r="D269" s="12">
        <v>32</v>
      </c>
      <c r="E269" s="12">
        <v>1620</v>
      </c>
      <c r="F269" s="12">
        <v>1590</v>
      </c>
      <c r="G269" s="12">
        <v>36</v>
      </c>
      <c r="H269" s="12">
        <v>30</v>
      </c>
      <c r="I269" s="12">
        <v>1456</v>
      </c>
      <c r="J269">
        <v>28</v>
      </c>
      <c r="K269" s="12">
        <v>1428</v>
      </c>
      <c r="L269" s="13">
        <v>30</v>
      </c>
    </row>
    <row r="270" spans="1:12" ht="15" customHeight="1" x14ac:dyDescent="0.35">
      <c r="A270" s="12">
        <v>1400</v>
      </c>
      <c r="B270" s="11">
        <v>25</v>
      </c>
      <c r="C270" s="12">
        <v>1392</v>
      </c>
      <c r="D270" s="12">
        <v>32</v>
      </c>
      <c r="E270" s="12">
        <v>1620</v>
      </c>
      <c r="F270" s="11">
        <v>1640</v>
      </c>
      <c r="G270" s="12">
        <v>36</v>
      </c>
      <c r="H270" s="12">
        <v>30</v>
      </c>
      <c r="I270" s="12">
        <v>1456</v>
      </c>
      <c r="J270">
        <v>28</v>
      </c>
      <c r="K270" s="12">
        <v>1428</v>
      </c>
      <c r="L270" s="13">
        <v>30</v>
      </c>
    </row>
    <row r="271" spans="1:12" x14ac:dyDescent="0.35">
      <c r="A271" s="12">
        <v>1400</v>
      </c>
      <c r="B271" s="11">
        <v>40</v>
      </c>
      <c r="C271" s="12">
        <v>1392</v>
      </c>
      <c r="D271" s="12">
        <v>32</v>
      </c>
      <c r="E271" s="12">
        <v>1620</v>
      </c>
      <c r="F271" s="11">
        <v>1680</v>
      </c>
      <c r="G271" s="12">
        <v>36</v>
      </c>
      <c r="H271" s="12">
        <v>30</v>
      </c>
      <c r="I271" s="12">
        <v>1456</v>
      </c>
      <c r="J271">
        <v>28</v>
      </c>
      <c r="K271" s="12">
        <v>1428</v>
      </c>
      <c r="L271" s="12">
        <v>30</v>
      </c>
    </row>
    <row r="272" spans="1:12" ht="15" customHeight="1" x14ac:dyDescent="0.35">
      <c r="A272" s="11">
        <v>1600</v>
      </c>
      <c r="B272" s="11">
        <v>1</v>
      </c>
      <c r="C272" s="11">
        <v>1592</v>
      </c>
      <c r="D272" s="11">
        <v>28</v>
      </c>
      <c r="E272" s="11">
        <v>1785</v>
      </c>
      <c r="F272" s="11">
        <v>1730</v>
      </c>
      <c r="G272" s="13">
        <v>40</v>
      </c>
      <c r="H272" s="13">
        <v>27</v>
      </c>
      <c r="I272" s="11">
        <v>1646</v>
      </c>
      <c r="J272">
        <v>22</v>
      </c>
      <c r="K272" s="11">
        <v>1628</v>
      </c>
      <c r="L272" s="13">
        <v>20</v>
      </c>
    </row>
    <row r="273" spans="1:12" x14ac:dyDescent="0.35">
      <c r="A273" s="12">
        <v>1600</v>
      </c>
      <c r="B273" s="11" t="s">
        <v>2399</v>
      </c>
      <c r="C273" s="12">
        <v>1592</v>
      </c>
      <c r="D273" s="12">
        <v>28</v>
      </c>
      <c r="E273" s="12">
        <v>1785</v>
      </c>
      <c r="F273" s="12">
        <v>1730</v>
      </c>
      <c r="G273" s="12">
        <v>40</v>
      </c>
      <c r="H273" s="12">
        <v>27</v>
      </c>
      <c r="I273" s="12">
        <v>1646</v>
      </c>
      <c r="J273">
        <v>22</v>
      </c>
      <c r="K273" s="12">
        <v>1628</v>
      </c>
      <c r="L273" s="12">
        <v>20</v>
      </c>
    </row>
    <row r="274" spans="1:12" x14ac:dyDescent="0.35">
      <c r="A274" s="12">
        <v>1600</v>
      </c>
      <c r="B274" s="11">
        <v>6</v>
      </c>
      <c r="C274" s="12">
        <v>1592</v>
      </c>
      <c r="D274" s="11">
        <v>37</v>
      </c>
      <c r="E274" s="11">
        <v>1820</v>
      </c>
      <c r="F274" s="11">
        <v>1760</v>
      </c>
      <c r="G274" s="12">
        <v>40</v>
      </c>
      <c r="H274" s="11">
        <v>30</v>
      </c>
      <c r="I274" s="11">
        <v>1660</v>
      </c>
      <c r="J274">
        <v>43</v>
      </c>
      <c r="K274" s="12">
        <v>1628</v>
      </c>
      <c r="L274" s="12">
        <v>20</v>
      </c>
    </row>
    <row r="275" spans="1:12" ht="15" customHeight="1" x14ac:dyDescent="0.35">
      <c r="A275" s="12">
        <v>1600</v>
      </c>
      <c r="B275" s="11">
        <v>10</v>
      </c>
      <c r="C275" s="11">
        <v>1592</v>
      </c>
      <c r="D275" s="11">
        <v>37</v>
      </c>
      <c r="E275" s="11">
        <v>1820</v>
      </c>
      <c r="F275" s="11">
        <v>1820</v>
      </c>
      <c r="G275" s="11">
        <v>40</v>
      </c>
      <c r="H275" s="11">
        <v>30</v>
      </c>
      <c r="I275" s="11">
        <v>1660</v>
      </c>
      <c r="J275">
        <v>38</v>
      </c>
      <c r="K275" s="11">
        <v>1628</v>
      </c>
      <c r="L275" s="13">
        <v>25</v>
      </c>
    </row>
    <row r="276" spans="1:12" ht="15" customHeight="1" x14ac:dyDescent="0.35">
      <c r="A276" s="12">
        <v>1600</v>
      </c>
      <c r="B276" s="11">
        <v>16</v>
      </c>
      <c r="C276" s="12">
        <v>1592</v>
      </c>
      <c r="D276" s="12">
        <v>37</v>
      </c>
      <c r="E276" s="12">
        <v>1820</v>
      </c>
      <c r="F276" s="12">
        <v>1820</v>
      </c>
      <c r="G276" s="12">
        <v>40</v>
      </c>
      <c r="H276" s="12">
        <v>30</v>
      </c>
      <c r="I276" s="12">
        <v>1660</v>
      </c>
      <c r="J276">
        <v>28</v>
      </c>
      <c r="K276" s="12">
        <v>1628</v>
      </c>
      <c r="L276" s="13">
        <v>35</v>
      </c>
    </row>
    <row r="277" spans="1:12" ht="15" customHeight="1" x14ac:dyDescent="0.35">
      <c r="A277" s="12">
        <v>1600</v>
      </c>
      <c r="B277" s="11">
        <v>25</v>
      </c>
      <c r="C277" s="12">
        <v>1592</v>
      </c>
      <c r="D277" s="12">
        <v>37</v>
      </c>
      <c r="E277" s="12">
        <v>1820</v>
      </c>
      <c r="F277" s="11">
        <v>1860</v>
      </c>
      <c r="G277" s="12">
        <v>40</v>
      </c>
      <c r="H277" s="12">
        <v>30</v>
      </c>
      <c r="I277" s="12">
        <v>1660</v>
      </c>
      <c r="J277">
        <v>28</v>
      </c>
      <c r="K277" s="12">
        <v>1628</v>
      </c>
      <c r="L277" s="13">
        <v>35</v>
      </c>
    </row>
    <row r="278" spans="1:12" x14ac:dyDescent="0.35">
      <c r="A278" s="12">
        <v>1600</v>
      </c>
      <c r="B278" s="11">
        <v>40</v>
      </c>
      <c r="C278" s="12">
        <v>1592</v>
      </c>
      <c r="D278" s="12">
        <v>37</v>
      </c>
      <c r="E278" s="12">
        <v>1820</v>
      </c>
      <c r="F278" s="11">
        <v>1900</v>
      </c>
      <c r="G278" s="12">
        <v>40</v>
      </c>
      <c r="H278" s="12">
        <v>30</v>
      </c>
      <c r="I278" s="12">
        <v>1660</v>
      </c>
      <c r="J278">
        <v>28</v>
      </c>
      <c r="K278" s="12">
        <v>1628</v>
      </c>
      <c r="L278" s="12">
        <v>35</v>
      </c>
    </row>
    <row r="279" spans="1:12" ht="15" customHeight="1" x14ac:dyDescent="0.35">
      <c r="A279" s="11">
        <v>1800</v>
      </c>
      <c r="B279" s="11" t="s">
        <v>2399</v>
      </c>
      <c r="C279" s="11">
        <v>1592</v>
      </c>
      <c r="D279" s="11">
        <v>37</v>
      </c>
      <c r="E279" s="11">
        <v>1820</v>
      </c>
      <c r="F279" s="11">
        <v>1930</v>
      </c>
      <c r="G279" s="11">
        <v>40</v>
      </c>
      <c r="H279" s="11">
        <v>30</v>
      </c>
      <c r="I279" s="11">
        <v>1660</v>
      </c>
      <c r="J279">
        <v>43</v>
      </c>
      <c r="K279" s="11">
        <v>1628</v>
      </c>
      <c r="L279" s="13">
        <v>20</v>
      </c>
    </row>
    <row r="280" spans="1:12" x14ac:dyDescent="0.35">
      <c r="A280" s="12">
        <v>1800</v>
      </c>
      <c r="B280" s="11">
        <v>6</v>
      </c>
      <c r="C280" s="12">
        <v>1592</v>
      </c>
      <c r="D280" s="12">
        <v>37</v>
      </c>
      <c r="E280" s="12">
        <v>1820</v>
      </c>
      <c r="F280" s="11">
        <v>1970</v>
      </c>
      <c r="G280" s="12">
        <v>40</v>
      </c>
      <c r="H280" s="12">
        <v>30</v>
      </c>
      <c r="I280" s="12">
        <v>1660</v>
      </c>
      <c r="J280">
        <v>43</v>
      </c>
      <c r="K280" s="12">
        <v>1628</v>
      </c>
      <c r="L280" s="12">
        <v>20</v>
      </c>
    </row>
    <row r="281" spans="1:12" ht="15" customHeight="1" x14ac:dyDescent="0.35">
      <c r="A281" s="12">
        <v>1800</v>
      </c>
      <c r="B281" s="11">
        <v>10</v>
      </c>
      <c r="C281" s="12">
        <v>1592</v>
      </c>
      <c r="D281" s="12">
        <v>37</v>
      </c>
      <c r="E281" s="12">
        <v>1820</v>
      </c>
      <c r="F281" s="11">
        <v>2020</v>
      </c>
      <c r="G281" s="12">
        <v>40</v>
      </c>
      <c r="H281" s="12">
        <v>30</v>
      </c>
      <c r="I281" s="12">
        <v>1660</v>
      </c>
      <c r="J281">
        <v>33</v>
      </c>
      <c r="K281" s="12">
        <v>1628</v>
      </c>
      <c r="L281" s="13">
        <v>30</v>
      </c>
    </row>
    <row r="282" spans="1:12" ht="15" customHeight="1" x14ac:dyDescent="0.35">
      <c r="A282" s="12">
        <v>1800</v>
      </c>
      <c r="B282" s="11">
        <v>16</v>
      </c>
      <c r="C282" s="12">
        <v>1592</v>
      </c>
      <c r="D282" s="12">
        <v>37</v>
      </c>
      <c r="E282" s="12">
        <v>1820</v>
      </c>
      <c r="F282" s="12">
        <v>2020</v>
      </c>
      <c r="G282" s="12">
        <v>40</v>
      </c>
      <c r="H282" s="12">
        <v>30</v>
      </c>
      <c r="I282" s="12">
        <v>1660</v>
      </c>
      <c r="J282">
        <v>28</v>
      </c>
      <c r="K282" s="12">
        <v>1628</v>
      </c>
      <c r="L282" s="13">
        <v>35</v>
      </c>
    </row>
    <row r="283" spans="1:12" ht="15" customHeight="1" x14ac:dyDescent="0.35">
      <c r="A283" s="12">
        <v>1800</v>
      </c>
      <c r="B283" s="11">
        <v>25</v>
      </c>
      <c r="C283" s="12">
        <v>1592</v>
      </c>
      <c r="D283" s="12">
        <v>37</v>
      </c>
      <c r="E283" s="12">
        <v>1820</v>
      </c>
      <c r="F283" s="11">
        <v>2070</v>
      </c>
      <c r="G283" s="12">
        <v>40</v>
      </c>
      <c r="H283" s="12">
        <v>30</v>
      </c>
      <c r="I283" s="12">
        <v>1660</v>
      </c>
      <c r="J283">
        <v>28</v>
      </c>
      <c r="K283" s="12">
        <v>1628</v>
      </c>
      <c r="L283" s="13">
        <v>35</v>
      </c>
    </row>
    <row r="284" spans="1:12" ht="15" customHeight="1" x14ac:dyDescent="0.35">
      <c r="A284" s="11">
        <v>2000</v>
      </c>
      <c r="B284" s="11" t="s">
        <v>2399</v>
      </c>
      <c r="C284" s="11">
        <v>1592</v>
      </c>
      <c r="D284" s="11">
        <v>37</v>
      </c>
      <c r="E284" s="11">
        <v>1820</v>
      </c>
      <c r="F284" s="11">
        <v>2130</v>
      </c>
      <c r="G284" s="11">
        <v>40</v>
      </c>
      <c r="H284" s="11">
        <v>30</v>
      </c>
      <c r="I284" s="11">
        <v>1660</v>
      </c>
      <c r="J284">
        <v>41</v>
      </c>
      <c r="K284" s="11">
        <v>1628</v>
      </c>
      <c r="L284" s="13">
        <v>22</v>
      </c>
    </row>
    <row r="285" spans="1:12" ht="15" customHeight="1" x14ac:dyDescent="0.35">
      <c r="A285" s="12">
        <v>2000</v>
      </c>
      <c r="B285" s="11">
        <v>6</v>
      </c>
      <c r="C285" s="12">
        <v>1592</v>
      </c>
      <c r="D285" s="12">
        <v>37</v>
      </c>
      <c r="E285" s="12">
        <v>1820</v>
      </c>
      <c r="F285" s="11">
        <v>2180</v>
      </c>
      <c r="G285" s="12">
        <v>40</v>
      </c>
      <c r="H285" s="12">
        <v>30</v>
      </c>
      <c r="I285" s="12">
        <v>1660</v>
      </c>
      <c r="J285">
        <v>38</v>
      </c>
      <c r="K285" s="12">
        <v>1628</v>
      </c>
      <c r="L285" s="13">
        <v>25</v>
      </c>
    </row>
    <row r="286" spans="1:12" ht="15" customHeight="1" x14ac:dyDescent="0.35">
      <c r="A286" s="12">
        <v>2000</v>
      </c>
      <c r="B286" s="11">
        <v>10</v>
      </c>
      <c r="C286" s="12">
        <v>1592</v>
      </c>
      <c r="D286" s="12">
        <v>37</v>
      </c>
      <c r="E286" s="12">
        <v>1820</v>
      </c>
      <c r="F286" s="11">
        <v>2230</v>
      </c>
      <c r="G286" s="12">
        <v>40</v>
      </c>
      <c r="H286" s="12">
        <v>30</v>
      </c>
      <c r="I286" s="12">
        <v>1660</v>
      </c>
      <c r="J286">
        <v>33</v>
      </c>
      <c r="K286" s="12">
        <v>1628</v>
      </c>
      <c r="L286" s="13">
        <v>30</v>
      </c>
    </row>
    <row r="287" spans="1:12" ht="15" customHeight="1" x14ac:dyDescent="0.35">
      <c r="A287" s="12">
        <v>2000</v>
      </c>
      <c r="B287" s="11">
        <v>16</v>
      </c>
      <c r="C287" s="12">
        <v>1592</v>
      </c>
      <c r="D287" s="12">
        <v>37</v>
      </c>
      <c r="E287" s="12">
        <v>1820</v>
      </c>
      <c r="F287" s="12">
        <v>2230</v>
      </c>
      <c r="G287" s="12">
        <v>40</v>
      </c>
      <c r="H287" s="12">
        <v>30</v>
      </c>
      <c r="I287" s="12">
        <v>1660</v>
      </c>
      <c r="J287">
        <v>23</v>
      </c>
      <c r="K287" s="12">
        <v>1628</v>
      </c>
      <c r="L287" s="13">
        <v>40</v>
      </c>
    </row>
    <row r="288" spans="1:12" ht="15" customHeight="1" x14ac:dyDescent="0.35">
      <c r="A288" s="12">
        <v>2000</v>
      </c>
      <c r="B288" s="11">
        <v>25</v>
      </c>
      <c r="C288" s="12">
        <v>1592</v>
      </c>
      <c r="D288" s="12">
        <v>37</v>
      </c>
      <c r="E288" s="12">
        <v>1820</v>
      </c>
      <c r="F288" s="11">
        <v>2300</v>
      </c>
      <c r="G288" s="12">
        <v>40</v>
      </c>
      <c r="H288" s="12">
        <v>30</v>
      </c>
      <c r="I288" s="12">
        <v>1660</v>
      </c>
      <c r="J288">
        <v>23</v>
      </c>
      <c r="K288" s="12">
        <v>1628</v>
      </c>
      <c r="L288" s="13">
        <v>40</v>
      </c>
    </row>
    <row r="289" spans="1:12" ht="15" customHeight="1" x14ac:dyDescent="0.35">
      <c r="A289" s="11">
        <v>2200</v>
      </c>
      <c r="B289" s="11" t="s">
        <v>2399</v>
      </c>
      <c r="C289" s="11">
        <v>1592</v>
      </c>
      <c r="D289" s="11">
        <v>37</v>
      </c>
      <c r="E289" s="11">
        <v>1820</v>
      </c>
      <c r="F289" s="11">
        <v>2340</v>
      </c>
      <c r="G289" s="11">
        <v>40</v>
      </c>
      <c r="H289" s="11">
        <v>30</v>
      </c>
      <c r="I289" s="11">
        <v>1660</v>
      </c>
      <c r="J289">
        <v>38</v>
      </c>
      <c r="K289" s="11">
        <v>1628</v>
      </c>
      <c r="L289" s="13">
        <v>25</v>
      </c>
    </row>
    <row r="290" spans="1:12" x14ac:dyDescent="0.35">
      <c r="A290" s="12">
        <v>2200</v>
      </c>
      <c r="B290" s="11">
        <v>6</v>
      </c>
      <c r="C290" s="12">
        <v>1592</v>
      </c>
      <c r="D290" s="12">
        <v>37</v>
      </c>
      <c r="E290" s="12">
        <v>1820</v>
      </c>
      <c r="F290" s="11">
        <v>2390</v>
      </c>
      <c r="G290" s="12">
        <v>40</v>
      </c>
      <c r="H290" s="12">
        <v>30</v>
      </c>
      <c r="I290" s="12">
        <v>1660</v>
      </c>
      <c r="J290">
        <v>38</v>
      </c>
      <c r="K290" s="12">
        <v>1628</v>
      </c>
      <c r="L290" s="12">
        <v>25</v>
      </c>
    </row>
    <row r="291" spans="1:12" ht="15" customHeight="1" x14ac:dyDescent="0.35">
      <c r="A291" s="12">
        <v>2200</v>
      </c>
      <c r="B291" s="11">
        <v>10</v>
      </c>
      <c r="C291" s="12">
        <v>1592</v>
      </c>
      <c r="D291" s="12">
        <v>37</v>
      </c>
      <c r="E291" s="12">
        <v>1820</v>
      </c>
      <c r="F291" s="11">
        <v>2440</v>
      </c>
      <c r="G291" s="12">
        <v>40</v>
      </c>
      <c r="H291" s="12">
        <v>30</v>
      </c>
      <c r="I291" s="12">
        <v>1660</v>
      </c>
      <c r="J291">
        <v>28</v>
      </c>
      <c r="K291" s="12">
        <v>1628</v>
      </c>
      <c r="L291" s="13">
        <v>35</v>
      </c>
    </row>
    <row r="292" spans="1:12" ht="15" customHeight="1" x14ac:dyDescent="0.35">
      <c r="A292" s="11">
        <v>2400</v>
      </c>
      <c r="B292" s="11" t="s">
        <v>2399</v>
      </c>
      <c r="C292" s="11">
        <v>1592</v>
      </c>
      <c r="D292" s="11">
        <v>37</v>
      </c>
      <c r="E292" s="11">
        <v>1820</v>
      </c>
      <c r="F292" s="11">
        <v>2540</v>
      </c>
      <c r="G292" s="11">
        <v>40</v>
      </c>
      <c r="H292" s="11">
        <v>30</v>
      </c>
      <c r="I292" s="11">
        <v>1660</v>
      </c>
      <c r="J292">
        <v>38</v>
      </c>
      <c r="K292" s="11">
        <v>1628</v>
      </c>
      <c r="L292" s="13">
        <v>25</v>
      </c>
    </row>
    <row r="293" spans="1:12" x14ac:dyDescent="0.35">
      <c r="A293" s="12">
        <v>2400</v>
      </c>
      <c r="B293" s="11">
        <v>6</v>
      </c>
      <c r="C293" s="12">
        <v>1592</v>
      </c>
      <c r="D293" s="12">
        <v>37</v>
      </c>
      <c r="E293" s="12">
        <v>1820</v>
      </c>
      <c r="F293" s="11">
        <v>2600</v>
      </c>
      <c r="G293" s="12">
        <v>40</v>
      </c>
      <c r="H293" s="12">
        <v>30</v>
      </c>
      <c r="I293" s="12">
        <v>1660</v>
      </c>
      <c r="J293">
        <v>38</v>
      </c>
      <c r="K293" s="12">
        <v>1628</v>
      </c>
      <c r="L293" s="12">
        <v>25</v>
      </c>
    </row>
    <row r="294" spans="1:12" ht="15" customHeight="1" x14ac:dyDescent="0.35">
      <c r="A294" s="12">
        <v>2400</v>
      </c>
      <c r="B294" s="11">
        <v>10</v>
      </c>
      <c r="C294" s="12">
        <v>1592</v>
      </c>
      <c r="D294" s="12">
        <v>37</v>
      </c>
      <c r="E294" s="12">
        <v>1820</v>
      </c>
      <c r="F294" s="11">
        <v>2650</v>
      </c>
      <c r="G294" s="12">
        <v>40</v>
      </c>
      <c r="H294" s="12">
        <v>30</v>
      </c>
      <c r="I294" s="12">
        <v>1660</v>
      </c>
      <c r="J294">
        <v>28</v>
      </c>
      <c r="K294" s="12">
        <v>1628</v>
      </c>
      <c r="L294" s="13">
        <v>35</v>
      </c>
    </row>
    <row r="295" spans="1:12" ht="15" customHeight="1" x14ac:dyDescent="0.35">
      <c r="A295" s="11">
        <v>2600</v>
      </c>
      <c r="B295" s="11" t="s">
        <v>2399</v>
      </c>
      <c r="C295" s="11">
        <v>1592</v>
      </c>
      <c r="D295" s="11">
        <v>37</v>
      </c>
      <c r="E295" s="11">
        <v>1820</v>
      </c>
      <c r="F295" s="11">
        <v>2740</v>
      </c>
      <c r="G295" s="11">
        <v>40</v>
      </c>
      <c r="H295" s="11">
        <v>30</v>
      </c>
      <c r="I295" s="11">
        <v>1660</v>
      </c>
      <c r="J295">
        <v>38</v>
      </c>
      <c r="K295" s="11">
        <v>1628</v>
      </c>
      <c r="L295" s="13">
        <v>25</v>
      </c>
    </row>
    <row r="296" spans="1:12" x14ac:dyDescent="0.35">
      <c r="A296" s="12">
        <v>2600</v>
      </c>
      <c r="B296" s="11">
        <v>6</v>
      </c>
      <c r="C296" s="12">
        <v>1592</v>
      </c>
      <c r="D296" s="12">
        <v>37</v>
      </c>
      <c r="E296" s="12">
        <v>1820</v>
      </c>
      <c r="F296" s="11">
        <v>2810</v>
      </c>
      <c r="G296" s="12">
        <v>40</v>
      </c>
      <c r="H296" s="12">
        <v>30</v>
      </c>
      <c r="I296" s="12">
        <v>1660</v>
      </c>
      <c r="J296">
        <v>38</v>
      </c>
      <c r="K296" s="12">
        <v>1628</v>
      </c>
      <c r="L296" s="12">
        <v>25</v>
      </c>
    </row>
    <row r="297" spans="1:12" ht="15" customHeight="1" x14ac:dyDescent="0.35">
      <c r="A297" s="12">
        <v>2600</v>
      </c>
      <c r="B297" s="11">
        <v>10</v>
      </c>
      <c r="C297" s="12">
        <v>1592</v>
      </c>
      <c r="D297" s="12">
        <v>37</v>
      </c>
      <c r="E297" s="12">
        <v>1820</v>
      </c>
      <c r="F297" s="11">
        <v>2850</v>
      </c>
      <c r="G297" s="12">
        <v>40</v>
      </c>
      <c r="H297" s="12">
        <v>30</v>
      </c>
      <c r="I297" s="12">
        <v>1660</v>
      </c>
      <c r="J297">
        <v>23</v>
      </c>
      <c r="K297" s="12">
        <v>1628</v>
      </c>
      <c r="L297" s="13">
        <v>40</v>
      </c>
    </row>
    <row r="298" spans="1:12" ht="15" customHeight="1" x14ac:dyDescent="0.35">
      <c r="A298" s="11">
        <v>2800</v>
      </c>
      <c r="B298" s="11" t="s">
        <v>2399</v>
      </c>
      <c r="C298" s="11">
        <v>1592</v>
      </c>
      <c r="D298" s="11">
        <v>37</v>
      </c>
      <c r="E298" s="11">
        <v>1820</v>
      </c>
      <c r="F298" s="11">
        <v>2960</v>
      </c>
      <c r="G298" s="11">
        <v>40</v>
      </c>
      <c r="H298" s="11">
        <v>30</v>
      </c>
      <c r="I298" s="11">
        <v>1660</v>
      </c>
      <c r="J298">
        <v>38</v>
      </c>
      <c r="K298" s="11">
        <v>1628</v>
      </c>
      <c r="L298" s="13">
        <v>25</v>
      </c>
    </row>
    <row r="299" spans="1:12" ht="15" customHeight="1" x14ac:dyDescent="0.35">
      <c r="A299" s="12">
        <v>2800</v>
      </c>
      <c r="B299" s="11">
        <v>6</v>
      </c>
      <c r="C299" s="12">
        <v>1592</v>
      </c>
      <c r="D299" s="12">
        <v>37</v>
      </c>
      <c r="E299" s="12">
        <v>1820</v>
      </c>
      <c r="F299" s="11">
        <v>3020</v>
      </c>
      <c r="G299" s="12">
        <v>40</v>
      </c>
      <c r="H299" s="12">
        <v>30</v>
      </c>
      <c r="I299" s="12">
        <v>1660</v>
      </c>
      <c r="J299">
        <v>33</v>
      </c>
      <c r="K299" s="12">
        <v>1628</v>
      </c>
      <c r="L299" s="13">
        <v>30</v>
      </c>
    </row>
    <row r="300" spans="1:12" ht="15" customHeight="1" x14ac:dyDescent="0.35">
      <c r="A300" s="12">
        <v>2800</v>
      </c>
      <c r="B300" s="11">
        <v>10</v>
      </c>
      <c r="C300" s="12">
        <v>1592</v>
      </c>
      <c r="D300" s="12">
        <v>37</v>
      </c>
      <c r="E300" s="12">
        <v>1820</v>
      </c>
      <c r="F300" s="11">
        <v>3070</v>
      </c>
      <c r="G300" s="12">
        <v>40</v>
      </c>
      <c r="H300" s="12">
        <v>30</v>
      </c>
      <c r="I300" s="12">
        <v>1660</v>
      </c>
      <c r="J300">
        <v>23</v>
      </c>
      <c r="K300" s="12">
        <v>1628</v>
      </c>
      <c r="L300" s="13">
        <v>40</v>
      </c>
    </row>
    <row r="301" spans="1:12" ht="15" customHeight="1" x14ac:dyDescent="0.35">
      <c r="A301" s="11">
        <v>3000</v>
      </c>
      <c r="B301" s="11" t="s">
        <v>2399</v>
      </c>
      <c r="C301" s="11">
        <v>1592</v>
      </c>
      <c r="D301" s="11">
        <v>37</v>
      </c>
      <c r="E301" s="11">
        <v>1820</v>
      </c>
      <c r="F301" s="11">
        <v>3160</v>
      </c>
      <c r="G301" s="11">
        <v>40</v>
      </c>
      <c r="H301" s="11">
        <v>30</v>
      </c>
      <c r="I301" s="11">
        <v>1660</v>
      </c>
      <c r="J301">
        <v>38</v>
      </c>
      <c r="K301" s="11">
        <v>1628</v>
      </c>
      <c r="L301" s="13">
        <v>25</v>
      </c>
    </row>
    <row r="302" spans="1:12" ht="15" customHeight="1" x14ac:dyDescent="0.35">
      <c r="A302" s="12">
        <v>3000</v>
      </c>
      <c r="B302" s="11">
        <v>6</v>
      </c>
      <c r="C302" s="12">
        <v>1592</v>
      </c>
      <c r="D302" s="12">
        <v>37</v>
      </c>
      <c r="E302" s="12">
        <v>1820</v>
      </c>
      <c r="F302" s="11">
        <v>3220</v>
      </c>
      <c r="G302" s="12">
        <v>40</v>
      </c>
      <c r="H302" s="12">
        <v>30</v>
      </c>
      <c r="I302" s="12">
        <v>1660</v>
      </c>
      <c r="J302">
        <v>33</v>
      </c>
      <c r="K302" s="12">
        <v>1628</v>
      </c>
      <c r="L302" s="13">
        <v>30</v>
      </c>
    </row>
    <row r="303" spans="1:12" ht="15" customHeight="1" x14ac:dyDescent="0.35">
      <c r="A303" s="12">
        <v>3000</v>
      </c>
      <c r="B303" s="11">
        <v>10</v>
      </c>
      <c r="C303" s="12">
        <v>1592</v>
      </c>
      <c r="D303" s="12">
        <v>37</v>
      </c>
      <c r="E303" s="12">
        <v>1820</v>
      </c>
      <c r="F303" s="11">
        <v>3290</v>
      </c>
      <c r="G303" s="12">
        <v>40</v>
      </c>
      <c r="H303" s="12">
        <v>30</v>
      </c>
      <c r="I303" s="12">
        <v>1660</v>
      </c>
      <c r="J303">
        <v>18</v>
      </c>
      <c r="K303" s="12">
        <v>1628</v>
      </c>
      <c r="L303" s="13">
        <v>45</v>
      </c>
    </row>
    <row r="304" spans="1:12" ht="15" customHeight="1" x14ac:dyDescent="0.35">
      <c r="A304" s="11">
        <v>3200</v>
      </c>
      <c r="B304" s="11" t="s">
        <v>2399</v>
      </c>
      <c r="C304" s="11">
        <v>1592</v>
      </c>
      <c r="D304" s="11">
        <v>37</v>
      </c>
      <c r="E304" s="11">
        <v>1820</v>
      </c>
      <c r="F304" s="11">
        <v>3360</v>
      </c>
      <c r="G304" s="11">
        <v>40</v>
      </c>
      <c r="H304" s="11">
        <v>30</v>
      </c>
      <c r="I304" s="11">
        <v>1660</v>
      </c>
      <c r="J304">
        <v>38</v>
      </c>
      <c r="K304" s="11">
        <v>1628</v>
      </c>
      <c r="L304" s="13">
        <v>25</v>
      </c>
    </row>
    <row r="305" spans="1:12" ht="15" customHeight="1" x14ac:dyDescent="0.35">
      <c r="A305" s="12">
        <v>3200</v>
      </c>
      <c r="B305" s="11">
        <v>6</v>
      </c>
      <c r="C305" s="12">
        <v>1592</v>
      </c>
      <c r="D305" s="12">
        <v>37</v>
      </c>
      <c r="E305" s="12">
        <v>1820</v>
      </c>
      <c r="F305" s="11">
        <v>3430</v>
      </c>
      <c r="G305" s="12">
        <v>40</v>
      </c>
      <c r="H305" s="12">
        <v>30</v>
      </c>
      <c r="I305" s="12">
        <v>1660</v>
      </c>
      <c r="J305">
        <v>33</v>
      </c>
      <c r="K305" s="12">
        <v>1628</v>
      </c>
      <c r="L305" s="13">
        <v>30</v>
      </c>
    </row>
    <row r="306" spans="1:12" ht="15" customHeight="1" x14ac:dyDescent="0.35">
      <c r="A306" s="11">
        <v>3400</v>
      </c>
      <c r="B306" s="11" t="s">
        <v>2399</v>
      </c>
      <c r="C306" s="11">
        <v>1592</v>
      </c>
      <c r="D306" s="11">
        <v>37</v>
      </c>
      <c r="E306" s="11">
        <v>1820</v>
      </c>
      <c r="F306" s="11">
        <v>3560</v>
      </c>
      <c r="G306" s="11">
        <v>40</v>
      </c>
      <c r="H306" s="11">
        <v>30</v>
      </c>
      <c r="I306" s="11">
        <v>1660</v>
      </c>
      <c r="J306">
        <v>35</v>
      </c>
      <c r="K306" s="11">
        <v>1628</v>
      </c>
      <c r="L306" s="13">
        <v>28</v>
      </c>
    </row>
    <row r="307" spans="1:12" ht="15" customHeight="1" x14ac:dyDescent="0.35">
      <c r="A307" s="12">
        <v>3400</v>
      </c>
      <c r="B307" s="11">
        <v>6</v>
      </c>
      <c r="C307" s="12">
        <v>1592</v>
      </c>
      <c r="D307" s="12">
        <v>37</v>
      </c>
      <c r="E307" s="12">
        <v>1820</v>
      </c>
      <c r="F307" s="11">
        <v>3640</v>
      </c>
      <c r="G307" s="12">
        <v>40</v>
      </c>
      <c r="H307" s="12">
        <v>30</v>
      </c>
      <c r="I307" s="12">
        <v>1660</v>
      </c>
      <c r="J307">
        <v>28</v>
      </c>
      <c r="K307" s="12">
        <v>1628</v>
      </c>
      <c r="L307" s="13">
        <v>35</v>
      </c>
    </row>
    <row r="308" spans="1:12" ht="15" customHeight="1" x14ac:dyDescent="0.35">
      <c r="A308" s="11">
        <v>3600</v>
      </c>
      <c r="B308" s="11" t="s">
        <v>2399</v>
      </c>
      <c r="C308" s="11">
        <v>1592</v>
      </c>
      <c r="D308" s="11">
        <v>37</v>
      </c>
      <c r="E308" s="11">
        <v>1820</v>
      </c>
      <c r="F308" s="11">
        <v>3770</v>
      </c>
      <c r="G308" s="11">
        <v>40</v>
      </c>
      <c r="H308" s="11">
        <v>30</v>
      </c>
      <c r="I308" s="11">
        <v>1660</v>
      </c>
      <c r="J308">
        <v>35</v>
      </c>
      <c r="K308" s="11">
        <v>1628</v>
      </c>
      <c r="L308" s="13">
        <v>28</v>
      </c>
    </row>
    <row r="309" spans="1:12" ht="15" customHeight="1" x14ac:dyDescent="0.35">
      <c r="A309" s="12">
        <v>3600</v>
      </c>
      <c r="B309" s="11">
        <v>6</v>
      </c>
      <c r="C309" s="12">
        <v>1592</v>
      </c>
      <c r="D309" s="12">
        <v>37</v>
      </c>
      <c r="E309" s="12">
        <v>1820</v>
      </c>
      <c r="F309" s="11">
        <v>3860</v>
      </c>
      <c r="G309" s="12">
        <v>40</v>
      </c>
      <c r="H309" s="12">
        <v>30</v>
      </c>
      <c r="I309" s="12">
        <v>1660</v>
      </c>
      <c r="J309">
        <v>28</v>
      </c>
      <c r="K309" s="12">
        <v>1628</v>
      </c>
      <c r="L309" s="13">
        <v>35</v>
      </c>
    </row>
    <row r="310" spans="1:12" ht="15" customHeight="1" x14ac:dyDescent="0.35">
      <c r="A310" s="11">
        <v>3800</v>
      </c>
      <c r="B310" s="11" t="s">
        <v>2399</v>
      </c>
      <c r="C310" s="11">
        <v>1592</v>
      </c>
      <c r="D310" s="11">
        <v>37</v>
      </c>
      <c r="E310" s="11">
        <v>1820</v>
      </c>
      <c r="F310" s="11">
        <v>3970</v>
      </c>
      <c r="G310" s="11">
        <v>40</v>
      </c>
      <c r="H310" s="11">
        <v>30</v>
      </c>
      <c r="I310" s="11">
        <v>1660</v>
      </c>
      <c r="J310">
        <v>35</v>
      </c>
      <c r="K310" s="11">
        <v>1628</v>
      </c>
      <c r="L310" s="13">
        <v>28</v>
      </c>
    </row>
    <row r="311" spans="1:12" ht="15" customHeight="1" x14ac:dyDescent="0.35">
      <c r="A311" s="11">
        <v>4000</v>
      </c>
      <c r="B311" s="11" t="s">
        <v>2399</v>
      </c>
      <c r="C311" s="11">
        <v>1592</v>
      </c>
      <c r="D311" s="11">
        <v>37</v>
      </c>
      <c r="E311" s="11">
        <v>1820</v>
      </c>
      <c r="F311" s="11">
        <v>4170</v>
      </c>
      <c r="G311" s="11">
        <v>40</v>
      </c>
      <c r="H311" s="11">
        <v>30</v>
      </c>
      <c r="I311" s="11">
        <v>1660</v>
      </c>
      <c r="J311">
        <v>35</v>
      </c>
      <c r="K311" s="11">
        <v>1628</v>
      </c>
      <c r="L311" s="13">
        <v>28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workbookViewId="0">
      <selection activeCell="N12" sqref="N12"/>
    </sheetView>
  </sheetViews>
  <sheetFormatPr defaultRowHeight="14.5" x14ac:dyDescent="0.35"/>
  <sheetData>
    <row r="1" spans="1:21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2792</v>
      </c>
      <c r="J1" s="13" t="s">
        <v>2793</v>
      </c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x14ac:dyDescent="0.35">
      <c r="A2" s="11">
        <v>10</v>
      </c>
      <c r="B2" s="11">
        <v>1</v>
      </c>
      <c r="C2" s="11">
        <v>16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35</v>
      </c>
      <c r="J2" s="11">
        <v>8</v>
      </c>
    </row>
    <row r="3" spans="1:21" ht="15" customHeight="1" x14ac:dyDescent="0.35">
      <c r="A3" s="12">
        <v>10</v>
      </c>
      <c r="B3" s="11" t="s">
        <v>2399</v>
      </c>
      <c r="C3" s="12">
        <v>16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35</v>
      </c>
      <c r="J3" s="12">
        <v>8</v>
      </c>
    </row>
    <row r="4" spans="1:21" x14ac:dyDescent="0.35">
      <c r="A4" s="12">
        <v>10</v>
      </c>
      <c r="B4" s="11">
        <v>6</v>
      </c>
      <c r="C4" s="12">
        <v>16</v>
      </c>
      <c r="D4" s="12">
        <v>10</v>
      </c>
      <c r="E4" s="12">
        <v>75</v>
      </c>
      <c r="F4" s="12">
        <v>50</v>
      </c>
      <c r="G4" s="12">
        <v>4</v>
      </c>
      <c r="H4" s="12">
        <v>10</v>
      </c>
      <c r="I4" s="12">
        <v>35</v>
      </c>
      <c r="J4" s="12">
        <v>8</v>
      </c>
    </row>
    <row r="5" spans="1:21" ht="15" customHeight="1" x14ac:dyDescent="0.35">
      <c r="A5" s="12">
        <v>10</v>
      </c>
      <c r="B5" s="11">
        <v>10</v>
      </c>
      <c r="C5" s="12">
        <v>16</v>
      </c>
      <c r="D5" s="11">
        <v>12</v>
      </c>
      <c r="E5" s="13">
        <v>90</v>
      </c>
      <c r="F5" s="11">
        <v>60</v>
      </c>
      <c r="G5" s="12">
        <v>4</v>
      </c>
      <c r="H5" s="13">
        <v>12</v>
      </c>
      <c r="I5" s="11">
        <v>42</v>
      </c>
      <c r="J5" s="11">
        <v>10</v>
      </c>
    </row>
    <row r="6" spans="1:21" x14ac:dyDescent="0.35">
      <c r="A6" s="12">
        <v>10</v>
      </c>
      <c r="B6" s="11">
        <v>16</v>
      </c>
      <c r="C6" s="12">
        <v>16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2">
        <v>42</v>
      </c>
      <c r="J6" s="11">
        <v>12</v>
      </c>
    </row>
    <row r="7" spans="1:21" x14ac:dyDescent="0.35">
      <c r="A7" s="12">
        <v>10</v>
      </c>
      <c r="B7" s="11">
        <v>25</v>
      </c>
      <c r="C7" s="12">
        <v>16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42</v>
      </c>
      <c r="J7" s="11">
        <v>14</v>
      </c>
    </row>
    <row r="8" spans="1:21" x14ac:dyDescent="0.35">
      <c r="A8" s="11">
        <v>15</v>
      </c>
      <c r="B8" s="11">
        <v>1</v>
      </c>
      <c r="C8" s="11">
        <v>20</v>
      </c>
      <c r="D8" s="11">
        <v>10</v>
      </c>
      <c r="E8" s="11">
        <v>80</v>
      </c>
      <c r="F8" s="11">
        <v>55</v>
      </c>
      <c r="G8" s="11">
        <v>4</v>
      </c>
      <c r="H8" s="11">
        <v>10</v>
      </c>
      <c r="I8" s="11">
        <v>40</v>
      </c>
      <c r="J8" s="11">
        <v>8</v>
      </c>
    </row>
    <row r="9" spans="1:21" ht="15" customHeight="1" x14ac:dyDescent="0.35">
      <c r="A9" s="12">
        <v>15</v>
      </c>
      <c r="B9" s="11" t="s">
        <v>2399</v>
      </c>
      <c r="C9" s="12">
        <v>20</v>
      </c>
      <c r="D9" s="12">
        <v>10</v>
      </c>
      <c r="E9" s="13">
        <v>80</v>
      </c>
      <c r="F9" s="12">
        <v>55</v>
      </c>
      <c r="G9" s="13">
        <v>4</v>
      </c>
      <c r="H9" s="13">
        <v>10</v>
      </c>
      <c r="I9" s="12">
        <v>40</v>
      </c>
      <c r="J9" s="12">
        <v>8</v>
      </c>
    </row>
    <row r="10" spans="1:21" x14ac:dyDescent="0.35">
      <c r="A10" s="12">
        <v>15</v>
      </c>
      <c r="B10" s="11">
        <v>6</v>
      </c>
      <c r="C10" s="12">
        <v>20</v>
      </c>
      <c r="D10" s="12">
        <v>10</v>
      </c>
      <c r="E10" s="12">
        <v>80</v>
      </c>
      <c r="F10" s="12">
        <v>55</v>
      </c>
      <c r="G10" s="12">
        <v>4</v>
      </c>
      <c r="H10" s="12">
        <v>10</v>
      </c>
      <c r="I10" s="12">
        <v>40</v>
      </c>
      <c r="J10" s="12">
        <v>8</v>
      </c>
    </row>
    <row r="11" spans="1:21" ht="15" customHeight="1" x14ac:dyDescent="0.35">
      <c r="A11" s="12">
        <v>15</v>
      </c>
      <c r="B11" s="11">
        <v>10</v>
      </c>
      <c r="C11" s="12">
        <v>20</v>
      </c>
      <c r="D11" s="11">
        <v>12</v>
      </c>
      <c r="E11" s="13">
        <v>95</v>
      </c>
      <c r="F11" s="11">
        <v>65</v>
      </c>
      <c r="G11" s="12">
        <v>4</v>
      </c>
      <c r="H11" s="13">
        <v>12</v>
      </c>
      <c r="I11" s="11">
        <v>47</v>
      </c>
      <c r="J11" s="11">
        <v>10</v>
      </c>
    </row>
    <row r="12" spans="1:21" x14ac:dyDescent="0.35">
      <c r="A12" s="12">
        <v>15</v>
      </c>
      <c r="B12" s="11">
        <v>16</v>
      </c>
      <c r="C12" s="12">
        <v>20</v>
      </c>
      <c r="D12" s="11">
        <v>14</v>
      </c>
      <c r="E12" s="12">
        <v>95</v>
      </c>
      <c r="F12" s="12">
        <v>65</v>
      </c>
      <c r="G12" s="12">
        <v>4</v>
      </c>
      <c r="H12" s="12">
        <v>12</v>
      </c>
      <c r="I12" s="12">
        <v>47</v>
      </c>
      <c r="J12" s="11">
        <v>12</v>
      </c>
    </row>
    <row r="13" spans="1:21" x14ac:dyDescent="0.35">
      <c r="A13" s="12">
        <v>15</v>
      </c>
      <c r="B13" s="11">
        <v>25</v>
      </c>
      <c r="C13" s="12">
        <v>20</v>
      </c>
      <c r="D13" s="11">
        <v>16</v>
      </c>
      <c r="E13" s="12">
        <v>95</v>
      </c>
      <c r="F13" s="12">
        <v>65</v>
      </c>
      <c r="G13" s="12">
        <v>4</v>
      </c>
      <c r="H13" s="12">
        <v>12</v>
      </c>
      <c r="I13" s="12">
        <v>47</v>
      </c>
      <c r="J13" s="11">
        <v>14</v>
      </c>
    </row>
    <row r="14" spans="1:21" x14ac:dyDescent="0.35">
      <c r="A14" s="11">
        <v>20</v>
      </c>
      <c r="B14" s="11">
        <v>1</v>
      </c>
      <c r="C14" s="11">
        <v>27</v>
      </c>
      <c r="D14" s="11">
        <v>10</v>
      </c>
      <c r="E14" s="11">
        <v>90</v>
      </c>
      <c r="F14" s="11">
        <v>65</v>
      </c>
      <c r="G14" s="11">
        <v>4</v>
      </c>
      <c r="H14" s="11">
        <v>10</v>
      </c>
      <c r="I14" s="11">
        <v>50</v>
      </c>
      <c r="J14" s="11">
        <v>10</v>
      </c>
    </row>
    <row r="15" spans="1:21" ht="15" customHeight="1" x14ac:dyDescent="0.35">
      <c r="A15" s="12">
        <v>20</v>
      </c>
      <c r="B15" s="11" t="s">
        <v>2399</v>
      </c>
      <c r="C15" s="12">
        <v>27</v>
      </c>
      <c r="D15" s="12">
        <v>10</v>
      </c>
      <c r="E15" s="13">
        <v>90</v>
      </c>
      <c r="F15" s="12">
        <v>65</v>
      </c>
      <c r="G15" s="13">
        <v>4</v>
      </c>
      <c r="H15" s="13">
        <v>10</v>
      </c>
      <c r="I15" s="12">
        <v>50</v>
      </c>
      <c r="J15" s="12">
        <v>10</v>
      </c>
    </row>
    <row r="16" spans="1:21" x14ac:dyDescent="0.35">
      <c r="A16" s="12">
        <v>20</v>
      </c>
      <c r="B16" s="11">
        <v>6</v>
      </c>
      <c r="C16" s="12">
        <v>27</v>
      </c>
      <c r="D16" s="12">
        <v>10</v>
      </c>
      <c r="E16" s="12">
        <v>90</v>
      </c>
      <c r="F16" s="12">
        <v>65</v>
      </c>
      <c r="G16" s="12">
        <v>4</v>
      </c>
      <c r="H16" s="12">
        <v>10</v>
      </c>
      <c r="I16" s="12">
        <v>50</v>
      </c>
      <c r="J16" s="12">
        <v>10</v>
      </c>
    </row>
    <row r="17" spans="1:10" ht="15" customHeight="1" x14ac:dyDescent="0.35">
      <c r="A17" s="12">
        <v>20</v>
      </c>
      <c r="B17" s="11">
        <v>10</v>
      </c>
      <c r="C17" s="12">
        <v>27</v>
      </c>
      <c r="D17" s="11">
        <v>14</v>
      </c>
      <c r="E17" s="13">
        <v>105</v>
      </c>
      <c r="F17" s="11">
        <v>75</v>
      </c>
      <c r="G17" s="12">
        <v>4</v>
      </c>
      <c r="H17" s="13">
        <v>12</v>
      </c>
      <c r="I17" s="11">
        <v>58</v>
      </c>
      <c r="J17" s="11">
        <v>12</v>
      </c>
    </row>
    <row r="18" spans="1:10" x14ac:dyDescent="0.35">
      <c r="A18" s="12">
        <v>20</v>
      </c>
      <c r="B18" s="11">
        <v>16</v>
      </c>
      <c r="C18" s="12">
        <v>27</v>
      </c>
      <c r="D18" s="11">
        <v>16</v>
      </c>
      <c r="E18" s="12">
        <v>105</v>
      </c>
      <c r="F18" s="12">
        <v>75</v>
      </c>
      <c r="G18" s="12">
        <v>4</v>
      </c>
      <c r="H18" s="12">
        <v>12</v>
      </c>
      <c r="I18" s="12">
        <v>58</v>
      </c>
      <c r="J18" s="11">
        <v>14</v>
      </c>
    </row>
    <row r="19" spans="1:10" x14ac:dyDescent="0.35">
      <c r="A19" s="12">
        <v>20</v>
      </c>
      <c r="B19" s="11">
        <v>25</v>
      </c>
      <c r="C19" s="12">
        <v>27</v>
      </c>
      <c r="D19" s="11">
        <v>18</v>
      </c>
      <c r="E19" s="12">
        <v>105</v>
      </c>
      <c r="F19" s="12">
        <v>75</v>
      </c>
      <c r="G19" s="12">
        <v>4</v>
      </c>
      <c r="H19" s="12">
        <v>12</v>
      </c>
      <c r="I19" s="12">
        <v>58</v>
      </c>
      <c r="J19" s="11">
        <v>16</v>
      </c>
    </row>
    <row r="20" spans="1:10" x14ac:dyDescent="0.35">
      <c r="A20" s="11">
        <v>25</v>
      </c>
      <c r="B20" s="11">
        <v>1</v>
      </c>
      <c r="C20" s="11">
        <v>34</v>
      </c>
      <c r="D20" s="11">
        <v>12</v>
      </c>
      <c r="E20" s="11">
        <v>100</v>
      </c>
      <c r="F20" s="11">
        <v>75</v>
      </c>
      <c r="G20" s="11">
        <v>4</v>
      </c>
      <c r="H20" s="11">
        <v>10</v>
      </c>
      <c r="I20" s="11">
        <v>60</v>
      </c>
      <c r="J20" s="11">
        <v>10</v>
      </c>
    </row>
    <row r="21" spans="1:10" ht="15" customHeight="1" x14ac:dyDescent="0.35">
      <c r="A21" s="12">
        <v>25</v>
      </c>
      <c r="B21" s="11" t="s">
        <v>2399</v>
      </c>
      <c r="C21" s="12">
        <v>34</v>
      </c>
      <c r="D21" s="12">
        <v>12</v>
      </c>
      <c r="E21" s="13">
        <v>100</v>
      </c>
      <c r="F21" s="12">
        <v>75</v>
      </c>
      <c r="G21" s="13">
        <v>4</v>
      </c>
      <c r="H21" s="13">
        <v>10</v>
      </c>
      <c r="I21" s="12">
        <v>60</v>
      </c>
      <c r="J21" s="12">
        <v>10</v>
      </c>
    </row>
    <row r="22" spans="1:10" x14ac:dyDescent="0.35">
      <c r="A22" s="12">
        <v>25</v>
      </c>
      <c r="B22" s="11">
        <v>6</v>
      </c>
      <c r="C22" s="12">
        <v>34</v>
      </c>
      <c r="D22" s="12">
        <v>12</v>
      </c>
      <c r="E22" s="12">
        <v>100</v>
      </c>
      <c r="F22" s="12">
        <v>75</v>
      </c>
      <c r="G22" s="12">
        <v>4</v>
      </c>
      <c r="H22" s="12">
        <v>10</v>
      </c>
      <c r="I22" s="12">
        <v>60</v>
      </c>
      <c r="J22" s="12">
        <v>10</v>
      </c>
    </row>
    <row r="23" spans="1:10" ht="15" customHeight="1" x14ac:dyDescent="0.35">
      <c r="A23" s="12">
        <v>25</v>
      </c>
      <c r="B23" s="11">
        <v>10</v>
      </c>
      <c r="C23" s="12">
        <v>34</v>
      </c>
      <c r="D23" s="11">
        <v>14</v>
      </c>
      <c r="E23" s="13">
        <v>115</v>
      </c>
      <c r="F23" s="11">
        <v>85</v>
      </c>
      <c r="G23" s="12">
        <v>4</v>
      </c>
      <c r="H23" s="13">
        <v>12</v>
      </c>
      <c r="I23" s="11">
        <v>68</v>
      </c>
      <c r="J23" s="11">
        <v>12</v>
      </c>
    </row>
    <row r="24" spans="1:10" x14ac:dyDescent="0.35">
      <c r="A24" s="12">
        <v>25</v>
      </c>
      <c r="B24" s="11">
        <v>16</v>
      </c>
      <c r="C24" s="12">
        <v>34</v>
      </c>
      <c r="D24" s="11">
        <v>16</v>
      </c>
      <c r="E24" s="12">
        <v>115</v>
      </c>
      <c r="F24" s="12">
        <v>85</v>
      </c>
      <c r="G24" s="12">
        <v>4</v>
      </c>
      <c r="H24" s="12">
        <v>12</v>
      </c>
      <c r="I24" s="12">
        <v>68</v>
      </c>
      <c r="J24" s="11">
        <v>14</v>
      </c>
    </row>
    <row r="25" spans="1:10" x14ac:dyDescent="0.35">
      <c r="A25" s="12">
        <v>25</v>
      </c>
      <c r="B25" s="11">
        <v>25</v>
      </c>
      <c r="C25" s="12">
        <v>34</v>
      </c>
      <c r="D25" s="11">
        <v>18</v>
      </c>
      <c r="E25" s="12">
        <v>115</v>
      </c>
      <c r="F25" s="12">
        <v>85</v>
      </c>
      <c r="G25" s="12">
        <v>4</v>
      </c>
      <c r="H25" s="12">
        <v>12</v>
      </c>
      <c r="I25" s="12">
        <v>68</v>
      </c>
      <c r="J25" s="11">
        <v>16</v>
      </c>
    </row>
    <row r="26" spans="1:10" x14ac:dyDescent="0.35">
      <c r="A26" s="11">
        <v>32</v>
      </c>
      <c r="B26" s="11">
        <v>1</v>
      </c>
      <c r="C26" s="11">
        <v>41</v>
      </c>
      <c r="D26" s="11">
        <v>12</v>
      </c>
      <c r="E26" s="11">
        <v>120</v>
      </c>
      <c r="F26" s="11">
        <v>90</v>
      </c>
      <c r="G26" s="11">
        <v>4</v>
      </c>
      <c r="H26" s="11">
        <v>12</v>
      </c>
      <c r="I26" s="11">
        <v>70</v>
      </c>
      <c r="J26" s="11">
        <v>10</v>
      </c>
    </row>
    <row r="27" spans="1:10" ht="15" customHeight="1" x14ac:dyDescent="0.35">
      <c r="A27" s="12">
        <v>32</v>
      </c>
      <c r="B27" s="11" t="s">
        <v>2399</v>
      </c>
      <c r="C27" s="12">
        <v>41</v>
      </c>
      <c r="D27" s="12">
        <v>12</v>
      </c>
      <c r="E27" s="13">
        <v>120</v>
      </c>
      <c r="F27" s="12">
        <v>90</v>
      </c>
      <c r="G27" s="13">
        <v>4</v>
      </c>
      <c r="H27" s="13">
        <v>12</v>
      </c>
      <c r="I27" s="12">
        <v>70</v>
      </c>
      <c r="J27" s="12">
        <v>10</v>
      </c>
    </row>
    <row r="28" spans="1:10" x14ac:dyDescent="0.35">
      <c r="A28" s="12">
        <v>32</v>
      </c>
      <c r="B28" s="11">
        <v>6</v>
      </c>
      <c r="C28" s="12">
        <v>41</v>
      </c>
      <c r="D28" s="12">
        <v>12</v>
      </c>
      <c r="E28" s="12">
        <v>120</v>
      </c>
      <c r="F28" s="12">
        <v>90</v>
      </c>
      <c r="G28" s="12">
        <v>4</v>
      </c>
      <c r="H28" s="12">
        <v>12</v>
      </c>
      <c r="I28" s="12">
        <v>70</v>
      </c>
      <c r="J28" s="12">
        <v>10</v>
      </c>
    </row>
    <row r="29" spans="1:10" ht="15" customHeight="1" x14ac:dyDescent="0.35">
      <c r="A29" s="12">
        <v>32</v>
      </c>
      <c r="B29" s="11">
        <v>10</v>
      </c>
      <c r="C29" s="12">
        <v>41</v>
      </c>
      <c r="D29" s="11">
        <v>16</v>
      </c>
      <c r="E29" s="11">
        <v>135</v>
      </c>
      <c r="F29" s="11">
        <v>100</v>
      </c>
      <c r="G29" s="12">
        <v>4</v>
      </c>
      <c r="H29" s="13">
        <v>16</v>
      </c>
      <c r="I29" s="11">
        <v>78</v>
      </c>
      <c r="J29" s="11">
        <v>12</v>
      </c>
    </row>
    <row r="30" spans="1:10" x14ac:dyDescent="0.35">
      <c r="A30" s="12">
        <v>32</v>
      </c>
      <c r="B30" s="11">
        <v>16</v>
      </c>
      <c r="C30" s="12">
        <v>41</v>
      </c>
      <c r="D30" s="11">
        <v>18</v>
      </c>
      <c r="E30" s="12">
        <v>135</v>
      </c>
      <c r="F30" s="12">
        <v>100</v>
      </c>
      <c r="G30" s="12">
        <v>4</v>
      </c>
      <c r="H30" s="12">
        <v>16</v>
      </c>
      <c r="I30" s="12">
        <v>78</v>
      </c>
      <c r="J30" s="11">
        <v>16</v>
      </c>
    </row>
    <row r="31" spans="1:10" x14ac:dyDescent="0.35">
      <c r="A31" s="12">
        <v>32</v>
      </c>
      <c r="B31" s="11">
        <v>25</v>
      </c>
      <c r="C31" s="12">
        <v>41</v>
      </c>
      <c r="D31" s="11">
        <v>20</v>
      </c>
      <c r="E31" s="12">
        <v>135</v>
      </c>
      <c r="F31" s="12">
        <v>100</v>
      </c>
      <c r="G31" s="12">
        <v>4</v>
      </c>
      <c r="H31" s="12">
        <v>16</v>
      </c>
      <c r="I31" s="12">
        <v>78</v>
      </c>
      <c r="J31" s="12">
        <v>16</v>
      </c>
    </row>
    <row r="32" spans="1:10" x14ac:dyDescent="0.35">
      <c r="A32" s="11">
        <v>40</v>
      </c>
      <c r="B32" s="11">
        <v>1</v>
      </c>
      <c r="C32" s="11">
        <v>48</v>
      </c>
      <c r="D32" s="11">
        <v>12</v>
      </c>
      <c r="E32" s="11">
        <v>130</v>
      </c>
      <c r="F32" s="11">
        <v>100</v>
      </c>
      <c r="G32" s="11">
        <v>4</v>
      </c>
      <c r="H32" s="11">
        <v>12</v>
      </c>
      <c r="I32" s="11">
        <v>80</v>
      </c>
      <c r="J32" s="11">
        <v>10</v>
      </c>
    </row>
    <row r="33" spans="1:10" ht="15" customHeight="1" x14ac:dyDescent="0.35">
      <c r="A33" s="12">
        <v>40</v>
      </c>
      <c r="B33" s="11" t="s">
        <v>2399</v>
      </c>
      <c r="C33" s="12">
        <v>48</v>
      </c>
      <c r="D33" s="12">
        <v>12</v>
      </c>
      <c r="E33" s="13">
        <v>130</v>
      </c>
      <c r="F33" s="12">
        <v>100</v>
      </c>
      <c r="G33" s="13">
        <v>4</v>
      </c>
      <c r="H33" s="13">
        <v>12</v>
      </c>
      <c r="I33" s="12">
        <v>80</v>
      </c>
      <c r="J33" s="12">
        <v>10</v>
      </c>
    </row>
    <row r="34" spans="1:10" x14ac:dyDescent="0.35">
      <c r="A34" s="12">
        <v>40</v>
      </c>
      <c r="B34" s="11">
        <v>6</v>
      </c>
      <c r="C34" s="12">
        <v>48</v>
      </c>
      <c r="D34" s="12">
        <v>12</v>
      </c>
      <c r="E34" s="12">
        <v>130</v>
      </c>
      <c r="F34" s="12">
        <v>100</v>
      </c>
      <c r="G34" s="12">
        <v>4</v>
      </c>
      <c r="H34" s="12">
        <v>12</v>
      </c>
      <c r="I34" s="12">
        <v>80</v>
      </c>
      <c r="J34" s="12">
        <v>10</v>
      </c>
    </row>
    <row r="35" spans="1:10" ht="15" customHeight="1" x14ac:dyDescent="0.35">
      <c r="A35" s="12">
        <v>40</v>
      </c>
      <c r="B35" s="11">
        <v>10</v>
      </c>
      <c r="C35" s="12">
        <v>48</v>
      </c>
      <c r="D35" s="11">
        <v>18</v>
      </c>
      <c r="E35" s="11">
        <v>145</v>
      </c>
      <c r="F35" s="11">
        <v>110</v>
      </c>
      <c r="G35" s="12">
        <v>4</v>
      </c>
      <c r="H35" s="13">
        <v>16</v>
      </c>
      <c r="I35" s="11">
        <v>88</v>
      </c>
      <c r="J35" s="11">
        <v>12</v>
      </c>
    </row>
    <row r="36" spans="1:10" x14ac:dyDescent="0.35">
      <c r="A36" s="12">
        <v>40</v>
      </c>
      <c r="B36" s="11">
        <v>16</v>
      </c>
      <c r="C36" s="12">
        <v>48</v>
      </c>
      <c r="D36" s="11">
        <v>20</v>
      </c>
      <c r="E36" s="12">
        <v>145</v>
      </c>
      <c r="F36" s="12">
        <v>110</v>
      </c>
      <c r="G36" s="12">
        <v>4</v>
      </c>
      <c r="H36" s="12">
        <v>16</v>
      </c>
      <c r="I36" s="12">
        <v>88</v>
      </c>
      <c r="J36" s="11">
        <v>16</v>
      </c>
    </row>
    <row r="37" spans="1:10" x14ac:dyDescent="0.35">
      <c r="A37" s="12">
        <v>40</v>
      </c>
      <c r="B37" s="11">
        <v>25</v>
      </c>
      <c r="C37" s="12">
        <v>48</v>
      </c>
      <c r="D37" s="11">
        <v>22</v>
      </c>
      <c r="E37" s="12">
        <v>145</v>
      </c>
      <c r="F37" s="12">
        <v>110</v>
      </c>
      <c r="G37" s="12">
        <v>4</v>
      </c>
      <c r="H37" s="12">
        <v>16</v>
      </c>
      <c r="I37" s="12">
        <v>88</v>
      </c>
      <c r="J37" s="11">
        <v>18</v>
      </c>
    </row>
    <row r="38" spans="1:10" x14ac:dyDescent="0.35">
      <c r="A38" s="11">
        <v>50</v>
      </c>
      <c r="B38" s="11">
        <v>1</v>
      </c>
      <c r="C38" s="11">
        <v>61</v>
      </c>
      <c r="D38" s="11">
        <v>12</v>
      </c>
      <c r="E38" s="11">
        <v>140</v>
      </c>
      <c r="F38" s="11">
        <v>110</v>
      </c>
      <c r="G38" s="11">
        <v>4</v>
      </c>
      <c r="H38" s="11">
        <v>12</v>
      </c>
      <c r="I38" s="11">
        <v>90</v>
      </c>
      <c r="J38" s="11">
        <v>12</v>
      </c>
    </row>
    <row r="39" spans="1:10" ht="15" customHeight="1" x14ac:dyDescent="0.35">
      <c r="A39" s="12">
        <v>50</v>
      </c>
      <c r="B39" s="11" t="s">
        <v>2399</v>
      </c>
      <c r="C39" s="12">
        <v>61</v>
      </c>
      <c r="D39" s="12">
        <v>12</v>
      </c>
      <c r="E39" s="13">
        <v>140</v>
      </c>
      <c r="F39" s="12">
        <v>110</v>
      </c>
      <c r="G39" s="13">
        <v>4</v>
      </c>
      <c r="H39" s="13">
        <v>12</v>
      </c>
      <c r="I39" s="12">
        <v>90</v>
      </c>
      <c r="J39" s="12">
        <v>12</v>
      </c>
    </row>
    <row r="40" spans="1:10" x14ac:dyDescent="0.35">
      <c r="A40" s="12">
        <v>50</v>
      </c>
      <c r="B40" s="11">
        <v>6</v>
      </c>
      <c r="C40" s="12">
        <v>61</v>
      </c>
      <c r="D40" s="12">
        <v>12</v>
      </c>
      <c r="E40" s="12">
        <v>140</v>
      </c>
      <c r="F40" s="12">
        <v>110</v>
      </c>
      <c r="G40" s="12">
        <v>4</v>
      </c>
      <c r="H40" s="12">
        <v>12</v>
      </c>
      <c r="I40" s="12">
        <v>90</v>
      </c>
      <c r="J40" s="12">
        <v>12</v>
      </c>
    </row>
    <row r="41" spans="1:10" ht="15" customHeight="1" x14ac:dyDescent="0.35">
      <c r="A41" s="12">
        <v>50</v>
      </c>
      <c r="B41" s="11">
        <v>10</v>
      </c>
      <c r="C41" s="12">
        <v>61</v>
      </c>
      <c r="D41" s="11">
        <v>18</v>
      </c>
      <c r="E41" s="11">
        <v>160</v>
      </c>
      <c r="F41" s="11">
        <v>125</v>
      </c>
      <c r="G41" s="12">
        <v>4</v>
      </c>
      <c r="H41" s="13">
        <v>16</v>
      </c>
      <c r="I41" s="11">
        <v>102</v>
      </c>
      <c r="J41" s="11">
        <v>14</v>
      </c>
    </row>
    <row r="42" spans="1:10" x14ac:dyDescent="0.35">
      <c r="A42" s="12">
        <v>50</v>
      </c>
      <c r="B42" s="11">
        <v>16</v>
      </c>
      <c r="C42" s="12">
        <v>61</v>
      </c>
      <c r="D42" s="11">
        <v>20</v>
      </c>
      <c r="E42" s="12">
        <v>160</v>
      </c>
      <c r="F42" s="12">
        <v>125</v>
      </c>
      <c r="G42" s="12">
        <v>4</v>
      </c>
      <c r="H42" s="12">
        <v>16</v>
      </c>
      <c r="I42" s="12">
        <v>102</v>
      </c>
      <c r="J42" s="11">
        <v>16</v>
      </c>
    </row>
    <row r="43" spans="1:10" x14ac:dyDescent="0.35">
      <c r="A43" s="12">
        <v>50</v>
      </c>
      <c r="B43" s="11">
        <v>25</v>
      </c>
      <c r="C43" s="12">
        <v>61</v>
      </c>
      <c r="D43" s="11">
        <v>22</v>
      </c>
      <c r="E43" s="12">
        <v>160</v>
      </c>
      <c r="F43" s="12">
        <v>125</v>
      </c>
      <c r="G43" s="12">
        <v>4</v>
      </c>
      <c r="H43" s="12">
        <v>16</v>
      </c>
      <c r="I43" s="12">
        <v>102</v>
      </c>
      <c r="J43" s="11">
        <v>18</v>
      </c>
    </row>
    <row r="44" spans="1:10" x14ac:dyDescent="0.35">
      <c r="A44" s="11">
        <v>65</v>
      </c>
      <c r="B44" s="11">
        <v>1</v>
      </c>
      <c r="C44" s="11">
        <v>80</v>
      </c>
      <c r="D44" s="11">
        <v>14</v>
      </c>
      <c r="E44" s="11">
        <v>160</v>
      </c>
      <c r="F44" s="11">
        <v>130</v>
      </c>
      <c r="G44" s="11">
        <v>4</v>
      </c>
      <c r="H44" s="11">
        <v>12</v>
      </c>
      <c r="I44" s="11">
        <v>110</v>
      </c>
      <c r="J44" s="11">
        <v>14</v>
      </c>
    </row>
    <row r="45" spans="1:10" ht="15" customHeight="1" x14ac:dyDescent="0.35">
      <c r="A45" s="12">
        <v>65</v>
      </c>
      <c r="B45" s="11" t="s">
        <v>2399</v>
      </c>
      <c r="C45" s="12">
        <v>80</v>
      </c>
      <c r="D45" s="12">
        <v>14</v>
      </c>
      <c r="E45" s="13">
        <v>160</v>
      </c>
      <c r="F45" s="12">
        <v>130</v>
      </c>
      <c r="G45" s="13">
        <v>4</v>
      </c>
      <c r="H45" s="13">
        <v>12</v>
      </c>
      <c r="I45" s="12">
        <v>110</v>
      </c>
      <c r="J45" s="12">
        <v>14</v>
      </c>
    </row>
    <row r="46" spans="1:10" x14ac:dyDescent="0.35">
      <c r="A46" s="12">
        <v>65</v>
      </c>
      <c r="B46" s="11">
        <v>6</v>
      </c>
      <c r="C46" s="12">
        <v>80</v>
      </c>
      <c r="D46" s="12">
        <v>14</v>
      </c>
      <c r="E46" s="12">
        <v>160</v>
      </c>
      <c r="F46" s="12">
        <v>130</v>
      </c>
      <c r="G46" s="12">
        <v>4</v>
      </c>
      <c r="H46" s="12">
        <v>12</v>
      </c>
      <c r="I46" s="12">
        <v>110</v>
      </c>
      <c r="J46" s="12">
        <v>14</v>
      </c>
    </row>
    <row r="47" spans="1:10" ht="15" customHeight="1" x14ac:dyDescent="0.35">
      <c r="A47" s="12">
        <v>65</v>
      </c>
      <c r="B47" s="11">
        <v>10</v>
      </c>
      <c r="C47" s="12">
        <v>80</v>
      </c>
      <c r="D47" s="11">
        <v>20</v>
      </c>
      <c r="E47" s="11">
        <v>180</v>
      </c>
      <c r="F47" s="11">
        <v>145</v>
      </c>
      <c r="G47" s="11">
        <v>4</v>
      </c>
      <c r="H47" s="13">
        <v>16</v>
      </c>
      <c r="I47" s="11">
        <v>122</v>
      </c>
      <c r="J47" s="11">
        <v>16</v>
      </c>
    </row>
    <row r="48" spans="1:10" x14ac:dyDescent="0.35">
      <c r="A48" s="12">
        <v>65</v>
      </c>
      <c r="B48" s="11">
        <v>16</v>
      </c>
      <c r="C48" s="12">
        <v>80</v>
      </c>
      <c r="D48" s="11">
        <v>22</v>
      </c>
      <c r="E48" s="12">
        <v>180</v>
      </c>
      <c r="F48" s="12">
        <v>145</v>
      </c>
      <c r="G48" s="12">
        <v>4</v>
      </c>
      <c r="H48" s="12">
        <v>16</v>
      </c>
      <c r="I48" s="12">
        <v>122</v>
      </c>
      <c r="J48" s="11">
        <v>18</v>
      </c>
    </row>
    <row r="49" spans="1:10" x14ac:dyDescent="0.35">
      <c r="A49" s="12">
        <v>65</v>
      </c>
      <c r="B49" s="11">
        <v>25</v>
      </c>
      <c r="C49" s="12">
        <v>80</v>
      </c>
      <c r="D49" s="11">
        <v>24</v>
      </c>
      <c r="E49" s="12">
        <v>180</v>
      </c>
      <c r="F49" s="12">
        <v>145</v>
      </c>
      <c r="G49" s="12">
        <v>4</v>
      </c>
      <c r="H49" s="12">
        <v>16</v>
      </c>
      <c r="I49" s="12">
        <v>122</v>
      </c>
      <c r="J49" s="11">
        <v>20</v>
      </c>
    </row>
    <row r="50" spans="1:10" x14ac:dyDescent="0.35">
      <c r="A50" s="11">
        <v>80</v>
      </c>
      <c r="B50" s="11">
        <v>1</v>
      </c>
      <c r="C50" s="11">
        <v>93</v>
      </c>
      <c r="D50" s="11">
        <v>14</v>
      </c>
      <c r="E50" s="11">
        <v>185</v>
      </c>
      <c r="F50" s="11">
        <v>150</v>
      </c>
      <c r="G50" s="11">
        <v>4</v>
      </c>
      <c r="H50" s="11">
        <v>16</v>
      </c>
      <c r="I50" s="11">
        <v>128</v>
      </c>
      <c r="J50" s="11">
        <v>14</v>
      </c>
    </row>
    <row r="51" spans="1:10" ht="15" customHeight="1" x14ac:dyDescent="0.35">
      <c r="A51" s="12">
        <v>80</v>
      </c>
      <c r="B51" s="11" t="s">
        <v>2399</v>
      </c>
      <c r="C51" s="12">
        <v>93</v>
      </c>
      <c r="D51" s="12">
        <v>14</v>
      </c>
      <c r="E51" s="12">
        <v>185</v>
      </c>
      <c r="F51" s="12">
        <v>150</v>
      </c>
      <c r="G51" s="13">
        <v>4</v>
      </c>
      <c r="H51" s="13">
        <v>16</v>
      </c>
      <c r="I51" s="12">
        <v>128</v>
      </c>
      <c r="J51" s="12">
        <v>14</v>
      </c>
    </row>
    <row r="52" spans="1:10" x14ac:dyDescent="0.35">
      <c r="A52" s="12">
        <v>80</v>
      </c>
      <c r="B52" s="11">
        <v>6</v>
      </c>
      <c r="C52" s="12">
        <v>93</v>
      </c>
      <c r="D52" s="12">
        <v>14</v>
      </c>
      <c r="E52" s="12">
        <v>185</v>
      </c>
      <c r="F52" s="12">
        <v>150</v>
      </c>
      <c r="G52" s="12">
        <v>4</v>
      </c>
      <c r="H52" s="12">
        <v>16</v>
      </c>
      <c r="I52" s="12">
        <v>128</v>
      </c>
      <c r="J52" s="12">
        <v>14</v>
      </c>
    </row>
    <row r="53" spans="1:10" x14ac:dyDescent="0.35">
      <c r="A53" s="12">
        <v>80</v>
      </c>
      <c r="B53" s="11">
        <v>10</v>
      </c>
      <c r="C53" s="12">
        <v>93</v>
      </c>
      <c r="D53" s="11">
        <v>22</v>
      </c>
      <c r="E53" s="11">
        <v>195</v>
      </c>
      <c r="F53" s="11">
        <v>160</v>
      </c>
      <c r="G53" s="11">
        <v>4</v>
      </c>
      <c r="H53" s="12">
        <v>16</v>
      </c>
      <c r="I53" s="11">
        <v>133</v>
      </c>
      <c r="J53" s="11">
        <v>16</v>
      </c>
    </row>
    <row r="54" spans="1:10" x14ac:dyDescent="0.35">
      <c r="A54" s="12">
        <v>80</v>
      </c>
      <c r="B54" s="11">
        <v>16</v>
      </c>
      <c r="C54" s="12">
        <v>93</v>
      </c>
      <c r="D54" s="11">
        <v>24</v>
      </c>
      <c r="E54" s="12">
        <v>195</v>
      </c>
      <c r="F54" s="12">
        <v>160</v>
      </c>
      <c r="G54" s="12">
        <v>4</v>
      </c>
      <c r="H54" s="12">
        <v>16</v>
      </c>
      <c r="I54" s="12">
        <v>133</v>
      </c>
      <c r="J54" s="11">
        <v>18</v>
      </c>
    </row>
    <row r="55" spans="1:10" x14ac:dyDescent="0.35">
      <c r="A55" s="12">
        <v>80</v>
      </c>
      <c r="B55" s="11">
        <v>25</v>
      </c>
      <c r="C55" s="12">
        <v>93</v>
      </c>
      <c r="D55" s="11">
        <v>26</v>
      </c>
      <c r="E55" s="12">
        <v>195</v>
      </c>
      <c r="F55" s="12">
        <v>160</v>
      </c>
      <c r="G55" s="12">
        <v>4</v>
      </c>
      <c r="H55" s="12">
        <v>16</v>
      </c>
      <c r="I55" s="12">
        <v>133</v>
      </c>
      <c r="J55" s="11">
        <v>20</v>
      </c>
    </row>
    <row r="56" spans="1:10" x14ac:dyDescent="0.35">
      <c r="A56" s="13">
        <v>100</v>
      </c>
      <c r="B56" s="13">
        <v>1</v>
      </c>
      <c r="C56" s="11">
        <v>112</v>
      </c>
      <c r="D56" s="13">
        <v>14</v>
      </c>
      <c r="E56" s="13">
        <v>205</v>
      </c>
      <c r="F56" s="13">
        <v>170</v>
      </c>
      <c r="G56" s="13">
        <v>4</v>
      </c>
      <c r="H56" s="13">
        <v>16</v>
      </c>
      <c r="I56" s="13">
        <v>148</v>
      </c>
      <c r="J56" s="13">
        <v>14</v>
      </c>
    </row>
    <row r="57" spans="1:10" x14ac:dyDescent="0.35">
      <c r="A57" s="13">
        <v>100</v>
      </c>
      <c r="B57" s="13">
        <v>1</v>
      </c>
      <c r="C57" s="11">
        <v>118</v>
      </c>
      <c r="D57" s="13">
        <v>14</v>
      </c>
      <c r="E57" s="13">
        <v>205</v>
      </c>
      <c r="F57" s="13">
        <v>170</v>
      </c>
      <c r="G57" s="13">
        <v>4</v>
      </c>
      <c r="H57" s="13">
        <v>16</v>
      </c>
      <c r="I57" s="13">
        <v>148</v>
      </c>
      <c r="J57" s="13">
        <v>14</v>
      </c>
    </row>
    <row r="58" spans="1:10" ht="15" customHeight="1" x14ac:dyDescent="0.35">
      <c r="A58" s="12">
        <v>100</v>
      </c>
      <c r="B58" s="11" t="s">
        <v>2399</v>
      </c>
      <c r="C58" s="12">
        <v>118</v>
      </c>
      <c r="D58" s="12">
        <v>14</v>
      </c>
      <c r="E58" s="12">
        <v>205</v>
      </c>
      <c r="F58" s="12">
        <v>170</v>
      </c>
      <c r="G58" s="13">
        <v>4</v>
      </c>
      <c r="H58" s="13">
        <v>16</v>
      </c>
      <c r="I58" s="12">
        <v>148</v>
      </c>
      <c r="J58" s="12">
        <v>14</v>
      </c>
    </row>
    <row r="59" spans="1:10" x14ac:dyDescent="0.35">
      <c r="A59" s="12">
        <v>100</v>
      </c>
      <c r="B59" s="13">
        <v>6</v>
      </c>
      <c r="C59" s="11">
        <v>112</v>
      </c>
      <c r="D59" s="12">
        <v>14</v>
      </c>
      <c r="E59" s="12">
        <v>205</v>
      </c>
      <c r="F59" s="12">
        <v>170</v>
      </c>
      <c r="G59" s="12">
        <v>4</v>
      </c>
      <c r="H59" s="12">
        <v>16</v>
      </c>
      <c r="I59" s="12">
        <v>148</v>
      </c>
      <c r="J59" s="12">
        <v>14</v>
      </c>
    </row>
    <row r="60" spans="1:10" x14ac:dyDescent="0.35">
      <c r="A60" s="12">
        <v>100</v>
      </c>
      <c r="B60" s="13">
        <v>6</v>
      </c>
      <c r="C60" s="11">
        <v>118</v>
      </c>
      <c r="D60" s="12">
        <v>14</v>
      </c>
      <c r="E60" s="12">
        <v>205</v>
      </c>
      <c r="F60" s="12">
        <v>170</v>
      </c>
      <c r="G60" s="12">
        <v>4</v>
      </c>
      <c r="H60" s="12">
        <v>16</v>
      </c>
      <c r="I60" s="12">
        <v>148</v>
      </c>
      <c r="J60" s="12">
        <v>14</v>
      </c>
    </row>
    <row r="61" spans="1:10" x14ac:dyDescent="0.35">
      <c r="A61" s="12">
        <v>100</v>
      </c>
      <c r="B61" s="13">
        <v>10</v>
      </c>
      <c r="C61" s="11">
        <v>112</v>
      </c>
      <c r="D61" s="13">
        <v>24</v>
      </c>
      <c r="E61" s="13">
        <v>215</v>
      </c>
      <c r="F61" s="13">
        <v>180</v>
      </c>
      <c r="G61" s="13">
        <v>8</v>
      </c>
      <c r="H61" s="12">
        <v>16</v>
      </c>
      <c r="I61" s="13">
        <v>158</v>
      </c>
      <c r="J61" s="13">
        <v>16</v>
      </c>
    </row>
    <row r="62" spans="1:10" x14ac:dyDescent="0.35">
      <c r="A62" s="12">
        <v>100</v>
      </c>
      <c r="B62" s="13">
        <v>10</v>
      </c>
      <c r="C62" s="11">
        <v>118</v>
      </c>
      <c r="D62" s="13">
        <v>24</v>
      </c>
      <c r="E62" s="13">
        <v>215</v>
      </c>
      <c r="F62" s="13">
        <v>180</v>
      </c>
      <c r="G62" s="13">
        <v>8</v>
      </c>
      <c r="H62" s="12">
        <v>16</v>
      </c>
      <c r="I62" s="13">
        <v>158</v>
      </c>
      <c r="J62" s="13">
        <v>16</v>
      </c>
    </row>
    <row r="63" spans="1:10" x14ac:dyDescent="0.35">
      <c r="A63" s="12">
        <v>100</v>
      </c>
      <c r="B63" s="13">
        <v>16</v>
      </c>
      <c r="C63" s="11">
        <v>112</v>
      </c>
      <c r="D63" s="13">
        <v>26</v>
      </c>
      <c r="E63" s="12">
        <v>215</v>
      </c>
      <c r="F63" s="12">
        <v>180</v>
      </c>
      <c r="G63" s="12">
        <v>8</v>
      </c>
      <c r="H63" s="12">
        <v>16</v>
      </c>
      <c r="I63" s="12">
        <v>158</v>
      </c>
      <c r="J63" s="13">
        <v>20</v>
      </c>
    </row>
    <row r="64" spans="1:10" x14ac:dyDescent="0.35">
      <c r="A64" s="12">
        <v>100</v>
      </c>
      <c r="B64" s="13">
        <v>16</v>
      </c>
      <c r="C64" s="11">
        <v>118</v>
      </c>
      <c r="D64" s="13">
        <v>26</v>
      </c>
      <c r="E64" s="12">
        <v>215</v>
      </c>
      <c r="F64" s="12">
        <v>180</v>
      </c>
      <c r="G64" s="12">
        <v>8</v>
      </c>
      <c r="H64" s="12">
        <v>16</v>
      </c>
      <c r="I64" s="12">
        <v>158</v>
      </c>
      <c r="J64" s="13">
        <v>20</v>
      </c>
    </row>
    <row r="65" spans="1:10" x14ac:dyDescent="0.35">
      <c r="A65" s="12">
        <v>100</v>
      </c>
      <c r="B65" s="13">
        <v>25</v>
      </c>
      <c r="C65" s="11">
        <v>112</v>
      </c>
      <c r="D65" s="13">
        <v>28</v>
      </c>
      <c r="E65" s="13">
        <v>230</v>
      </c>
      <c r="F65" s="13">
        <v>190</v>
      </c>
      <c r="G65" s="12">
        <v>8</v>
      </c>
      <c r="H65" s="13">
        <v>20</v>
      </c>
      <c r="I65" s="12">
        <v>158</v>
      </c>
      <c r="J65" s="13">
        <v>22</v>
      </c>
    </row>
    <row r="66" spans="1:10" x14ac:dyDescent="0.35">
      <c r="A66" s="12">
        <v>100</v>
      </c>
      <c r="B66" s="13">
        <v>25</v>
      </c>
      <c r="C66" s="11">
        <v>118</v>
      </c>
      <c r="D66" s="13">
        <v>28</v>
      </c>
      <c r="E66" s="13">
        <v>230</v>
      </c>
      <c r="F66" s="13">
        <v>190</v>
      </c>
      <c r="G66" s="12">
        <v>8</v>
      </c>
      <c r="H66" s="13">
        <v>20</v>
      </c>
      <c r="I66" s="12">
        <v>158</v>
      </c>
      <c r="J66" s="13">
        <v>22</v>
      </c>
    </row>
    <row r="67" spans="1:10" x14ac:dyDescent="0.35">
      <c r="A67" s="13">
        <v>125</v>
      </c>
      <c r="B67" s="13">
        <v>1</v>
      </c>
      <c r="C67" s="11">
        <v>138</v>
      </c>
      <c r="D67" s="13">
        <v>14</v>
      </c>
      <c r="E67" s="13">
        <v>235</v>
      </c>
      <c r="F67" s="13">
        <v>200</v>
      </c>
      <c r="G67" s="13">
        <v>8</v>
      </c>
      <c r="H67" s="13">
        <v>16</v>
      </c>
      <c r="I67" s="13">
        <v>178</v>
      </c>
      <c r="J67" s="13">
        <v>14</v>
      </c>
    </row>
    <row r="68" spans="1:10" x14ac:dyDescent="0.35">
      <c r="A68" s="13">
        <v>125</v>
      </c>
      <c r="B68" s="13">
        <v>1</v>
      </c>
      <c r="C68" s="11">
        <v>145</v>
      </c>
      <c r="D68" s="13">
        <v>14</v>
      </c>
      <c r="E68" s="13">
        <v>235</v>
      </c>
      <c r="F68" s="13">
        <v>200</v>
      </c>
      <c r="G68" s="13">
        <v>8</v>
      </c>
      <c r="H68" s="13">
        <v>16</v>
      </c>
      <c r="I68" s="13">
        <v>178</v>
      </c>
      <c r="J68" s="13">
        <v>14</v>
      </c>
    </row>
    <row r="69" spans="1:10" ht="15" customHeight="1" x14ac:dyDescent="0.35">
      <c r="A69" s="12">
        <v>125</v>
      </c>
      <c r="B69" s="11" t="s">
        <v>2399</v>
      </c>
      <c r="C69" s="12">
        <v>145</v>
      </c>
      <c r="D69" s="12">
        <v>14</v>
      </c>
      <c r="E69" s="12">
        <v>235</v>
      </c>
      <c r="F69" s="12">
        <v>200</v>
      </c>
      <c r="G69" s="13">
        <v>8</v>
      </c>
      <c r="H69" s="13">
        <v>16</v>
      </c>
      <c r="I69" s="12">
        <v>178</v>
      </c>
      <c r="J69" s="12">
        <v>14</v>
      </c>
    </row>
    <row r="70" spans="1:10" x14ac:dyDescent="0.35">
      <c r="A70" s="12">
        <v>125</v>
      </c>
      <c r="B70" s="13">
        <v>6</v>
      </c>
      <c r="C70" s="11">
        <v>138</v>
      </c>
      <c r="D70" s="12">
        <v>14</v>
      </c>
      <c r="E70" s="12">
        <v>235</v>
      </c>
      <c r="F70" s="12">
        <v>200</v>
      </c>
      <c r="G70" s="12">
        <v>8</v>
      </c>
      <c r="H70" s="12">
        <v>16</v>
      </c>
      <c r="I70" s="12">
        <v>178</v>
      </c>
      <c r="J70" s="12">
        <v>14</v>
      </c>
    </row>
    <row r="71" spans="1:10" x14ac:dyDescent="0.35">
      <c r="A71" s="12">
        <v>125</v>
      </c>
      <c r="B71" s="13">
        <v>6</v>
      </c>
      <c r="C71" s="11">
        <v>145</v>
      </c>
      <c r="D71" s="12">
        <v>14</v>
      </c>
      <c r="E71" s="12">
        <v>235</v>
      </c>
      <c r="F71" s="12">
        <v>200</v>
      </c>
      <c r="G71" s="12">
        <v>8</v>
      </c>
      <c r="H71" s="12">
        <v>16</v>
      </c>
      <c r="I71" s="12">
        <v>178</v>
      </c>
      <c r="J71" s="12">
        <v>14</v>
      </c>
    </row>
    <row r="72" spans="1:10" x14ac:dyDescent="0.35">
      <c r="A72" s="12">
        <v>125</v>
      </c>
      <c r="B72" s="13">
        <v>10</v>
      </c>
      <c r="C72" s="11">
        <v>138</v>
      </c>
      <c r="D72" s="13">
        <v>26</v>
      </c>
      <c r="E72" s="13">
        <v>245</v>
      </c>
      <c r="F72" s="13">
        <v>210</v>
      </c>
      <c r="G72" s="12">
        <v>8</v>
      </c>
      <c r="H72" s="12">
        <v>16</v>
      </c>
      <c r="I72" s="13">
        <v>184</v>
      </c>
      <c r="J72" s="13">
        <v>18</v>
      </c>
    </row>
    <row r="73" spans="1:10" x14ac:dyDescent="0.35">
      <c r="A73" s="12">
        <v>125</v>
      </c>
      <c r="B73" s="13">
        <v>10</v>
      </c>
      <c r="C73" s="11">
        <v>145</v>
      </c>
      <c r="D73" s="13">
        <v>26</v>
      </c>
      <c r="E73" s="13">
        <v>245</v>
      </c>
      <c r="F73" s="13">
        <v>210</v>
      </c>
      <c r="G73" s="12">
        <v>8</v>
      </c>
      <c r="H73" s="12">
        <v>16</v>
      </c>
      <c r="I73" s="13">
        <v>184</v>
      </c>
      <c r="J73" s="13">
        <v>18</v>
      </c>
    </row>
    <row r="74" spans="1:10" x14ac:dyDescent="0.35">
      <c r="A74" s="12">
        <v>125</v>
      </c>
      <c r="B74" s="13">
        <v>16</v>
      </c>
      <c r="C74" s="11">
        <v>138</v>
      </c>
      <c r="D74" s="13">
        <v>28</v>
      </c>
      <c r="E74" s="12">
        <v>245</v>
      </c>
      <c r="F74" s="12">
        <v>210</v>
      </c>
      <c r="G74" s="12">
        <v>8</v>
      </c>
      <c r="H74" s="12">
        <v>16</v>
      </c>
      <c r="I74" s="12">
        <v>184</v>
      </c>
      <c r="J74" s="13">
        <v>20</v>
      </c>
    </row>
    <row r="75" spans="1:10" x14ac:dyDescent="0.35">
      <c r="A75" s="12">
        <v>125</v>
      </c>
      <c r="B75" s="13">
        <v>16</v>
      </c>
      <c r="C75" s="11">
        <v>145</v>
      </c>
      <c r="D75" s="13">
        <v>28</v>
      </c>
      <c r="E75" s="12">
        <v>245</v>
      </c>
      <c r="F75" s="12">
        <v>210</v>
      </c>
      <c r="G75" s="12">
        <v>8</v>
      </c>
      <c r="H75" s="12">
        <v>16</v>
      </c>
      <c r="I75" s="12">
        <v>184</v>
      </c>
      <c r="J75" s="13">
        <v>20</v>
      </c>
    </row>
    <row r="76" spans="1:10" x14ac:dyDescent="0.35">
      <c r="A76" s="12">
        <v>125</v>
      </c>
      <c r="B76" s="13">
        <v>25</v>
      </c>
      <c r="C76" s="11">
        <v>138</v>
      </c>
      <c r="D76" s="13">
        <v>30</v>
      </c>
      <c r="E76" s="13">
        <v>270</v>
      </c>
      <c r="F76" s="13">
        <v>220</v>
      </c>
      <c r="G76" s="12">
        <v>8</v>
      </c>
      <c r="H76" s="13">
        <v>24</v>
      </c>
      <c r="I76" s="12">
        <v>184</v>
      </c>
      <c r="J76" s="13">
        <v>24</v>
      </c>
    </row>
    <row r="77" spans="1:10" x14ac:dyDescent="0.35">
      <c r="A77" s="12">
        <v>125</v>
      </c>
      <c r="B77" s="13">
        <v>25</v>
      </c>
      <c r="C77" s="11">
        <v>145</v>
      </c>
      <c r="D77" s="13">
        <v>30</v>
      </c>
      <c r="E77" s="13">
        <v>270</v>
      </c>
      <c r="F77" s="13">
        <v>220</v>
      </c>
      <c r="G77" s="12">
        <v>8</v>
      </c>
      <c r="H77" s="13">
        <v>24</v>
      </c>
      <c r="I77" s="12">
        <v>184</v>
      </c>
      <c r="J77" s="13">
        <v>24</v>
      </c>
    </row>
    <row r="78" spans="1:10" ht="15" customHeight="1" x14ac:dyDescent="0.35">
      <c r="A78" s="13">
        <v>150</v>
      </c>
      <c r="B78" s="13">
        <v>1</v>
      </c>
      <c r="C78" s="11">
        <v>157</v>
      </c>
      <c r="D78" s="13">
        <v>16</v>
      </c>
      <c r="E78" s="13">
        <v>260</v>
      </c>
      <c r="F78" s="13">
        <v>225</v>
      </c>
      <c r="G78" s="13">
        <v>8</v>
      </c>
      <c r="H78" s="13">
        <v>16</v>
      </c>
      <c r="I78" s="13">
        <v>202</v>
      </c>
      <c r="J78" s="13">
        <v>16</v>
      </c>
    </row>
    <row r="79" spans="1:10" x14ac:dyDescent="0.35">
      <c r="A79" s="13">
        <v>150</v>
      </c>
      <c r="B79" s="13">
        <v>1</v>
      </c>
      <c r="C79" s="11">
        <v>164</v>
      </c>
      <c r="D79" s="13">
        <v>16</v>
      </c>
      <c r="E79" s="13">
        <v>260</v>
      </c>
      <c r="F79" s="13">
        <v>225</v>
      </c>
      <c r="G79" s="13">
        <v>8</v>
      </c>
      <c r="H79" s="13">
        <v>16</v>
      </c>
      <c r="I79" s="13">
        <v>202</v>
      </c>
      <c r="J79" s="13">
        <v>16</v>
      </c>
    </row>
    <row r="80" spans="1:10" x14ac:dyDescent="0.35">
      <c r="A80" s="13">
        <v>150</v>
      </c>
      <c r="B80" s="13">
        <v>1</v>
      </c>
      <c r="C80" s="11">
        <v>173</v>
      </c>
      <c r="D80" s="13">
        <v>16</v>
      </c>
      <c r="E80" s="13">
        <v>260</v>
      </c>
      <c r="F80" s="13">
        <v>225</v>
      </c>
      <c r="G80" s="13">
        <v>8</v>
      </c>
      <c r="H80" s="13">
        <v>16</v>
      </c>
      <c r="I80" s="13">
        <v>202</v>
      </c>
      <c r="J80" s="13">
        <v>16</v>
      </c>
    </row>
    <row r="81" spans="1:10" ht="15" customHeight="1" x14ac:dyDescent="0.35">
      <c r="A81" s="12">
        <v>150</v>
      </c>
      <c r="B81" s="11" t="s">
        <v>2399</v>
      </c>
      <c r="C81" s="12">
        <v>173</v>
      </c>
      <c r="D81" s="12">
        <v>16</v>
      </c>
      <c r="E81" s="12">
        <v>260</v>
      </c>
      <c r="F81" s="12">
        <v>225</v>
      </c>
      <c r="G81" s="13">
        <v>8</v>
      </c>
      <c r="H81" s="13">
        <v>16</v>
      </c>
      <c r="I81" s="12">
        <v>202</v>
      </c>
      <c r="J81" s="12">
        <v>16</v>
      </c>
    </row>
    <row r="82" spans="1:10" x14ac:dyDescent="0.35">
      <c r="A82" s="12">
        <v>150</v>
      </c>
      <c r="B82" s="13">
        <v>6</v>
      </c>
      <c r="C82" s="11">
        <v>157</v>
      </c>
      <c r="D82" s="13">
        <v>16</v>
      </c>
      <c r="E82" s="12">
        <v>260</v>
      </c>
      <c r="F82" s="12">
        <v>225</v>
      </c>
      <c r="G82" s="12">
        <v>8</v>
      </c>
      <c r="H82" s="12">
        <v>16</v>
      </c>
      <c r="I82" s="12">
        <v>202</v>
      </c>
      <c r="J82" s="12">
        <v>16</v>
      </c>
    </row>
    <row r="83" spans="1:10" x14ac:dyDescent="0.35">
      <c r="A83" s="12">
        <v>150</v>
      </c>
      <c r="B83" s="13">
        <v>6</v>
      </c>
      <c r="C83" s="11">
        <v>164</v>
      </c>
      <c r="D83" s="13">
        <v>16</v>
      </c>
      <c r="E83" s="12">
        <v>260</v>
      </c>
      <c r="F83" s="12">
        <v>225</v>
      </c>
      <c r="G83" s="12">
        <v>8</v>
      </c>
      <c r="H83" s="12">
        <v>16</v>
      </c>
      <c r="I83" s="12">
        <v>202</v>
      </c>
      <c r="J83" s="12">
        <v>16</v>
      </c>
    </row>
    <row r="84" spans="1:10" x14ac:dyDescent="0.35">
      <c r="A84" s="12">
        <v>150</v>
      </c>
      <c r="B84" s="13">
        <v>6</v>
      </c>
      <c r="C84" s="11">
        <v>173</v>
      </c>
      <c r="D84" s="13">
        <v>16</v>
      </c>
      <c r="E84" s="12">
        <v>260</v>
      </c>
      <c r="F84" s="12">
        <v>225</v>
      </c>
      <c r="G84" s="12">
        <v>8</v>
      </c>
      <c r="H84" s="12">
        <v>16</v>
      </c>
      <c r="I84" s="12">
        <v>202</v>
      </c>
      <c r="J84" s="12">
        <v>16</v>
      </c>
    </row>
    <row r="85" spans="1:10" x14ac:dyDescent="0.35">
      <c r="A85" s="12">
        <v>150</v>
      </c>
      <c r="B85" s="13">
        <v>10</v>
      </c>
      <c r="C85" s="11">
        <v>157</v>
      </c>
      <c r="D85" s="13">
        <v>26</v>
      </c>
      <c r="E85" s="13">
        <v>280</v>
      </c>
      <c r="F85" s="13">
        <v>240</v>
      </c>
      <c r="G85" s="12">
        <v>8</v>
      </c>
      <c r="H85" s="13">
        <v>20</v>
      </c>
      <c r="I85" s="13">
        <v>212</v>
      </c>
      <c r="J85" s="13">
        <v>18</v>
      </c>
    </row>
    <row r="86" spans="1:10" x14ac:dyDescent="0.35">
      <c r="A86" s="12">
        <v>150</v>
      </c>
      <c r="B86" s="13">
        <v>10</v>
      </c>
      <c r="C86" s="11">
        <v>164</v>
      </c>
      <c r="D86" s="13">
        <v>26</v>
      </c>
      <c r="E86" s="13">
        <v>280</v>
      </c>
      <c r="F86" s="13">
        <v>240</v>
      </c>
      <c r="G86" s="12">
        <v>8</v>
      </c>
      <c r="H86" s="13">
        <v>20</v>
      </c>
      <c r="I86" s="13">
        <v>212</v>
      </c>
      <c r="J86" s="13">
        <v>18</v>
      </c>
    </row>
    <row r="87" spans="1:10" x14ac:dyDescent="0.35">
      <c r="A87" s="12">
        <v>150</v>
      </c>
      <c r="B87" s="13">
        <v>10</v>
      </c>
      <c r="C87" s="11">
        <v>173</v>
      </c>
      <c r="D87" s="13">
        <v>26</v>
      </c>
      <c r="E87" s="13">
        <v>280</v>
      </c>
      <c r="F87" s="13">
        <v>240</v>
      </c>
      <c r="G87" s="12">
        <v>8</v>
      </c>
      <c r="H87" s="13">
        <v>20</v>
      </c>
      <c r="I87" s="13">
        <v>212</v>
      </c>
      <c r="J87" s="13">
        <v>18</v>
      </c>
    </row>
    <row r="88" spans="1:10" x14ac:dyDescent="0.35">
      <c r="A88" s="12">
        <v>150</v>
      </c>
      <c r="B88" s="13">
        <v>16</v>
      </c>
      <c r="C88" s="11">
        <v>157</v>
      </c>
      <c r="D88" s="13">
        <v>28</v>
      </c>
      <c r="E88" s="12">
        <v>280</v>
      </c>
      <c r="F88" s="12">
        <v>240</v>
      </c>
      <c r="G88" s="12">
        <v>8</v>
      </c>
      <c r="H88" s="12">
        <v>20</v>
      </c>
      <c r="I88" s="12">
        <v>212</v>
      </c>
      <c r="J88" s="13">
        <v>22</v>
      </c>
    </row>
    <row r="89" spans="1:10" x14ac:dyDescent="0.35">
      <c r="A89" s="12">
        <v>150</v>
      </c>
      <c r="B89" s="13">
        <v>16</v>
      </c>
      <c r="C89" s="11">
        <v>164</v>
      </c>
      <c r="D89" s="13">
        <v>28</v>
      </c>
      <c r="E89" s="12">
        <v>280</v>
      </c>
      <c r="F89" s="12">
        <v>240</v>
      </c>
      <c r="G89" s="12">
        <v>8</v>
      </c>
      <c r="H89" s="12">
        <v>20</v>
      </c>
      <c r="I89" s="12">
        <v>212</v>
      </c>
      <c r="J89" s="13">
        <v>22</v>
      </c>
    </row>
    <row r="90" spans="1:10" x14ac:dyDescent="0.35">
      <c r="A90" s="12">
        <v>150</v>
      </c>
      <c r="B90" s="13">
        <v>16</v>
      </c>
      <c r="C90" s="11">
        <v>173</v>
      </c>
      <c r="D90" s="13">
        <v>28</v>
      </c>
      <c r="E90" s="12">
        <v>280</v>
      </c>
      <c r="F90" s="12">
        <v>240</v>
      </c>
      <c r="G90" s="12">
        <v>8</v>
      </c>
      <c r="H90" s="12">
        <v>20</v>
      </c>
      <c r="I90" s="12">
        <v>212</v>
      </c>
      <c r="J90" s="13">
        <v>22</v>
      </c>
    </row>
    <row r="91" spans="1:10" x14ac:dyDescent="0.35">
      <c r="A91" s="12">
        <v>150</v>
      </c>
      <c r="B91" s="13">
        <v>25</v>
      </c>
      <c r="C91" s="11">
        <v>157</v>
      </c>
      <c r="D91" s="13">
        <v>30</v>
      </c>
      <c r="E91" s="13">
        <v>300</v>
      </c>
      <c r="F91" s="13">
        <v>250</v>
      </c>
      <c r="G91" s="12">
        <v>8</v>
      </c>
      <c r="H91" s="13">
        <v>24</v>
      </c>
      <c r="I91" s="12">
        <v>212</v>
      </c>
      <c r="J91" s="13">
        <v>24</v>
      </c>
    </row>
    <row r="92" spans="1:10" x14ac:dyDescent="0.35">
      <c r="A92" s="12">
        <v>150</v>
      </c>
      <c r="B92" s="13">
        <v>25</v>
      </c>
      <c r="C92" s="11">
        <v>164</v>
      </c>
      <c r="D92" s="13">
        <v>30</v>
      </c>
      <c r="E92" s="13">
        <v>300</v>
      </c>
      <c r="F92" s="13">
        <v>250</v>
      </c>
      <c r="G92" s="12">
        <v>8</v>
      </c>
      <c r="H92" s="13">
        <v>24</v>
      </c>
      <c r="I92" s="12">
        <v>212</v>
      </c>
      <c r="J92" s="13">
        <v>24</v>
      </c>
    </row>
    <row r="93" spans="1:10" x14ac:dyDescent="0.35">
      <c r="A93" s="12">
        <v>150</v>
      </c>
      <c r="B93" s="13">
        <v>25</v>
      </c>
      <c r="C93" s="11">
        <v>173</v>
      </c>
      <c r="D93" s="13">
        <v>30</v>
      </c>
      <c r="E93" s="13">
        <v>300</v>
      </c>
      <c r="F93" s="13">
        <v>250</v>
      </c>
      <c r="G93" s="12">
        <v>8</v>
      </c>
      <c r="H93" s="13">
        <v>24</v>
      </c>
      <c r="I93" s="12">
        <v>212</v>
      </c>
      <c r="J93" s="13">
        <v>24</v>
      </c>
    </row>
    <row r="94" spans="1:10" ht="15" customHeight="1" x14ac:dyDescent="0.35">
      <c r="A94" s="11">
        <v>200</v>
      </c>
      <c r="B94" s="11">
        <v>1</v>
      </c>
      <c r="C94" s="11">
        <v>225</v>
      </c>
      <c r="D94" s="11">
        <v>18</v>
      </c>
      <c r="E94" s="11">
        <v>315</v>
      </c>
      <c r="F94" s="11">
        <v>280</v>
      </c>
      <c r="G94" s="13">
        <v>8</v>
      </c>
      <c r="H94" s="11">
        <v>16</v>
      </c>
      <c r="I94" s="11">
        <v>258</v>
      </c>
      <c r="J94" s="11">
        <v>18</v>
      </c>
    </row>
    <row r="95" spans="1:10" ht="15" customHeight="1" x14ac:dyDescent="0.35">
      <c r="A95" s="12">
        <v>200</v>
      </c>
      <c r="B95" s="11" t="s">
        <v>2399</v>
      </c>
      <c r="C95" s="12">
        <v>225</v>
      </c>
      <c r="D95" s="12">
        <v>18</v>
      </c>
      <c r="E95" s="12">
        <v>315</v>
      </c>
      <c r="F95" s="12">
        <v>280</v>
      </c>
      <c r="G95" s="12">
        <v>8</v>
      </c>
      <c r="H95" s="13">
        <v>16</v>
      </c>
      <c r="I95" s="12">
        <v>258</v>
      </c>
      <c r="J95" s="12">
        <v>18</v>
      </c>
    </row>
    <row r="96" spans="1:10" x14ac:dyDescent="0.35">
      <c r="A96" s="12">
        <v>200</v>
      </c>
      <c r="B96" s="11">
        <v>6</v>
      </c>
      <c r="C96" s="12">
        <v>225</v>
      </c>
      <c r="D96" s="12">
        <v>18</v>
      </c>
      <c r="E96" s="12">
        <v>315</v>
      </c>
      <c r="F96" s="12">
        <v>280</v>
      </c>
      <c r="G96" s="12">
        <v>8</v>
      </c>
      <c r="H96" s="12">
        <v>16</v>
      </c>
      <c r="I96" s="12">
        <v>258</v>
      </c>
      <c r="J96" s="12">
        <v>18</v>
      </c>
    </row>
    <row r="97" spans="1:10" ht="15" customHeight="1" x14ac:dyDescent="0.35">
      <c r="A97" s="12">
        <v>200</v>
      </c>
      <c r="B97" s="11">
        <v>10</v>
      </c>
      <c r="C97" s="12">
        <v>225</v>
      </c>
      <c r="D97" s="11">
        <v>26</v>
      </c>
      <c r="E97" s="11">
        <v>335</v>
      </c>
      <c r="F97" s="11">
        <v>295</v>
      </c>
      <c r="G97" s="12">
        <v>8</v>
      </c>
      <c r="H97" s="13">
        <v>20</v>
      </c>
      <c r="I97" s="11">
        <v>268</v>
      </c>
      <c r="J97" s="11">
        <v>20</v>
      </c>
    </row>
    <row r="98" spans="1:10" ht="15" customHeight="1" x14ac:dyDescent="0.35">
      <c r="A98" s="12">
        <v>200</v>
      </c>
      <c r="B98" s="11">
        <v>16</v>
      </c>
      <c r="C98" s="12">
        <v>225</v>
      </c>
      <c r="D98" s="11">
        <v>28</v>
      </c>
      <c r="E98" s="12">
        <v>335</v>
      </c>
      <c r="F98" s="12">
        <v>295</v>
      </c>
      <c r="G98" s="13">
        <v>12</v>
      </c>
      <c r="H98" s="12">
        <v>20</v>
      </c>
      <c r="I98" s="12">
        <v>268</v>
      </c>
      <c r="J98" s="11">
        <v>22</v>
      </c>
    </row>
    <row r="99" spans="1:10" ht="15" customHeight="1" x14ac:dyDescent="0.35">
      <c r="A99" s="12">
        <v>200</v>
      </c>
      <c r="B99" s="11">
        <v>25</v>
      </c>
      <c r="C99" s="12">
        <v>225</v>
      </c>
      <c r="D99" s="11">
        <v>30</v>
      </c>
      <c r="E99" s="13">
        <v>360</v>
      </c>
      <c r="F99" s="11">
        <v>310</v>
      </c>
      <c r="G99" s="12">
        <v>12</v>
      </c>
      <c r="H99" s="13">
        <v>24</v>
      </c>
      <c r="I99" s="11">
        <v>278</v>
      </c>
      <c r="J99" s="11">
        <v>24</v>
      </c>
    </row>
    <row r="100" spans="1:10" x14ac:dyDescent="0.35">
      <c r="A100" s="11">
        <v>250</v>
      </c>
      <c r="B100" s="11">
        <v>1</v>
      </c>
      <c r="C100" s="11">
        <v>279</v>
      </c>
      <c r="D100" s="11">
        <v>20</v>
      </c>
      <c r="E100" s="11">
        <v>370</v>
      </c>
      <c r="F100" s="11">
        <v>335</v>
      </c>
      <c r="G100" s="11">
        <v>12</v>
      </c>
      <c r="H100" s="11">
        <v>16</v>
      </c>
      <c r="I100" s="11">
        <v>312</v>
      </c>
      <c r="J100" s="11">
        <v>18</v>
      </c>
    </row>
    <row r="101" spans="1:10" ht="15" customHeight="1" x14ac:dyDescent="0.35">
      <c r="A101" s="12">
        <v>250</v>
      </c>
      <c r="B101" s="11" t="s">
        <v>2399</v>
      </c>
      <c r="C101" s="12">
        <v>279</v>
      </c>
      <c r="D101" s="12">
        <v>20</v>
      </c>
      <c r="E101" s="12">
        <v>370</v>
      </c>
      <c r="F101" s="12">
        <v>335</v>
      </c>
      <c r="G101" s="13">
        <v>12</v>
      </c>
      <c r="H101" s="13">
        <v>16</v>
      </c>
      <c r="I101" s="12">
        <v>312</v>
      </c>
      <c r="J101" s="12">
        <v>18</v>
      </c>
    </row>
    <row r="102" spans="1:10" x14ac:dyDescent="0.35">
      <c r="A102" s="12">
        <v>250</v>
      </c>
      <c r="B102" s="11">
        <v>6</v>
      </c>
      <c r="C102" s="12">
        <v>279</v>
      </c>
      <c r="D102" s="12">
        <v>20</v>
      </c>
      <c r="E102" s="12">
        <v>370</v>
      </c>
      <c r="F102" s="12">
        <v>335</v>
      </c>
      <c r="G102" s="12">
        <v>12</v>
      </c>
      <c r="H102" s="12">
        <v>16</v>
      </c>
      <c r="I102" s="12">
        <v>312</v>
      </c>
      <c r="J102" s="12">
        <v>18</v>
      </c>
    </row>
    <row r="103" spans="1:10" ht="15" customHeight="1" x14ac:dyDescent="0.35">
      <c r="A103" s="12">
        <v>250</v>
      </c>
      <c r="B103" s="11">
        <v>10</v>
      </c>
      <c r="C103" s="12">
        <v>279</v>
      </c>
      <c r="D103" s="11">
        <v>28</v>
      </c>
      <c r="E103" s="11">
        <v>390</v>
      </c>
      <c r="F103" s="11">
        <v>350</v>
      </c>
      <c r="G103" s="12">
        <v>12</v>
      </c>
      <c r="H103" s="13">
        <v>20</v>
      </c>
      <c r="I103" s="11">
        <v>320</v>
      </c>
      <c r="J103" s="11">
        <v>22</v>
      </c>
    </row>
    <row r="104" spans="1:10" ht="15" customHeight="1" x14ac:dyDescent="0.35">
      <c r="A104" s="12">
        <v>250</v>
      </c>
      <c r="B104" s="11">
        <v>16</v>
      </c>
      <c r="C104" s="12">
        <v>279</v>
      </c>
      <c r="D104" s="11">
        <v>30</v>
      </c>
      <c r="E104" s="13">
        <v>405</v>
      </c>
      <c r="F104" s="11">
        <v>355</v>
      </c>
      <c r="G104" s="12">
        <v>12</v>
      </c>
      <c r="H104" s="13">
        <v>24</v>
      </c>
      <c r="I104" s="12">
        <v>320</v>
      </c>
      <c r="J104" s="11">
        <v>24</v>
      </c>
    </row>
    <row r="105" spans="1:10" ht="15" customHeight="1" x14ac:dyDescent="0.35">
      <c r="A105" s="12">
        <v>250</v>
      </c>
      <c r="B105" s="11">
        <v>25</v>
      </c>
      <c r="C105" s="12">
        <v>279</v>
      </c>
      <c r="D105" s="11">
        <v>32</v>
      </c>
      <c r="E105" s="13">
        <v>425</v>
      </c>
      <c r="F105" s="11">
        <v>370</v>
      </c>
      <c r="G105" s="12">
        <v>12</v>
      </c>
      <c r="H105" s="13">
        <v>27</v>
      </c>
      <c r="I105" s="11">
        <v>335</v>
      </c>
      <c r="J105" s="13">
        <v>26</v>
      </c>
    </row>
    <row r="106" spans="1:10" x14ac:dyDescent="0.35">
      <c r="A106" s="11">
        <v>300</v>
      </c>
      <c r="B106" s="11">
        <v>1</v>
      </c>
      <c r="C106" s="11">
        <v>331</v>
      </c>
      <c r="D106" s="11">
        <v>24</v>
      </c>
      <c r="E106" s="11">
        <v>435</v>
      </c>
      <c r="F106" s="11">
        <v>395</v>
      </c>
      <c r="G106" s="11">
        <v>12</v>
      </c>
      <c r="H106" s="11">
        <v>20</v>
      </c>
      <c r="I106" s="11">
        <v>365</v>
      </c>
      <c r="J106" s="11">
        <v>20</v>
      </c>
    </row>
    <row r="107" spans="1:10" ht="15" customHeight="1" x14ac:dyDescent="0.35">
      <c r="A107" s="12">
        <v>300</v>
      </c>
      <c r="B107" s="11" t="s">
        <v>2399</v>
      </c>
      <c r="C107" s="12">
        <v>331</v>
      </c>
      <c r="D107" s="12">
        <v>24</v>
      </c>
      <c r="E107" s="12">
        <v>435</v>
      </c>
      <c r="F107" s="12">
        <v>395</v>
      </c>
      <c r="G107" s="13">
        <v>12</v>
      </c>
      <c r="H107" s="13">
        <v>20</v>
      </c>
      <c r="I107" s="12">
        <v>365</v>
      </c>
      <c r="J107" s="12">
        <v>20</v>
      </c>
    </row>
    <row r="108" spans="1:10" x14ac:dyDescent="0.35">
      <c r="A108" s="12">
        <v>300</v>
      </c>
      <c r="B108" s="11">
        <v>6</v>
      </c>
      <c r="C108" s="12">
        <v>331</v>
      </c>
      <c r="D108" s="12">
        <v>24</v>
      </c>
      <c r="E108" s="12">
        <v>435</v>
      </c>
      <c r="F108" s="12">
        <v>395</v>
      </c>
      <c r="G108" s="12">
        <v>12</v>
      </c>
      <c r="H108" s="12">
        <v>20</v>
      </c>
      <c r="I108" s="12">
        <v>365</v>
      </c>
      <c r="J108" s="12">
        <v>20</v>
      </c>
    </row>
    <row r="109" spans="1:10" ht="15" customHeight="1" x14ac:dyDescent="0.35">
      <c r="A109" s="12">
        <v>300</v>
      </c>
      <c r="B109" s="11">
        <v>10</v>
      </c>
      <c r="C109" s="12">
        <v>331</v>
      </c>
      <c r="D109" s="11">
        <v>30</v>
      </c>
      <c r="E109" s="11">
        <v>440</v>
      </c>
      <c r="F109" s="11">
        <v>400</v>
      </c>
      <c r="G109" s="12">
        <v>12</v>
      </c>
      <c r="H109" s="12">
        <v>20</v>
      </c>
      <c r="I109" s="11">
        <v>370</v>
      </c>
      <c r="J109" s="13">
        <v>22</v>
      </c>
    </row>
    <row r="110" spans="1:10" ht="15" customHeight="1" x14ac:dyDescent="0.35">
      <c r="A110" s="12">
        <v>300</v>
      </c>
      <c r="B110" s="11">
        <v>16</v>
      </c>
      <c r="C110" s="12">
        <v>331</v>
      </c>
      <c r="D110" s="13">
        <v>32</v>
      </c>
      <c r="E110" s="13">
        <v>460</v>
      </c>
      <c r="F110" s="11">
        <v>410</v>
      </c>
      <c r="G110" s="12">
        <v>12</v>
      </c>
      <c r="H110" s="13">
        <v>24</v>
      </c>
      <c r="I110" s="12">
        <v>370</v>
      </c>
      <c r="J110" s="13">
        <v>24</v>
      </c>
    </row>
    <row r="111" spans="1:10" ht="15" customHeight="1" x14ac:dyDescent="0.35">
      <c r="A111" s="12">
        <v>300</v>
      </c>
      <c r="B111" s="11">
        <v>25</v>
      </c>
      <c r="C111" s="12">
        <v>331</v>
      </c>
      <c r="D111" s="11">
        <v>34</v>
      </c>
      <c r="E111" s="13">
        <v>485</v>
      </c>
      <c r="F111" s="11">
        <v>430</v>
      </c>
      <c r="G111" s="13">
        <v>16</v>
      </c>
      <c r="H111" s="13">
        <v>27</v>
      </c>
      <c r="I111" s="11">
        <v>390</v>
      </c>
      <c r="J111" s="11">
        <v>26</v>
      </c>
    </row>
    <row r="112" spans="1:10" x14ac:dyDescent="0.35">
      <c r="A112" s="11">
        <v>350</v>
      </c>
      <c r="B112" s="11">
        <v>1</v>
      </c>
      <c r="C112" s="11">
        <v>383</v>
      </c>
      <c r="D112" s="11">
        <v>28</v>
      </c>
      <c r="E112" s="11">
        <v>485</v>
      </c>
      <c r="F112" s="11">
        <v>445</v>
      </c>
      <c r="G112" s="11">
        <v>12</v>
      </c>
      <c r="H112" s="11">
        <v>20</v>
      </c>
      <c r="I112" s="11">
        <v>415</v>
      </c>
      <c r="J112" s="11">
        <v>20</v>
      </c>
    </row>
    <row r="113" spans="1:10" ht="15" customHeight="1" x14ac:dyDescent="0.35">
      <c r="A113" s="12">
        <v>350</v>
      </c>
      <c r="B113" s="11" t="s">
        <v>2399</v>
      </c>
      <c r="C113" s="12">
        <v>383</v>
      </c>
      <c r="D113" s="12">
        <v>28</v>
      </c>
      <c r="E113" s="12">
        <v>485</v>
      </c>
      <c r="F113" s="12">
        <v>445</v>
      </c>
      <c r="G113" s="13">
        <v>12</v>
      </c>
      <c r="H113" s="13">
        <v>20</v>
      </c>
      <c r="I113" s="12">
        <v>415</v>
      </c>
      <c r="J113" s="12">
        <v>20</v>
      </c>
    </row>
    <row r="114" spans="1:10" x14ac:dyDescent="0.35">
      <c r="A114" s="12">
        <v>350</v>
      </c>
      <c r="B114" s="11">
        <v>6</v>
      </c>
      <c r="C114" s="12">
        <v>383</v>
      </c>
      <c r="D114" s="12">
        <v>28</v>
      </c>
      <c r="E114" s="12">
        <v>485</v>
      </c>
      <c r="F114" s="12">
        <v>445</v>
      </c>
      <c r="G114" s="12">
        <v>12</v>
      </c>
      <c r="H114" s="12">
        <v>20</v>
      </c>
      <c r="I114" s="12">
        <v>415</v>
      </c>
      <c r="J114" s="12">
        <v>20</v>
      </c>
    </row>
    <row r="115" spans="1:10" ht="15" customHeight="1" x14ac:dyDescent="0.35">
      <c r="A115" s="12">
        <v>350</v>
      </c>
      <c r="B115" s="11">
        <v>10</v>
      </c>
      <c r="C115" s="12">
        <v>383</v>
      </c>
      <c r="D115" s="11">
        <v>32</v>
      </c>
      <c r="E115" s="11">
        <v>500</v>
      </c>
      <c r="F115" s="11">
        <v>460</v>
      </c>
      <c r="G115" s="13">
        <v>16</v>
      </c>
      <c r="H115" s="12">
        <v>20</v>
      </c>
      <c r="I115" s="11">
        <v>430</v>
      </c>
      <c r="J115" s="11">
        <v>24</v>
      </c>
    </row>
    <row r="116" spans="1:10" ht="15" customHeight="1" x14ac:dyDescent="0.35">
      <c r="A116" s="12">
        <v>350</v>
      </c>
      <c r="B116" s="11">
        <v>16</v>
      </c>
      <c r="C116" s="12">
        <v>383</v>
      </c>
      <c r="D116" s="11">
        <v>34</v>
      </c>
      <c r="E116" s="13">
        <v>520</v>
      </c>
      <c r="F116" s="11">
        <v>470</v>
      </c>
      <c r="G116" s="12">
        <v>16</v>
      </c>
      <c r="H116" s="13">
        <v>24</v>
      </c>
      <c r="I116" s="12">
        <v>430</v>
      </c>
      <c r="J116" s="13">
        <v>26</v>
      </c>
    </row>
    <row r="117" spans="1:10" ht="15" customHeight="1" x14ac:dyDescent="0.35">
      <c r="A117" s="12">
        <v>350</v>
      </c>
      <c r="B117" s="11">
        <v>25</v>
      </c>
      <c r="C117" s="12">
        <v>383</v>
      </c>
      <c r="D117" s="11">
        <v>38</v>
      </c>
      <c r="E117" s="11">
        <v>550</v>
      </c>
      <c r="F117" s="11">
        <v>490</v>
      </c>
      <c r="G117" s="12">
        <v>16</v>
      </c>
      <c r="H117" s="13">
        <v>30</v>
      </c>
      <c r="I117" s="11">
        <v>450</v>
      </c>
      <c r="J117" s="11">
        <v>28</v>
      </c>
    </row>
    <row r="118" spans="1:10" x14ac:dyDescent="0.35">
      <c r="A118" s="11">
        <v>400</v>
      </c>
      <c r="B118" s="11">
        <v>1</v>
      </c>
      <c r="C118" s="11">
        <v>433</v>
      </c>
      <c r="D118" s="11">
        <v>32</v>
      </c>
      <c r="E118" s="11">
        <v>535</v>
      </c>
      <c r="F118" s="11">
        <v>495</v>
      </c>
      <c r="G118" s="11">
        <v>16</v>
      </c>
      <c r="H118" s="11">
        <v>20</v>
      </c>
      <c r="I118" s="11">
        <v>465</v>
      </c>
      <c r="J118" s="11">
        <v>24</v>
      </c>
    </row>
    <row r="119" spans="1:10" ht="15" customHeight="1" x14ac:dyDescent="0.35">
      <c r="A119" s="12">
        <v>400</v>
      </c>
      <c r="B119" s="11" t="s">
        <v>2399</v>
      </c>
      <c r="C119" s="12">
        <v>433</v>
      </c>
      <c r="D119" s="12">
        <v>32</v>
      </c>
      <c r="E119" s="12">
        <v>535</v>
      </c>
      <c r="F119" s="12">
        <v>495</v>
      </c>
      <c r="G119" s="13">
        <v>16</v>
      </c>
      <c r="H119" s="13">
        <v>20</v>
      </c>
      <c r="I119" s="12">
        <v>465</v>
      </c>
      <c r="J119" s="12">
        <v>24</v>
      </c>
    </row>
    <row r="120" spans="1:10" x14ac:dyDescent="0.35">
      <c r="A120" s="12">
        <v>400</v>
      </c>
      <c r="B120" s="11">
        <v>6</v>
      </c>
      <c r="C120" s="12">
        <v>433</v>
      </c>
      <c r="D120" s="12">
        <v>32</v>
      </c>
      <c r="E120" s="12">
        <v>535</v>
      </c>
      <c r="F120" s="12">
        <v>495</v>
      </c>
      <c r="G120" s="12">
        <v>16</v>
      </c>
      <c r="H120" s="12">
        <v>20</v>
      </c>
      <c r="I120" s="12">
        <v>465</v>
      </c>
      <c r="J120" s="12">
        <v>24</v>
      </c>
    </row>
    <row r="121" spans="1:10" ht="15" customHeight="1" x14ac:dyDescent="0.35">
      <c r="A121" s="12">
        <v>400</v>
      </c>
      <c r="B121" s="11">
        <v>10</v>
      </c>
      <c r="C121" s="12">
        <v>433</v>
      </c>
      <c r="D121" s="11">
        <v>34</v>
      </c>
      <c r="E121" s="13">
        <v>565</v>
      </c>
      <c r="F121" s="11">
        <v>515</v>
      </c>
      <c r="G121" s="12">
        <v>16</v>
      </c>
      <c r="H121" s="13">
        <v>24</v>
      </c>
      <c r="I121" s="11">
        <v>482</v>
      </c>
      <c r="J121" s="11">
        <v>26</v>
      </c>
    </row>
    <row r="122" spans="1:10" ht="15" customHeight="1" x14ac:dyDescent="0.35">
      <c r="A122" s="12">
        <v>400</v>
      </c>
      <c r="B122" s="11">
        <v>16</v>
      </c>
      <c r="C122" s="12">
        <v>433</v>
      </c>
      <c r="D122" s="11">
        <v>36</v>
      </c>
      <c r="E122" s="13">
        <v>580</v>
      </c>
      <c r="F122" s="11">
        <v>525</v>
      </c>
      <c r="G122" s="12">
        <v>16</v>
      </c>
      <c r="H122" s="13">
        <v>27</v>
      </c>
      <c r="I122" s="12">
        <v>482</v>
      </c>
      <c r="J122" s="13">
        <v>28</v>
      </c>
    </row>
    <row r="123" spans="1:10" x14ac:dyDescent="0.35">
      <c r="A123" s="12">
        <v>400</v>
      </c>
      <c r="B123" s="11">
        <v>25</v>
      </c>
      <c r="C123" s="12">
        <v>433</v>
      </c>
      <c r="D123" s="11">
        <v>42</v>
      </c>
      <c r="E123" s="11">
        <v>610</v>
      </c>
      <c r="F123" s="11">
        <v>550</v>
      </c>
      <c r="G123" s="12">
        <v>16</v>
      </c>
      <c r="H123" s="11">
        <v>30</v>
      </c>
      <c r="I123" s="11">
        <v>505</v>
      </c>
      <c r="J123" s="11">
        <v>30</v>
      </c>
    </row>
    <row r="124" spans="1:10" x14ac:dyDescent="0.35">
      <c r="A124" s="11">
        <v>450</v>
      </c>
      <c r="B124" s="11">
        <v>1</v>
      </c>
      <c r="C124" s="11">
        <v>487</v>
      </c>
      <c r="D124" s="11">
        <v>34</v>
      </c>
      <c r="E124" s="11">
        <v>590</v>
      </c>
      <c r="F124" s="11">
        <v>550</v>
      </c>
      <c r="G124" s="11">
        <v>16</v>
      </c>
      <c r="H124" s="11">
        <v>20</v>
      </c>
      <c r="I124" s="11">
        <v>520</v>
      </c>
      <c r="J124" s="11">
        <v>24</v>
      </c>
    </row>
    <row r="125" spans="1:10" ht="15" customHeight="1" x14ac:dyDescent="0.35">
      <c r="A125" s="12">
        <v>450</v>
      </c>
      <c r="B125" s="11" t="s">
        <v>2399</v>
      </c>
      <c r="C125" s="12">
        <v>487</v>
      </c>
      <c r="D125" s="12">
        <v>34</v>
      </c>
      <c r="E125" s="12">
        <v>590</v>
      </c>
      <c r="F125" s="12">
        <v>550</v>
      </c>
      <c r="G125" s="13">
        <v>16</v>
      </c>
      <c r="H125" s="13">
        <v>20</v>
      </c>
      <c r="I125" s="12">
        <v>520</v>
      </c>
      <c r="J125" s="12">
        <v>24</v>
      </c>
    </row>
    <row r="126" spans="1:10" x14ac:dyDescent="0.35">
      <c r="A126" s="12">
        <v>450</v>
      </c>
      <c r="B126" s="11">
        <v>6</v>
      </c>
      <c r="C126" s="12">
        <v>487</v>
      </c>
      <c r="D126" s="12">
        <v>34</v>
      </c>
      <c r="E126" s="12">
        <v>590</v>
      </c>
      <c r="F126" s="12">
        <v>550</v>
      </c>
      <c r="G126" s="12">
        <v>16</v>
      </c>
      <c r="H126" s="12">
        <v>20</v>
      </c>
      <c r="I126" s="12">
        <v>520</v>
      </c>
      <c r="J126" s="12">
        <v>24</v>
      </c>
    </row>
    <row r="127" spans="1:10" ht="15" customHeight="1" x14ac:dyDescent="0.35">
      <c r="A127" s="12">
        <v>450</v>
      </c>
      <c r="B127" s="11">
        <v>10</v>
      </c>
      <c r="C127" s="12">
        <v>487</v>
      </c>
      <c r="D127" s="12">
        <v>34</v>
      </c>
      <c r="E127" s="13">
        <v>615</v>
      </c>
      <c r="F127" s="11">
        <v>565</v>
      </c>
      <c r="G127" s="13">
        <v>20</v>
      </c>
      <c r="H127" s="13">
        <v>24</v>
      </c>
      <c r="I127" s="11">
        <v>532</v>
      </c>
      <c r="J127" s="11">
        <v>26</v>
      </c>
    </row>
    <row r="128" spans="1:10" ht="15" customHeight="1" x14ac:dyDescent="0.35">
      <c r="A128" s="12">
        <v>450</v>
      </c>
      <c r="B128" s="11">
        <v>16</v>
      </c>
      <c r="C128" s="12">
        <v>487</v>
      </c>
      <c r="D128" s="11">
        <v>38</v>
      </c>
      <c r="E128" s="13">
        <v>640</v>
      </c>
      <c r="F128" s="11">
        <v>585</v>
      </c>
      <c r="G128" s="12">
        <v>20</v>
      </c>
      <c r="H128" s="13">
        <v>27</v>
      </c>
      <c r="I128" s="12">
        <v>532</v>
      </c>
      <c r="J128" s="11">
        <v>28</v>
      </c>
    </row>
    <row r="129" spans="1:10" x14ac:dyDescent="0.35">
      <c r="A129" s="12">
        <v>450</v>
      </c>
      <c r="B129" s="11">
        <v>25</v>
      </c>
      <c r="C129" s="12">
        <v>487</v>
      </c>
      <c r="D129" s="11">
        <v>45</v>
      </c>
      <c r="E129" s="11">
        <v>660</v>
      </c>
      <c r="F129" s="11">
        <v>600</v>
      </c>
      <c r="G129" s="12">
        <v>20</v>
      </c>
      <c r="H129" s="11">
        <v>30</v>
      </c>
      <c r="I129" s="11">
        <v>555</v>
      </c>
      <c r="J129" s="11">
        <v>30</v>
      </c>
    </row>
    <row r="130" spans="1:10" x14ac:dyDescent="0.35">
      <c r="A130" s="11">
        <v>500</v>
      </c>
      <c r="B130" s="11">
        <v>1</v>
      </c>
      <c r="C130" s="11">
        <v>537</v>
      </c>
      <c r="D130" s="11">
        <v>38</v>
      </c>
      <c r="E130" s="11">
        <v>640</v>
      </c>
      <c r="F130" s="11">
        <v>600</v>
      </c>
      <c r="G130" s="11">
        <v>16</v>
      </c>
      <c r="H130" s="11">
        <v>20</v>
      </c>
      <c r="I130" s="11">
        <v>570</v>
      </c>
      <c r="J130" s="11">
        <v>26</v>
      </c>
    </row>
    <row r="131" spans="1:10" ht="15" customHeight="1" x14ac:dyDescent="0.35">
      <c r="A131" s="12">
        <v>500</v>
      </c>
      <c r="B131" s="11" t="s">
        <v>2399</v>
      </c>
      <c r="C131" s="12">
        <v>537</v>
      </c>
      <c r="D131" s="12">
        <v>38</v>
      </c>
      <c r="E131" s="12">
        <v>640</v>
      </c>
      <c r="F131" s="12">
        <v>600</v>
      </c>
      <c r="G131" s="12">
        <v>16</v>
      </c>
      <c r="H131" s="13">
        <v>20</v>
      </c>
      <c r="I131" s="12">
        <v>570</v>
      </c>
      <c r="J131" s="12">
        <v>26</v>
      </c>
    </row>
    <row r="132" spans="1:10" x14ac:dyDescent="0.35">
      <c r="A132" s="12">
        <v>500</v>
      </c>
      <c r="B132" s="11">
        <v>6</v>
      </c>
      <c r="C132" s="12">
        <v>537</v>
      </c>
      <c r="D132" s="12">
        <v>38</v>
      </c>
      <c r="E132" s="12">
        <v>640</v>
      </c>
      <c r="F132" s="12">
        <v>600</v>
      </c>
      <c r="G132" s="12">
        <v>16</v>
      </c>
      <c r="H132" s="12">
        <v>20</v>
      </c>
      <c r="I132" s="12">
        <v>570</v>
      </c>
      <c r="J132" s="12">
        <v>26</v>
      </c>
    </row>
    <row r="133" spans="1:10" ht="15" customHeight="1" x14ac:dyDescent="0.35">
      <c r="A133" s="12">
        <v>500</v>
      </c>
      <c r="B133" s="11">
        <v>10</v>
      </c>
      <c r="C133" s="12">
        <v>537</v>
      </c>
      <c r="D133" s="12">
        <v>38</v>
      </c>
      <c r="E133" s="13">
        <v>670</v>
      </c>
      <c r="F133" s="11">
        <v>620</v>
      </c>
      <c r="G133" s="11">
        <v>20</v>
      </c>
      <c r="H133" s="13">
        <v>24</v>
      </c>
      <c r="I133" s="11">
        <v>585</v>
      </c>
      <c r="J133" s="11">
        <v>28</v>
      </c>
    </row>
    <row r="134" spans="1:10" ht="15" customHeight="1" x14ac:dyDescent="0.35">
      <c r="A134" s="12">
        <v>500</v>
      </c>
      <c r="B134" s="11">
        <v>16</v>
      </c>
      <c r="C134" s="12">
        <v>537</v>
      </c>
      <c r="D134" s="11">
        <v>42</v>
      </c>
      <c r="E134" s="11">
        <v>710</v>
      </c>
      <c r="F134" s="11">
        <v>650</v>
      </c>
      <c r="G134" s="12">
        <v>20</v>
      </c>
      <c r="H134" s="13">
        <v>30</v>
      </c>
      <c r="I134" s="12">
        <v>585</v>
      </c>
      <c r="J134" s="11">
        <v>30</v>
      </c>
    </row>
    <row r="135" spans="1:10" ht="15" customHeight="1" x14ac:dyDescent="0.35">
      <c r="A135" s="12">
        <v>500</v>
      </c>
      <c r="B135" s="11">
        <v>25</v>
      </c>
      <c r="C135" s="12">
        <v>537</v>
      </c>
      <c r="D135" s="11">
        <v>50</v>
      </c>
      <c r="E135" s="13">
        <v>730</v>
      </c>
      <c r="F135" s="11">
        <v>660</v>
      </c>
      <c r="G135" s="12">
        <v>20</v>
      </c>
      <c r="H135" s="11">
        <v>36</v>
      </c>
      <c r="I135" s="11">
        <v>615</v>
      </c>
      <c r="J135" s="11">
        <v>32</v>
      </c>
    </row>
    <row r="136" spans="1:10" x14ac:dyDescent="0.35">
      <c r="A136" s="11">
        <v>600</v>
      </c>
      <c r="B136" s="11" t="s">
        <v>2399</v>
      </c>
      <c r="C136" s="11">
        <v>537</v>
      </c>
      <c r="D136" s="11">
        <v>50</v>
      </c>
      <c r="E136" s="11">
        <v>730</v>
      </c>
      <c r="F136" s="11">
        <v>705</v>
      </c>
      <c r="G136" s="11">
        <v>20</v>
      </c>
      <c r="H136" s="11">
        <v>36</v>
      </c>
      <c r="I136" s="11">
        <v>670</v>
      </c>
      <c r="J136" s="11">
        <v>32</v>
      </c>
    </row>
    <row r="137" spans="1:10" x14ac:dyDescent="0.35">
      <c r="A137" s="12">
        <v>600</v>
      </c>
      <c r="B137" s="11">
        <v>6</v>
      </c>
      <c r="C137" s="12">
        <v>537</v>
      </c>
      <c r="D137" s="12">
        <v>50</v>
      </c>
      <c r="E137" s="12">
        <v>730</v>
      </c>
      <c r="F137" s="12">
        <v>705</v>
      </c>
      <c r="G137" s="12">
        <v>20</v>
      </c>
      <c r="H137" s="12">
        <v>36</v>
      </c>
      <c r="I137" s="12">
        <v>670</v>
      </c>
      <c r="J137" s="12">
        <v>32</v>
      </c>
    </row>
    <row r="138" spans="1:10" x14ac:dyDescent="0.35">
      <c r="A138" s="12">
        <v>600</v>
      </c>
      <c r="B138" s="11">
        <v>10</v>
      </c>
      <c r="C138" s="12">
        <v>537</v>
      </c>
      <c r="D138" s="12">
        <v>50</v>
      </c>
      <c r="E138" s="12">
        <v>730</v>
      </c>
      <c r="F138" s="11">
        <v>725</v>
      </c>
      <c r="G138" s="12">
        <v>20</v>
      </c>
      <c r="H138" s="12">
        <v>36</v>
      </c>
      <c r="I138" s="11">
        <v>685</v>
      </c>
      <c r="J138" s="12">
        <v>32</v>
      </c>
    </row>
    <row r="139" spans="1:10" x14ac:dyDescent="0.35">
      <c r="A139" s="12">
        <v>600</v>
      </c>
      <c r="B139" s="11">
        <v>16</v>
      </c>
      <c r="C139" s="12">
        <v>537</v>
      </c>
      <c r="D139" s="12">
        <v>50</v>
      </c>
      <c r="E139" s="12">
        <v>730</v>
      </c>
      <c r="F139" s="11">
        <v>770</v>
      </c>
      <c r="G139" s="12">
        <v>20</v>
      </c>
      <c r="H139" s="12">
        <v>36</v>
      </c>
      <c r="I139" s="11">
        <v>725</v>
      </c>
      <c r="J139" s="12">
        <v>32</v>
      </c>
    </row>
    <row r="140" spans="1:10" x14ac:dyDescent="0.35">
      <c r="A140" s="12">
        <v>600</v>
      </c>
      <c r="B140" s="11">
        <v>25</v>
      </c>
      <c r="C140" s="12">
        <v>537</v>
      </c>
      <c r="D140" s="12">
        <v>50</v>
      </c>
      <c r="E140" s="12">
        <v>730</v>
      </c>
      <c r="F140" s="12">
        <v>770</v>
      </c>
      <c r="G140" s="12">
        <v>20</v>
      </c>
      <c r="H140" s="12">
        <v>36</v>
      </c>
      <c r="I140" s="11">
        <v>720</v>
      </c>
      <c r="J140" s="12">
        <v>32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R46" sqref="R46"/>
    </sheetView>
  </sheetViews>
  <sheetFormatPr defaultRowHeight="14.5" x14ac:dyDescent="0.35"/>
  <sheetData>
    <row r="1" spans="1:13" x14ac:dyDescent="0.35">
      <c r="A1" s="13" t="s">
        <v>2381</v>
      </c>
      <c r="B1" s="13" t="s">
        <v>2750</v>
      </c>
      <c r="C1" t="s">
        <v>2749</v>
      </c>
      <c r="D1" t="s">
        <v>2749</v>
      </c>
      <c r="E1" t="s">
        <v>2749</v>
      </c>
      <c r="F1" t="s">
        <v>2749</v>
      </c>
      <c r="G1" t="s">
        <v>2749</v>
      </c>
      <c r="H1" t="s">
        <v>2749</v>
      </c>
      <c r="I1" t="s">
        <v>2749</v>
      </c>
      <c r="J1" t="s">
        <v>2749</v>
      </c>
    </row>
    <row r="2" spans="1:13" x14ac:dyDescent="0.35">
      <c r="A2">
        <v>1</v>
      </c>
      <c r="B2">
        <v>1</v>
      </c>
      <c r="C2" s="11">
        <v>1</v>
      </c>
      <c r="D2" s="11" t="s">
        <v>2399</v>
      </c>
      <c r="E2" s="13">
        <v>6</v>
      </c>
      <c r="F2" s="13">
        <v>10</v>
      </c>
      <c r="G2" s="13">
        <v>16</v>
      </c>
      <c r="H2" s="13">
        <v>25</v>
      </c>
      <c r="I2" s="13">
        <v>40</v>
      </c>
      <c r="J2" s="13">
        <v>63</v>
      </c>
      <c r="K2" s="13"/>
      <c r="L2" s="13"/>
      <c r="M2" s="13"/>
    </row>
    <row r="3" spans="1:13" x14ac:dyDescent="0.35">
      <c r="A3" s="11">
        <v>10</v>
      </c>
      <c r="B3" s="11">
        <v>1</v>
      </c>
      <c r="C3" s="11" t="s">
        <v>2496</v>
      </c>
      <c r="D3" s="11" t="s">
        <v>2496</v>
      </c>
      <c r="E3" s="11" t="s">
        <v>2497</v>
      </c>
      <c r="F3" s="11" t="s">
        <v>2498</v>
      </c>
      <c r="G3" s="11" t="s">
        <v>2499</v>
      </c>
      <c r="H3" s="11" t="s">
        <v>2500</v>
      </c>
      <c r="I3" s="11">
        <v>40</v>
      </c>
      <c r="J3" s="11">
        <v>63</v>
      </c>
      <c r="K3" s="11"/>
      <c r="L3" s="11"/>
      <c r="M3" s="11"/>
    </row>
    <row r="4" spans="1:13" x14ac:dyDescent="0.35">
      <c r="A4" s="12">
        <v>10</v>
      </c>
      <c r="B4" s="11">
        <v>2</v>
      </c>
      <c r="C4" s="11" t="s">
        <v>2501</v>
      </c>
      <c r="D4" s="11" t="s">
        <v>2501</v>
      </c>
      <c r="E4" s="11" t="s">
        <v>2501</v>
      </c>
      <c r="F4" s="11" t="s">
        <v>2502</v>
      </c>
      <c r="G4" s="11" t="s">
        <v>2503</v>
      </c>
      <c r="H4" s="11" t="s">
        <v>2504</v>
      </c>
      <c r="I4" s="11">
        <v>40</v>
      </c>
      <c r="J4" s="11">
        <v>63</v>
      </c>
      <c r="K4" s="11"/>
      <c r="L4" s="11"/>
      <c r="M4" s="11"/>
    </row>
    <row r="5" spans="1:13" x14ac:dyDescent="0.35">
      <c r="A5" s="12">
        <v>10</v>
      </c>
      <c r="B5" s="11">
        <v>11</v>
      </c>
      <c r="C5" s="11" t="s">
        <v>2501</v>
      </c>
      <c r="D5" s="11" t="s">
        <v>2501</v>
      </c>
      <c r="E5" s="11" t="s">
        <v>2505</v>
      </c>
      <c r="F5" s="11" t="s">
        <v>2443</v>
      </c>
      <c r="G5" s="11" t="s">
        <v>2400</v>
      </c>
      <c r="H5" s="11" t="s">
        <v>2504</v>
      </c>
      <c r="I5" s="11" t="s">
        <v>2504</v>
      </c>
      <c r="J5" s="11" t="s">
        <v>2506</v>
      </c>
      <c r="K5" s="11"/>
      <c r="L5" s="11"/>
      <c r="M5" s="11"/>
    </row>
    <row r="6" spans="1:13" x14ac:dyDescent="0.35">
      <c r="A6" s="11">
        <v>15</v>
      </c>
      <c r="B6" s="11">
        <v>1</v>
      </c>
      <c r="C6" s="11" t="s">
        <v>2501</v>
      </c>
      <c r="D6" s="11" t="s">
        <v>2501</v>
      </c>
      <c r="E6" s="11" t="s">
        <v>2507</v>
      </c>
      <c r="F6" s="11" t="s">
        <v>2508</v>
      </c>
      <c r="G6" s="11" t="s">
        <v>2503</v>
      </c>
      <c r="H6" s="11" t="s">
        <v>2509</v>
      </c>
      <c r="I6" s="11" t="s">
        <v>2504</v>
      </c>
      <c r="J6" s="11" t="s">
        <v>2506</v>
      </c>
      <c r="K6" s="11"/>
      <c r="L6" s="11"/>
      <c r="M6" s="11"/>
    </row>
    <row r="7" spans="1:13" x14ac:dyDescent="0.35">
      <c r="A7" s="12">
        <v>15</v>
      </c>
      <c r="B7" s="11">
        <v>2</v>
      </c>
      <c r="C7" s="11" t="s">
        <v>2507</v>
      </c>
      <c r="D7" s="11" t="s">
        <v>2507</v>
      </c>
      <c r="E7" s="11" t="s">
        <v>2507</v>
      </c>
      <c r="F7" s="11" t="s">
        <v>2510</v>
      </c>
      <c r="G7" s="11" t="s">
        <v>2511</v>
      </c>
      <c r="H7" s="11" t="s">
        <v>2512</v>
      </c>
      <c r="I7" s="11" t="s">
        <v>2504</v>
      </c>
      <c r="J7" s="11" t="s">
        <v>2506</v>
      </c>
      <c r="K7" s="11"/>
      <c r="L7" s="11"/>
      <c r="M7" s="11"/>
    </row>
    <row r="8" spans="1:13" x14ac:dyDescent="0.35">
      <c r="A8" s="12">
        <v>15</v>
      </c>
      <c r="B8" s="11">
        <v>11</v>
      </c>
      <c r="C8" s="11" t="s">
        <v>2505</v>
      </c>
      <c r="D8" s="11" t="s">
        <v>2505</v>
      </c>
      <c r="E8" s="11" t="s">
        <v>2398</v>
      </c>
      <c r="F8" s="11" t="s">
        <v>2510</v>
      </c>
      <c r="G8" s="11" t="s">
        <v>2513</v>
      </c>
      <c r="H8" s="11" t="s">
        <v>2403</v>
      </c>
      <c r="I8" s="11" t="s">
        <v>2403</v>
      </c>
      <c r="J8" s="11" t="s">
        <v>2514</v>
      </c>
      <c r="K8" s="11"/>
      <c r="L8" s="11"/>
      <c r="M8" s="11"/>
    </row>
    <row r="9" spans="1:13" x14ac:dyDescent="0.35">
      <c r="A9" s="11">
        <v>20</v>
      </c>
      <c r="B9" s="11">
        <v>1</v>
      </c>
      <c r="C9" s="11" t="s">
        <v>2515</v>
      </c>
      <c r="D9" s="11" t="s">
        <v>2515</v>
      </c>
      <c r="E9" s="11" t="s">
        <v>2516</v>
      </c>
      <c r="F9" s="11" t="s">
        <v>2517</v>
      </c>
      <c r="G9" s="11" t="s">
        <v>2518</v>
      </c>
      <c r="H9" s="11" t="s">
        <v>2519</v>
      </c>
      <c r="I9" s="11" t="s">
        <v>2403</v>
      </c>
      <c r="J9" s="11" t="s">
        <v>2514</v>
      </c>
      <c r="K9" s="11"/>
      <c r="L9" s="11"/>
      <c r="M9" s="11"/>
    </row>
    <row r="10" spans="1:13" x14ac:dyDescent="0.35">
      <c r="A10" s="12">
        <v>20</v>
      </c>
      <c r="B10" s="11">
        <v>2</v>
      </c>
      <c r="C10" s="11" t="s">
        <v>2520</v>
      </c>
      <c r="D10" s="11" t="s">
        <v>2520</v>
      </c>
      <c r="E10" s="11" t="s">
        <v>2520</v>
      </c>
      <c r="F10" s="11" t="s">
        <v>2521</v>
      </c>
      <c r="G10" s="11" t="s">
        <v>2522</v>
      </c>
      <c r="H10" s="11" t="s">
        <v>2523</v>
      </c>
      <c r="I10" s="11" t="s">
        <v>2403</v>
      </c>
      <c r="J10" s="11" t="s">
        <v>2514</v>
      </c>
      <c r="K10" s="11"/>
      <c r="L10" s="11"/>
      <c r="M10" s="11"/>
    </row>
    <row r="11" spans="1:13" x14ac:dyDescent="0.35">
      <c r="A11" s="12">
        <v>20</v>
      </c>
      <c r="B11" s="11">
        <v>11</v>
      </c>
      <c r="C11" s="11" t="s">
        <v>2498</v>
      </c>
      <c r="D11" s="11" t="s">
        <v>2498</v>
      </c>
      <c r="E11" s="11" t="s">
        <v>2516</v>
      </c>
      <c r="F11" s="11" t="s">
        <v>2524</v>
      </c>
      <c r="G11" s="11" t="s">
        <v>2524</v>
      </c>
      <c r="H11" s="11" t="s">
        <v>2525</v>
      </c>
      <c r="I11" s="11" t="s">
        <v>2525</v>
      </c>
      <c r="J11" s="11" t="s">
        <v>2526</v>
      </c>
      <c r="K11" s="11"/>
      <c r="L11" s="11"/>
      <c r="M11" s="11"/>
    </row>
    <row r="12" spans="1:13" x14ac:dyDescent="0.35">
      <c r="A12" s="11">
        <v>25</v>
      </c>
      <c r="B12" s="11">
        <v>1</v>
      </c>
      <c r="C12" s="11" t="s">
        <v>2528</v>
      </c>
      <c r="D12" s="11" t="s">
        <v>2528</v>
      </c>
      <c r="E12" s="11" t="s">
        <v>2500</v>
      </c>
      <c r="F12" s="11" t="s">
        <v>2529</v>
      </c>
      <c r="G12" s="11" t="s">
        <v>2530</v>
      </c>
      <c r="H12" s="11" t="s">
        <v>2530</v>
      </c>
      <c r="I12" s="11" t="s">
        <v>2525</v>
      </c>
      <c r="J12" s="11" t="s">
        <v>2526</v>
      </c>
      <c r="K12" s="11"/>
      <c r="L12" s="11"/>
      <c r="M12" s="11"/>
    </row>
    <row r="13" spans="1:13" x14ac:dyDescent="0.35">
      <c r="A13" s="12">
        <v>25</v>
      </c>
      <c r="B13" s="11">
        <v>2</v>
      </c>
      <c r="C13" s="11" t="s">
        <v>2400</v>
      </c>
      <c r="D13" s="11" t="s">
        <v>2400</v>
      </c>
      <c r="E13" s="11" t="s">
        <v>2400</v>
      </c>
      <c r="F13" s="11" t="s">
        <v>2531</v>
      </c>
      <c r="G13" s="11" t="s">
        <v>2445</v>
      </c>
      <c r="H13" s="11" t="s">
        <v>2532</v>
      </c>
      <c r="I13" s="11" t="s">
        <v>2525</v>
      </c>
      <c r="J13" s="11" t="s">
        <v>2526</v>
      </c>
      <c r="K13" s="11"/>
      <c r="L13" s="11"/>
      <c r="M13" s="11"/>
    </row>
    <row r="14" spans="1:13" x14ac:dyDescent="0.35">
      <c r="A14" s="12">
        <v>25</v>
      </c>
      <c r="B14" s="11">
        <v>11</v>
      </c>
      <c r="C14" s="11" t="s">
        <v>2528</v>
      </c>
      <c r="D14" s="11" t="s">
        <v>2528</v>
      </c>
      <c r="E14" s="11" t="s">
        <v>2512</v>
      </c>
      <c r="F14" s="11" t="s">
        <v>2523</v>
      </c>
      <c r="G14" s="11" t="s">
        <v>2523</v>
      </c>
      <c r="H14" s="11" t="s">
        <v>2533</v>
      </c>
      <c r="I14" s="11" t="s">
        <v>2533</v>
      </c>
      <c r="J14" s="11" t="s">
        <v>2451</v>
      </c>
      <c r="K14" s="11"/>
      <c r="L14" s="11"/>
      <c r="M14" s="11"/>
    </row>
    <row r="15" spans="1:13" x14ac:dyDescent="0.35">
      <c r="A15" s="11">
        <v>32</v>
      </c>
      <c r="B15" s="11">
        <v>1</v>
      </c>
      <c r="C15" s="11" t="s">
        <v>2534</v>
      </c>
      <c r="D15" s="11" t="s">
        <v>2534</v>
      </c>
      <c r="E15" s="11" t="s">
        <v>2535</v>
      </c>
      <c r="F15" s="11" t="s">
        <v>2404</v>
      </c>
      <c r="G15" s="11" t="s">
        <v>2536</v>
      </c>
      <c r="H15" s="11" t="s">
        <v>2537</v>
      </c>
      <c r="I15" s="11" t="s">
        <v>2533</v>
      </c>
      <c r="J15" s="11" t="s">
        <v>2451</v>
      </c>
      <c r="K15" s="11"/>
      <c r="L15" s="11"/>
      <c r="M15" s="11"/>
    </row>
    <row r="16" spans="1:13" x14ac:dyDescent="0.35">
      <c r="A16" s="12">
        <v>32</v>
      </c>
      <c r="B16" s="11">
        <v>2</v>
      </c>
      <c r="C16" s="11" t="s">
        <v>2524</v>
      </c>
      <c r="D16" s="11" t="s">
        <v>2524</v>
      </c>
      <c r="E16" s="11" t="s">
        <v>2524</v>
      </c>
      <c r="F16" s="11" t="s">
        <v>2538</v>
      </c>
      <c r="G16" s="11" t="s">
        <v>2539</v>
      </c>
      <c r="H16" s="11" t="s">
        <v>2540</v>
      </c>
      <c r="I16" s="11" t="s">
        <v>2533</v>
      </c>
      <c r="J16" s="11" t="s">
        <v>2451</v>
      </c>
      <c r="K16" s="11"/>
      <c r="L16" s="11"/>
      <c r="M16" s="11"/>
    </row>
    <row r="17" spans="1:13" x14ac:dyDescent="0.35">
      <c r="A17" s="12">
        <v>32</v>
      </c>
      <c r="B17" s="11">
        <v>11</v>
      </c>
      <c r="C17" s="11" t="s">
        <v>2541</v>
      </c>
      <c r="D17" s="11" t="s">
        <v>2541</v>
      </c>
      <c r="E17" s="11" t="s">
        <v>2445</v>
      </c>
      <c r="F17" s="11" t="s">
        <v>2542</v>
      </c>
      <c r="G17" s="11" t="s">
        <v>2542</v>
      </c>
      <c r="H17" s="11" t="s">
        <v>2543</v>
      </c>
      <c r="I17" s="11" t="s">
        <v>2543</v>
      </c>
      <c r="J17" s="11" t="s">
        <v>2544</v>
      </c>
      <c r="K17" s="11"/>
      <c r="L17" s="11"/>
      <c r="M17" s="11"/>
    </row>
    <row r="18" spans="1:13" x14ac:dyDescent="0.35">
      <c r="A18" s="11">
        <v>40</v>
      </c>
      <c r="B18" s="11">
        <v>1</v>
      </c>
      <c r="C18" s="11" t="s">
        <v>2545</v>
      </c>
      <c r="D18" s="11" t="s">
        <v>2545</v>
      </c>
      <c r="E18" s="11" t="s">
        <v>2546</v>
      </c>
      <c r="F18" s="11" t="s">
        <v>2547</v>
      </c>
      <c r="G18" s="11" t="s">
        <v>2548</v>
      </c>
      <c r="H18" s="11" t="s">
        <v>2549</v>
      </c>
      <c r="I18" s="11" t="s">
        <v>2543</v>
      </c>
      <c r="J18" s="11" t="s">
        <v>2544</v>
      </c>
      <c r="K18" s="11"/>
      <c r="L18" s="11"/>
      <c r="M18" s="11"/>
    </row>
    <row r="19" spans="1:13" x14ac:dyDescent="0.35">
      <c r="A19" s="12">
        <v>40</v>
      </c>
      <c r="B19" s="11">
        <v>2</v>
      </c>
      <c r="C19" s="11" t="s">
        <v>2550</v>
      </c>
      <c r="D19" s="11" t="s">
        <v>2550</v>
      </c>
      <c r="E19" s="11" t="s">
        <v>2550</v>
      </c>
      <c r="F19" s="11" t="s">
        <v>2551</v>
      </c>
      <c r="G19" s="11" t="s">
        <v>2552</v>
      </c>
      <c r="H19" s="11" t="s">
        <v>2553</v>
      </c>
      <c r="I19" s="11" t="s">
        <v>2543</v>
      </c>
      <c r="J19" s="11" t="s">
        <v>2544</v>
      </c>
      <c r="K19" s="11"/>
      <c r="L19" s="11"/>
      <c r="M19" s="11"/>
    </row>
    <row r="20" spans="1:13" x14ac:dyDescent="0.35">
      <c r="A20" s="12">
        <v>40</v>
      </c>
      <c r="B20" s="11">
        <v>11</v>
      </c>
      <c r="C20" s="11" t="s">
        <v>2554</v>
      </c>
      <c r="D20" s="11" t="s">
        <v>2554</v>
      </c>
      <c r="E20" s="11" t="s">
        <v>2555</v>
      </c>
      <c r="F20" s="11" t="s">
        <v>2556</v>
      </c>
      <c r="G20" s="11" t="s">
        <v>2543</v>
      </c>
      <c r="H20" s="11" t="s">
        <v>2557</v>
      </c>
      <c r="I20" s="11" t="s">
        <v>2557</v>
      </c>
      <c r="J20" s="11" t="s">
        <v>2558</v>
      </c>
      <c r="K20" s="11"/>
      <c r="L20" s="11"/>
      <c r="M20" s="11"/>
    </row>
    <row r="21" spans="1:13" x14ac:dyDescent="0.35">
      <c r="A21" s="11">
        <v>50</v>
      </c>
      <c r="B21" s="11">
        <v>1</v>
      </c>
      <c r="C21" s="11" t="s">
        <v>2559</v>
      </c>
      <c r="D21" s="11" t="s">
        <v>2559</v>
      </c>
      <c r="E21" s="11" t="s">
        <v>2560</v>
      </c>
      <c r="F21" s="11" t="s">
        <v>2561</v>
      </c>
      <c r="G21" s="11" t="s">
        <v>2562</v>
      </c>
      <c r="H21" s="11" t="s">
        <v>2456</v>
      </c>
      <c r="I21" s="11" t="s">
        <v>2557</v>
      </c>
      <c r="J21" s="11" t="s">
        <v>2558</v>
      </c>
      <c r="K21" s="11"/>
      <c r="L21" s="11"/>
      <c r="M21" s="11"/>
    </row>
    <row r="22" spans="1:13" x14ac:dyDescent="0.35">
      <c r="A22" s="12">
        <v>50</v>
      </c>
      <c r="B22" s="11">
        <v>2</v>
      </c>
      <c r="C22" s="11" t="s">
        <v>2563</v>
      </c>
      <c r="D22" s="11" t="s">
        <v>2563</v>
      </c>
      <c r="E22" s="11" t="s">
        <v>2563</v>
      </c>
      <c r="F22" s="11" t="s">
        <v>2564</v>
      </c>
      <c r="G22" s="11" t="s">
        <v>2527</v>
      </c>
      <c r="H22" s="11" t="s">
        <v>2565</v>
      </c>
      <c r="I22" s="11" t="s">
        <v>2557</v>
      </c>
      <c r="J22" s="11" t="s">
        <v>2558</v>
      </c>
      <c r="K22" s="11"/>
      <c r="L22" s="11"/>
      <c r="M22" s="11"/>
    </row>
    <row r="23" spans="1:13" x14ac:dyDescent="0.35">
      <c r="A23" s="12">
        <v>50</v>
      </c>
      <c r="B23" s="11">
        <v>11</v>
      </c>
      <c r="C23" s="11" t="s">
        <v>2566</v>
      </c>
      <c r="D23" s="11" t="s">
        <v>2566</v>
      </c>
      <c r="E23" s="11" t="s">
        <v>2567</v>
      </c>
      <c r="F23" s="11" t="s">
        <v>2568</v>
      </c>
      <c r="G23" s="11" t="s">
        <v>2569</v>
      </c>
      <c r="H23" s="11" t="s">
        <v>2570</v>
      </c>
      <c r="I23" s="11" t="s">
        <v>2571</v>
      </c>
      <c r="J23" s="11" t="s">
        <v>2572</v>
      </c>
      <c r="K23" s="11"/>
      <c r="L23" s="11"/>
      <c r="M23" s="11"/>
    </row>
    <row r="24" spans="1:13" x14ac:dyDescent="0.35">
      <c r="A24" s="11">
        <v>65</v>
      </c>
      <c r="B24" s="11">
        <v>1</v>
      </c>
      <c r="C24" s="11" t="s">
        <v>2574</v>
      </c>
      <c r="D24" s="11" t="s">
        <v>2574</v>
      </c>
      <c r="E24" s="11" t="s">
        <v>2575</v>
      </c>
      <c r="F24" s="11" t="s">
        <v>2456</v>
      </c>
      <c r="G24" s="11" t="s">
        <v>2576</v>
      </c>
      <c r="H24" s="11" t="s">
        <v>2577</v>
      </c>
      <c r="I24" s="11" t="s">
        <v>2571</v>
      </c>
      <c r="J24" s="11" t="s">
        <v>2572</v>
      </c>
      <c r="K24" s="11"/>
      <c r="L24" s="11"/>
      <c r="M24" s="11"/>
    </row>
    <row r="25" spans="1:13" x14ac:dyDescent="0.35">
      <c r="A25" s="12">
        <v>65</v>
      </c>
      <c r="B25" s="11">
        <v>2</v>
      </c>
      <c r="C25" s="11" t="s">
        <v>2578</v>
      </c>
      <c r="D25" s="11" t="s">
        <v>2578</v>
      </c>
      <c r="E25" s="11" t="s">
        <v>2578</v>
      </c>
      <c r="F25" s="11" t="s">
        <v>2579</v>
      </c>
      <c r="G25" s="11" t="s">
        <v>2580</v>
      </c>
      <c r="H25" s="11" t="s">
        <v>2581</v>
      </c>
      <c r="I25" s="11" t="s">
        <v>2571</v>
      </c>
      <c r="J25" s="11" t="s">
        <v>2572</v>
      </c>
      <c r="K25" s="11"/>
      <c r="L25" s="11"/>
      <c r="M25" s="11"/>
    </row>
    <row r="26" spans="1:13" x14ac:dyDescent="0.35">
      <c r="A26" s="12">
        <v>65</v>
      </c>
      <c r="B26" s="11">
        <v>11</v>
      </c>
      <c r="C26" s="11" t="s">
        <v>2582</v>
      </c>
      <c r="D26" s="11" t="s">
        <v>2582</v>
      </c>
      <c r="E26" s="11" t="s">
        <v>2561</v>
      </c>
      <c r="F26" s="11" t="s">
        <v>2583</v>
      </c>
      <c r="G26" s="11" t="s">
        <v>2584</v>
      </c>
      <c r="H26" s="11" t="s">
        <v>2585</v>
      </c>
      <c r="I26" s="11" t="s">
        <v>2586</v>
      </c>
      <c r="J26" s="11" t="s">
        <v>2587</v>
      </c>
      <c r="K26" s="11"/>
      <c r="L26" s="11"/>
      <c r="M26" s="11"/>
    </row>
    <row r="27" spans="1:13" x14ac:dyDescent="0.35">
      <c r="A27" s="11">
        <v>80</v>
      </c>
      <c r="B27" s="11">
        <v>1</v>
      </c>
      <c r="C27" s="11" t="s">
        <v>2588</v>
      </c>
      <c r="D27" s="11" t="s">
        <v>2588</v>
      </c>
      <c r="E27" s="11" t="s">
        <v>2589</v>
      </c>
      <c r="F27" s="11" t="s">
        <v>2584</v>
      </c>
      <c r="G27" s="11" t="s">
        <v>2585</v>
      </c>
      <c r="H27" s="11" t="s">
        <v>2590</v>
      </c>
      <c r="I27" s="11" t="s">
        <v>2586</v>
      </c>
      <c r="J27" s="11" t="s">
        <v>2587</v>
      </c>
      <c r="K27" s="11"/>
      <c r="L27" s="11"/>
      <c r="M27" s="11"/>
    </row>
    <row r="28" spans="1:13" x14ac:dyDescent="0.35">
      <c r="A28" s="12">
        <v>80</v>
      </c>
      <c r="B28" s="11">
        <v>2</v>
      </c>
      <c r="C28" s="11" t="s">
        <v>2591</v>
      </c>
      <c r="D28" s="11" t="s">
        <v>2591</v>
      </c>
      <c r="E28" s="11" t="s">
        <v>2591</v>
      </c>
      <c r="F28" s="11" t="s">
        <v>2592</v>
      </c>
      <c r="G28" s="11" t="s">
        <v>2593</v>
      </c>
      <c r="H28" s="11" t="s">
        <v>2594</v>
      </c>
      <c r="I28" s="11" t="s">
        <v>2586</v>
      </c>
      <c r="J28" s="11" t="s">
        <v>2587</v>
      </c>
      <c r="K28" s="11"/>
      <c r="L28" s="11"/>
      <c r="M28" s="11"/>
    </row>
    <row r="29" spans="1:13" x14ac:dyDescent="0.35">
      <c r="A29" s="12">
        <v>80</v>
      </c>
      <c r="B29" s="11">
        <v>11</v>
      </c>
      <c r="C29" s="11" t="s">
        <v>2595</v>
      </c>
      <c r="D29" s="11" t="s">
        <v>2595</v>
      </c>
      <c r="E29" s="11" t="s">
        <v>2596</v>
      </c>
      <c r="F29" s="11" t="s">
        <v>2597</v>
      </c>
      <c r="G29" s="11" t="s">
        <v>2598</v>
      </c>
      <c r="H29" s="11" t="s">
        <v>2599</v>
      </c>
      <c r="I29" s="11" t="s">
        <v>2600</v>
      </c>
      <c r="J29" s="11" t="s">
        <v>2601</v>
      </c>
      <c r="K29" s="11"/>
      <c r="L29" s="11"/>
      <c r="M29" s="11"/>
    </row>
    <row r="30" spans="1:13" x14ac:dyDescent="0.35">
      <c r="A30" s="11">
        <v>100</v>
      </c>
      <c r="B30" s="11">
        <v>1</v>
      </c>
      <c r="C30" s="11" t="s">
        <v>2603</v>
      </c>
      <c r="D30" s="11" t="s">
        <v>2603</v>
      </c>
      <c r="E30" s="11" t="s">
        <v>2604</v>
      </c>
      <c r="F30" s="11" t="s">
        <v>2605</v>
      </c>
      <c r="G30" s="11" t="s">
        <v>2606</v>
      </c>
      <c r="H30" s="11" t="s">
        <v>2607</v>
      </c>
      <c r="I30" s="11" t="s">
        <v>2600</v>
      </c>
      <c r="J30" s="11" t="s">
        <v>2601</v>
      </c>
      <c r="K30" s="11"/>
      <c r="L30" s="11"/>
      <c r="M30" s="11"/>
    </row>
    <row r="31" spans="1:13" x14ac:dyDescent="0.35">
      <c r="A31" s="12">
        <v>100</v>
      </c>
      <c r="B31" s="11">
        <v>2</v>
      </c>
      <c r="C31" s="11" t="s">
        <v>2608</v>
      </c>
      <c r="D31" s="11" t="s">
        <v>2608</v>
      </c>
      <c r="E31" s="11" t="s">
        <v>2608</v>
      </c>
      <c r="F31" s="11" t="s">
        <v>2609</v>
      </c>
      <c r="G31" s="11" t="s">
        <v>2610</v>
      </c>
      <c r="H31" s="11" t="s">
        <v>2611</v>
      </c>
      <c r="I31" s="11" t="s">
        <v>2600</v>
      </c>
      <c r="J31" s="11" t="s">
        <v>2601</v>
      </c>
      <c r="K31" s="11"/>
      <c r="L31" s="11"/>
      <c r="M31" s="11"/>
    </row>
    <row r="32" spans="1:13" x14ac:dyDescent="0.35">
      <c r="A32" s="12">
        <v>100</v>
      </c>
      <c r="B32" s="11">
        <v>11</v>
      </c>
      <c r="C32" s="11" t="s">
        <v>2612</v>
      </c>
      <c r="D32" s="11" t="s">
        <v>2612</v>
      </c>
      <c r="E32" s="11" t="s">
        <v>2613</v>
      </c>
      <c r="F32" s="11" t="s">
        <v>2459</v>
      </c>
      <c r="G32" s="11" t="s">
        <v>2411</v>
      </c>
      <c r="H32" s="11" t="s">
        <v>2614</v>
      </c>
      <c r="I32" s="11" t="s">
        <v>2466</v>
      </c>
      <c r="J32" s="11" t="s">
        <v>2615</v>
      </c>
      <c r="K32" s="11"/>
      <c r="L32" s="11"/>
      <c r="M32" s="11"/>
    </row>
    <row r="33" spans="1:13" x14ac:dyDescent="0.35">
      <c r="A33" s="11">
        <v>125</v>
      </c>
      <c r="B33" s="11">
        <v>1</v>
      </c>
      <c r="C33" s="11" t="s">
        <v>2453</v>
      </c>
      <c r="D33" s="11" t="s">
        <v>2453</v>
      </c>
      <c r="E33" s="11" t="s">
        <v>2616</v>
      </c>
      <c r="F33" s="11" t="s">
        <v>2469</v>
      </c>
      <c r="G33" s="11" t="s">
        <v>2617</v>
      </c>
      <c r="H33" s="11" t="s">
        <v>2618</v>
      </c>
      <c r="I33" s="11" t="s">
        <v>2466</v>
      </c>
      <c r="J33" s="11" t="s">
        <v>2615</v>
      </c>
      <c r="K33" s="11"/>
      <c r="L33" s="11"/>
      <c r="M33" s="11"/>
    </row>
    <row r="34" spans="1:13" x14ac:dyDescent="0.35">
      <c r="A34" s="12">
        <v>125</v>
      </c>
      <c r="B34" s="11">
        <v>2</v>
      </c>
      <c r="C34" s="11" t="s">
        <v>2619</v>
      </c>
      <c r="D34" s="11" t="s">
        <v>2619</v>
      </c>
      <c r="E34" s="11" t="s">
        <v>2619</v>
      </c>
      <c r="F34" s="11" t="s">
        <v>2620</v>
      </c>
      <c r="G34" s="11" t="s">
        <v>2621</v>
      </c>
      <c r="H34" s="11" t="s">
        <v>2622</v>
      </c>
      <c r="I34" s="11" t="s">
        <v>2466</v>
      </c>
      <c r="J34" s="11" t="s">
        <v>2615</v>
      </c>
      <c r="K34" s="11"/>
      <c r="L34" s="11"/>
      <c r="M34" s="11"/>
    </row>
    <row r="35" spans="1:13" x14ac:dyDescent="0.35">
      <c r="A35" s="12">
        <v>125</v>
      </c>
      <c r="B35" s="11">
        <v>11</v>
      </c>
      <c r="C35" s="11" t="s">
        <v>2586</v>
      </c>
      <c r="D35" s="11" t="s">
        <v>2586</v>
      </c>
      <c r="E35" s="11" t="s">
        <v>2623</v>
      </c>
      <c r="F35" s="11" t="s">
        <v>2624</v>
      </c>
      <c r="G35" s="11" t="s">
        <v>2624</v>
      </c>
      <c r="H35" s="11" t="s">
        <v>2625</v>
      </c>
      <c r="I35" s="11" t="s">
        <v>2423</v>
      </c>
      <c r="J35" s="11" t="s">
        <v>2626</v>
      </c>
      <c r="K35" s="11"/>
      <c r="L35" s="11"/>
      <c r="M35" s="11"/>
    </row>
    <row r="36" spans="1:13" x14ac:dyDescent="0.35">
      <c r="A36" s="11">
        <v>150</v>
      </c>
      <c r="B36" s="11">
        <v>1</v>
      </c>
      <c r="C36" s="11" t="s">
        <v>2627</v>
      </c>
      <c r="D36" s="11" t="s">
        <v>2627</v>
      </c>
      <c r="E36" s="11" t="s">
        <v>2628</v>
      </c>
      <c r="F36" s="11" t="s">
        <v>2629</v>
      </c>
      <c r="G36" s="11" t="s">
        <v>2467</v>
      </c>
      <c r="H36" s="11" t="s">
        <v>2602</v>
      </c>
      <c r="I36" s="11" t="s">
        <v>2423</v>
      </c>
      <c r="J36" s="11" t="s">
        <v>2626</v>
      </c>
      <c r="K36" s="11"/>
      <c r="L36" s="11"/>
      <c r="M36" s="11"/>
    </row>
    <row r="37" spans="1:13" x14ac:dyDescent="0.35">
      <c r="A37" s="12">
        <v>150</v>
      </c>
      <c r="B37" s="11">
        <v>2</v>
      </c>
      <c r="C37" s="11" t="s">
        <v>2630</v>
      </c>
      <c r="D37" s="11" t="s">
        <v>2630</v>
      </c>
      <c r="E37" s="11" t="s">
        <v>2630</v>
      </c>
      <c r="F37" s="11" t="s">
        <v>2631</v>
      </c>
      <c r="G37" s="11" t="s">
        <v>2632</v>
      </c>
      <c r="H37" s="11" t="s">
        <v>2633</v>
      </c>
      <c r="I37" s="11" t="s">
        <v>2423</v>
      </c>
      <c r="J37" s="11" t="s">
        <v>2626</v>
      </c>
      <c r="K37" s="11"/>
      <c r="L37" s="11"/>
      <c r="M37" s="11"/>
    </row>
    <row r="38" spans="1:13" x14ac:dyDescent="0.35">
      <c r="A38" s="12">
        <v>150</v>
      </c>
      <c r="B38" s="11">
        <v>11</v>
      </c>
      <c r="C38" s="11" t="s">
        <v>2634</v>
      </c>
      <c r="D38" s="11" t="s">
        <v>2634</v>
      </c>
      <c r="E38" s="11" t="s">
        <v>2635</v>
      </c>
      <c r="F38" s="11" t="s">
        <v>2636</v>
      </c>
      <c r="G38" s="11" t="s">
        <v>2488</v>
      </c>
      <c r="H38" s="11" t="s">
        <v>2637</v>
      </c>
      <c r="I38" s="11" t="s">
        <v>2638</v>
      </c>
      <c r="J38" s="11" t="s">
        <v>2639</v>
      </c>
      <c r="K38" s="11"/>
      <c r="L38" s="11"/>
      <c r="M38" s="11"/>
    </row>
    <row r="39" spans="1:13" x14ac:dyDescent="0.35">
      <c r="A39" s="11">
        <v>200</v>
      </c>
      <c r="B39" s="11">
        <v>1</v>
      </c>
      <c r="C39" s="11" t="s">
        <v>2606</v>
      </c>
      <c r="D39" s="11" t="s">
        <v>2606</v>
      </c>
      <c r="E39" s="11" t="s">
        <v>2417</v>
      </c>
      <c r="F39" s="11" t="s">
        <v>2641</v>
      </c>
      <c r="G39" s="11" t="s">
        <v>2423</v>
      </c>
      <c r="H39" s="11" t="s">
        <v>2642</v>
      </c>
      <c r="I39" s="11" t="s">
        <v>2638</v>
      </c>
      <c r="J39" s="11" t="s">
        <v>2639</v>
      </c>
      <c r="K39" s="11"/>
      <c r="L39" s="11"/>
      <c r="M39" s="11"/>
    </row>
    <row r="40" spans="1:13" x14ac:dyDescent="0.35">
      <c r="A40" s="12">
        <v>200</v>
      </c>
      <c r="B40" s="11">
        <v>2</v>
      </c>
      <c r="C40" s="11" t="s">
        <v>2610</v>
      </c>
      <c r="D40" s="11" t="s">
        <v>2610</v>
      </c>
      <c r="E40" s="11" t="s">
        <v>2610</v>
      </c>
      <c r="F40" s="11" t="s">
        <v>2643</v>
      </c>
      <c r="G40" s="11" t="s">
        <v>2644</v>
      </c>
      <c r="H40" s="11" t="s">
        <v>2637</v>
      </c>
      <c r="I40" s="11" t="s">
        <v>2638</v>
      </c>
      <c r="J40" s="11" t="s">
        <v>2639</v>
      </c>
      <c r="K40" s="11"/>
      <c r="L40" s="11"/>
      <c r="M40" s="11"/>
    </row>
    <row r="41" spans="1:13" x14ac:dyDescent="0.35">
      <c r="A41" s="12">
        <v>200</v>
      </c>
      <c r="B41" s="11">
        <v>11</v>
      </c>
      <c r="C41" s="11" t="s">
        <v>2645</v>
      </c>
      <c r="D41" s="11" t="s">
        <v>2645</v>
      </c>
      <c r="E41" s="11" t="s">
        <v>2646</v>
      </c>
      <c r="F41" s="11" t="s">
        <v>2647</v>
      </c>
      <c r="G41" s="11" t="s">
        <v>2648</v>
      </c>
      <c r="H41" s="11" t="s">
        <v>2649</v>
      </c>
      <c r="I41" s="11" t="s">
        <v>2650</v>
      </c>
      <c r="J41" s="11" t="s">
        <v>2651</v>
      </c>
      <c r="K41" s="11"/>
      <c r="L41" s="11"/>
      <c r="M41" s="11"/>
    </row>
    <row r="42" spans="1:13" x14ac:dyDescent="0.35">
      <c r="A42" s="11">
        <v>250</v>
      </c>
      <c r="B42" s="11">
        <v>1</v>
      </c>
      <c r="C42" s="11" t="s">
        <v>2652</v>
      </c>
      <c r="D42" s="11" t="s">
        <v>2652</v>
      </c>
      <c r="E42" s="11" t="s">
        <v>2653</v>
      </c>
      <c r="F42" s="11" t="s">
        <v>2615</v>
      </c>
      <c r="G42" s="11" t="s">
        <v>2654</v>
      </c>
      <c r="H42" s="11" t="s">
        <v>2655</v>
      </c>
      <c r="I42" s="11" t="s">
        <v>2650</v>
      </c>
      <c r="J42" s="11" t="s">
        <v>2651</v>
      </c>
      <c r="K42" s="11"/>
      <c r="L42" s="11"/>
      <c r="M42" s="11"/>
    </row>
    <row r="43" spans="1:13" x14ac:dyDescent="0.35">
      <c r="A43" s="12">
        <v>250</v>
      </c>
      <c r="B43" s="11">
        <v>2</v>
      </c>
      <c r="C43" s="11" t="s">
        <v>2617</v>
      </c>
      <c r="D43" s="11" t="s">
        <v>2617</v>
      </c>
      <c r="E43" s="11" t="s">
        <v>2617</v>
      </c>
      <c r="F43" s="11" t="s">
        <v>2573</v>
      </c>
      <c r="G43" s="11" t="s">
        <v>2656</v>
      </c>
      <c r="H43" s="11" t="s">
        <v>2657</v>
      </c>
      <c r="I43" s="11" t="s">
        <v>2650</v>
      </c>
      <c r="J43" s="11" t="s">
        <v>2651</v>
      </c>
      <c r="K43" s="11"/>
      <c r="L43" s="11"/>
      <c r="M43" s="11"/>
    </row>
    <row r="44" spans="1:13" x14ac:dyDescent="0.35">
      <c r="A44" s="12">
        <v>250</v>
      </c>
      <c r="B44" s="11">
        <v>11</v>
      </c>
      <c r="C44" s="11" t="s">
        <v>2658</v>
      </c>
      <c r="D44" s="11" t="s">
        <v>2658</v>
      </c>
      <c r="E44" s="11" t="s">
        <v>2659</v>
      </c>
      <c r="F44" s="11" t="s">
        <v>2660</v>
      </c>
      <c r="G44" s="11" t="s">
        <v>2649</v>
      </c>
      <c r="H44" s="11" t="s">
        <v>2661</v>
      </c>
      <c r="I44" s="11" t="s">
        <v>2662</v>
      </c>
      <c r="J44" s="11" t="s">
        <v>2663</v>
      </c>
      <c r="K44" s="11"/>
      <c r="L44" s="11"/>
      <c r="M44" s="11"/>
    </row>
    <row r="45" spans="1:13" x14ac:dyDescent="0.35">
      <c r="A45" s="11">
        <v>300</v>
      </c>
      <c r="B45" s="11">
        <v>1</v>
      </c>
      <c r="C45" s="11" t="s">
        <v>2664</v>
      </c>
      <c r="D45" s="11" t="s">
        <v>2664</v>
      </c>
      <c r="E45" s="11" t="s">
        <v>2665</v>
      </c>
      <c r="F45" s="11" t="s">
        <v>2666</v>
      </c>
      <c r="G45" s="11" t="s">
        <v>2667</v>
      </c>
      <c r="H45" s="11">
        <v>24</v>
      </c>
      <c r="I45" s="11" t="s">
        <v>2662</v>
      </c>
      <c r="J45" s="11" t="s">
        <v>2663</v>
      </c>
      <c r="K45" s="11"/>
      <c r="L45" s="11"/>
      <c r="M45" s="11"/>
    </row>
    <row r="46" spans="1:13" x14ac:dyDescent="0.35">
      <c r="A46" s="12">
        <v>300</v>
      </c>
      <c r="B46" s="11">
        <v>2</v>
      </c>
      <c r="C46" s="11" t="s">
        <v>2668</v>
      </c>
      <c r="D46" s="11" t="s">
        <v>2668</v>
      </c>
      <c r="E46" s="11" t="s">
        <v>2668</v>
      </c>
      <c r="F46" s="11" t="s">
        <v>2656</v>
      </c>
      <c r="G46" s="11" t="s">
        <v>2669</v>
      </c>
      <c r="H46" s="11" t="s">
        <v>2670</v>
      </c>
      <c r="I46" s="11" t="s">
        <v>2662</v>
      </c>
      <c r="J46" s="11" t="s">
        <v>2663</v>
      </c>
      <c r="K46" s="11"/>
      <c r="L46" s="11"/>
      <c r="M46" s="11"/>
    </row>
    <row r="47" spans="1:13" x14ac:dyDescent="0.35">
      <c r="A47" s="12">
        <v>300</v>
      </c>
      <c r="B47" s="11">
        <v>11</v>
      </c>
      <c r="C47" s="11" t="s">
        <v>2671</v>
      </c>
      <c r="D47" s="11" t="s">
        <v>2671</v>
      </c>
      <c r="E47" s="11" t="s">
        <v>2672</v>
      </c>
      <c r="F47" s="11" t="s">
        <v>2673</v>
      </c>
      <c r="G47" s="11" t="s">
        <v>2670</v>
      </c>
      <c r="H47" s="11" t="s">
        <v>2674</v>
      </c>
      <c r="I47" s="11" t="s">
        <v>2675</v>
      </c>
      <c r="J47" s="11" t="s">
        <v>2676</v>
      </c>
      <c r="K47" s="11"/>
      <c r="L47" s="11"/>
      <c r="M47" s="11"/>
    </row>
    <row r="48" spans="1:13" x14ac:dyDescent="0.35">
      <c r="A48" s="11">
        <v>350</v>
      </c>
      <c r="B48" s="11">
        <v>1</v>
      </c>
      <c r="C48" s="11" t="s">
        <v>2677</v>
      </c>
      <c r="D48" s="11" t="s">
        <v>2677</v>
      </c>
      <c r="E48" s="11" t="s">
        <v>2637</v>
      </c>
      <c r="F48" s="11" t="s">
        <v>2678</v>
      </c>
      <c r="G48" s="11" t="s">
        <v>2679</v>
      </c>
      <c r="H48" s="11" t="s">
        <v>2680</v>
      </c>
      <c r="I48" s="11" t="s">
        <v>2675</v>
      </c>
      <c r="J48" s="11" t="s">
        <v>2676</v>
      </c>
      <c r="K48" s="11"/>
      <c r="L48" s="11"/>
      <c r="M48" s="11"/>
    </row>
    <row r="49" spans="1:13" x14ac:dyDescent="0.35">
      <c r="A49" s="12">
        <v>350</v>
      </c>
      <c r="B49" s="11">
        <v>2</v>
      </c>
      <c r="C49" s="11" t="s">
        <v>2681</v>
      </c>
      <c r="D49" s="11" t="s">
        <v>2681</v>
      </c>
      <c r="E49" s="11" t="s">
        <v>2681</v>
      </c>
      <c r="F49" s="11">
        <v>18</v>
      </c>
      <c r="G49" s="11" t="s">
        <v>2670</v>
      </c>
      <c r="H49" s="11" t="s">
        <v>2682</v>
      </c>
      <c r="I49" s="11" t="s">
        <v>2675</v>
      </c>
      <c r="J49" s="11" t="s">
        <v>2676</v>
      </c>
      <c r="K49" s="11"/>
      <c r="L49" s="11"/>
      <c r="M49" s="11"/>
    </row>
    <row r="50" spans="1:13" x14ac:dyDescent="0.35">
      <c r="A50" s="12">
        <v>350</v>
      </c>
      <c r="B50" s="11">
        <v>11</v>
      </c>
      <c r="C50" s="11">
        <v>16</v>
      </c>
      <c r="D50" s="11">
        <v>16</v>
      </c>
      <c r="E50" s="11" t="s">
        <v>2683</v>
      </c>
      <c r="F50" s="11" t="s">
        <v>2684</v>
      </c>
      <c r="G50" s="11" t="s">
        <v>2685</v>
      </c>
      <c r="H50" s="11" t="s">
        <v>2686</v>
      </c>
      <c r="I50" s="11" t="s">
        <v>2687</v>
      </c>
      <c r="J50" s="11">
        <v>106</v>
      </c>
      <c r="K50" s="11"/>
      <c r="L50" s="11"/>
      <c r="M50" s="11"/>
    </row>
    <row r="51" spans="1:13" x14ac:dyDescent="0.35">
      <c r="A51" s="11">
        <v>400</v>
      </c>
      <c r="B51" s="11">
        <v>1</v>
      </c>
      <c r="C51" s="11" t="s">
        <v>2688</v>
      </c>
      <c r="D51" s="11" t="s">
        <v>2688</v>
      </c>
      <c r="E51" s="11" t="s">
        <v>2689</v>
      </c>
      <c r="F51" s="11" t="s">
        <v>2690</v>
      </c>
      <c r="G51" s="11">
        <v>31</v>
      </c>
      <c r="H51" s="11" t="s">
        <v>2691</v>
      </c>
      <c r="I51" s="11" t="s">
        <v>2687</v>
      </c>
      <c r="J51" s="11">
        <v>106</v>
      </c>
      <c r="K51" s="11"/>
      <c r="L51" s="11"/>
      <c r="M51" s="11"/>
    </row>
    <row r="52" spans="1:13" x14ac:dyDescent="0.35">
      <c r="A52" s="12">
        <v>400</v>
      </c>
      <c r="B52" s="11">
        <v>2</v>
      </c>
      <c r="C52" s="11">
        <v>17</v>
      </c>
      <c r="D52" s="11">
        <v>17</v>
      </c>
      <c r="E52" s="11">
        <v>17</v>
      </c>
      <c r="F52" s="11" t="s">
        <v>2650</v>
      </c>
      <c r="G52" s="11" t="s">
        <v>2692</v>
      </c>
      <c r="H52" s="11" t="s">
        <v>2693</v>
      </c>
      <c r="I52" s="11" t="s">
        <v>2687</v>
      </c>
      <c r="J52" s="11">
        <v>106</v>
      </c>
      <c r="K52" s="11"/>
      <c r="L52" s="11"/>
      <c r="M52" s="11"/>
    </row>
    <row r="53" spans="1:13" x14ac:dyDescent="0.35">
      <c r="A53" s="12">
        <v>400</v>
      </c>
      <c r="B53" s="11">
        <v>11</v>
      </c>
      <c r="C53" s="11" t="s">
        <v>2694</v>
      </c>
      <c r="D53" s="11" t="s">
        <v>2694</v>
      </c>
      <c r="E53" s="11" t="s">
        <v>2695</v>
      </c>
      <c r="F53" s="11">
        <v>30</v>
      </c>
      <c r="G53" s="11">
        <v>43</v>
      </c>
      <c r="H53" s="11" t="s">
        <v>2696</v>
      </c>
      <c r="I53" s="11">
        <v>107</v>
      </c>
      <c r="J53" s="11">
        <v>151</v>
      </c>
      <c r="K53" s="11"/>
      <c r="L53" s="11"/>
      <c r="M53" s="11"/>
    </row>
    <row r="54" spans="1:13" x14ac:dyDescent="0.35">
      <c r="A54" s="11">
        <v>450</v>
      </c>
      <c r="B54" s="11">
        <v>1</v>
      </c>
      <c r="C54" s="11" t="s">
        <v>2660</v>
      </c>
      <c r="D54" s="11" t="s">
        <v>2660</v>
      </c>
      <c r="E54" s="11" t="s">
        <v>2697</v>
      </c>
      <c r="F54" s="11" t="s">
        <v>2670</v>
      </c>
      <c r="G54" s="11" t="s">
        <v>2698</v>
      </c>
      <c r="H54" s="11" t="s">
        <v>2699</v>
      </c>
      <c r="I54" s="11">
        <v>107</v>
      </c>
      <c r="J54" s="11">
        <v>151</v>
      </c>
      <c r="K54" s="11"/>
      <c r="L54" s="11"/>
      <c r="M54" s="11"/>
    </row>
    <row r="55" spans="1:13" x14ac:dyDescent="0.35">
      <c r="A55" s="12">
        <v>450</v>
      </c>
      <c r="B55" s="11">
        <v>2</v>
      </c>
      <c r="C55" s="11">
        <v>20</v>
      </c>
      <c r="D55" s="11">
        <v>20</v>
      </c>
      <c r="E55" s="11">
        <v>20</v>
      </c>
      <c r="F55" s="11" t="s">
        <v>2700</v>
      </c>
      <c r="G55" s="11" t="s">
        <v>2701</v>
      </c>
      <c r="H55" s="11" t="s">
        <v>2702</v>
      </c>
      <c r="I55" s="11">
        <v>107</v>
      </c>
      <c r="J55" s="11">
        <v>151</v>
      </c>
      <c r="K55" s="11"/>
      <c r="L55" s="11"/>
      <c r="M55" s="11"/>
    </row>
    <row r="56" spans="1:13" x14ac:dyDescent="0.35">
      <c r="A56" s="12">
        <v>450</v>
      </c>
      <c r="B56" s="11">
        <v>11</v>
      </c>
      <c r="C56" s="11" t="s">
        <v>2703</v>
      </c>
      <c r="D56" s="11" t="s">
        <v>2703</v>
      </c>
      <c r="E56" s="11" t="s">
        <v>2704</v>
      </c>
      <c r="F56" s="11" t="s">
        <v>2705</v>
      </c>
      <c r="G56" s="11">
        <v>54</v>
      </c>
      <c r="H56" s="11" t="s">
        <v>2706</v>
      </c>
      <c r="I56" s="11">
        <v>107</v>
      </c>
      <c r="J56" s="11">
        <v>151</v>
      </c>
      <c r="K56" s="11"/>
      <c r="L56" s="11"/>
      <c r="M56" s="11"/>
    </row>
    <row r="57" spans="1:13" x14ac:dyDescent="0.35">
      <c r="A57" s="11">
        <v>500</v>
      </c>
      <c r="B57" s="11">
        <v>1</v>
      </c>
      <c r="C57" s="11">
        <v>16</v>
      </c>
      <c r="D57" s="11">
        <v>16</v>
      </c>
      <c r="E57" s="11" t="s">
        <v>2707</v>
      </c>
      <c r="F57" s="11">
        <v>28</v>
      </c>
      <c r="G57" s="11">
        <v>57</v>
      </c>
      <c r="H57" s="11" t="s">
        <v>2708</v>
      </c>
      <c r="I57" s="11">
        <v>107</v>
      </c>
      <c r="J57" s="11">
        <v>151</v>
      </c>
      <c r="K57" s="11"/>
      <c r="L57" s="11"/>
      <c r="M57" s="11"/>
    </row>
    <row r="58" spans="1:13" x14ac:dyDescent="0.35">
      <c r="A58" s="12">
        <v>500</v>
      </c>
      <c r="B58" s="11">
        <v>2</v>
      </c>
      <c r="C58" s="11" t="s">
        <v>2639</v>
      </c>
      <c r="D58" s="11" t="s">
        <v>2639</v>
      </c>
      <c r="E58" s="11" t="s">
        <v>2639</v>
      </c>
      <c r="F58" s="11" t="s">
        <v>2674</v>
      </c>
      <c r="G58" s="11" t="s">
        <v>2709</v>
      </c>
      <c r="H58" s="11" t="s">
        <v>2710</v>
      </c>
      <c r="I58" s="11">
        <v>107</v>
      </c>
      <c r="J58" s="11">
        <v>151</v>
      </c>
      <c r="K58" s="11"/>
      <c r="L58" s="11"/>
      <c r="M58" s="11"/>
    </row>
    <row r="59" spans="1:13" x14ac:dyDescent="0.35">
      <c r="A59" s="12">
        <v>500</v>
      </c>
      <c r="B59" s="11">
        <v>11</v>
      </c>
      <c r="C59" s="11" t="s">
        <v>2711</v>
      </c>
      <c r="D59" s="11" t="s">
        <v>2711</v>
      </c>
      <c r="E59" s="11" t="s">
        <v>2692</v>
      </c>
      <c r="F59" s="11">
        <v>40</v>
      </c>
      <c r="G59" s="11">
        <v>71</v>
      </c>
      <c r="H59" s="11">
        <v>89</v>
      </c>
      <c r="I59" s="11" t="s">
        <v>2712</v>
      </c>
      <c r="J59" s="11">
        <v>201</v>
      </c>
      <c r="K59" s="11"/>
      <c r="L59" s="11"/>
      <c r="M59" s="11"/>
    </row>
    <row r="60" spans="1:13" x14ac:dyDescent="0.35">
      <c r="A60" s="11">
        <v>600</v>
      </c>
      <c r="B60" s="11">
        <v>1</v>
      </c>
      <c r="C60" s="11" t="s">
        <v>2713</v>
      </c>
      <c r="D60" s="11" t="s">
        <v>2713</v>
      </c>
      <c r="E60" s="11" t="s">
        <v>2714</v>
      </c>
      <c r="F60" s="11" t="s">
        <v>2715</v>
      </c>
      <c r="G60" s="11">
        <v>80</v>
      </c>
      <c r="H60" s="11" t="s">
        <v>2640</v>
      </c>
      <c r="I60" s="11" t="s">
        <v>2712</v>
      </c>
      <c r="J60" s="11">
        <v>201</v>
      </c>
      <c r="K60" s="11"/>
      <c r="L60" s="11"/>
      <c r="M60" s="11"/>
    </row>
    <row r="61" spans="1:13" x14ac:dyDescent="0.35">
      <c r="A61" s="12">
        <v>600</v>
      </c>
      <c r="B61" s="11">
        <v>11</v>
      </c>
      <c r="C61" s="11" t="s">
        <v>2716</v>
      </c>
      <c r="D61" s="11" t="s">
        <v>2716</v>
      </c>
      <c r="E61" s="11" t="s">
        <v>2716</v>
      </c>
      <c r="F61" s="11">
        <v>50</v>
      </c>
      <c r="G61" s="11" t="s">
        <v>2717</v>
      </c>
      <c r="H61" s="11">
        <v>124</v>
      </c>
      <c r="I61" s="11">
        <v>195</v>
      </c>
      <c r="J61" s="11">
        <v>283</v>
      </c>
      <c r="K61" s="11"/>
      <c r="L61" s="11"/>
      <c r="M61" s="11"/>
    </row>
    <row r="62" spans="1:13" x14ac:dyDescent="0.35">
      <c r="A62" s="11">
        <v>700</v>
      </c>
      <c r="B62" s="11">
        <v>1</v>
      </c>
      <c r="C62" s="11" t="s">
        <v>2718</v>
      </c>
      <c r="D62" s="11" t="s">
        <v>2718</v>
      </c>
      <c r="E62" s="11" t="s">
        <v>2719</v>
      </c>
      <c r="F62" s="11" t="s">
        <v>2720</v>
      </c>
      <c r="G62" s="11" t="s">
        <v>2721</v>
      </c>
      <c r="H62" s="11">
        <v>127</v>
      </c>
      <c r="I62" s="11">
        <v>195</v>
      </c>
      <c r="J62" s="11">
        <v>283</v>
      </c>
      <c r="K62" s="11"/>
      <c r="L62" s="11"/>
      <c r="M62" s="11"/>
    </row>
    <row r="63" spans="1:13" x14ac:dyDescent="0.35">
      <c r="A63" s="12">
        <v>700</v>
      </c>
      <c r="B63" s="11">
        <v>11</v>
      </c>
      <c r="C63" s="11" t="s">
        <v>2722</v>
      </c>
      <c r="D63" s="11" t="s">
        <v>2722</v>
      </c>
      <c r="E63" s="11" t="s">
        <v>2722</v>
      </c>
      <c r="F63" s="11" t="s">
        <v>2723</v>
      </c>
      <c r="G63" s="11">
        <v>106</v>
      </c>
      <c r="H63" s="11">
        <v>167</v>
      </c>
      <c r="I63" s="11">
        <v>247</v>
      </c>
      <c r="J63" s="11">
        <v>301</v>
      </c>
      <c r="K63" s="11"/>
      <c r="L63" s="11"/>
      <c r="M63" s="11"/>
    </row>
    <row r="64" spans="1:13" x14ac:dyDescent="0.35">
      <c r="A64" s="11">
        <v>800</v>
      </c>
      <c r="B64" s="11">
        <v>1</v>
      </c>
      <c r="C64" s="11" t="s">
        <v>2724</v>
      </c>
      <c r="D64" s="11" t="s">
        <v>2724</v>
      </c>
      <c r="E64" s="11" t="s">
        <v>2725</v>
      </c>
      <c r="F64" s="11" t="s">
        <v>2726</v>
      </c>
      <c r="G64" s="11" t="s">
        <v>2727</v>
      </c>
      <c r="H64" s="11" t="s">
        <v>2728</v>
      </c>
      <c r="I64" s="11">
        <v>247</v>
      </c>
      <c r="J64" s="11">
        <v>301</v>
      </c>
      <c r="K64" s="11"/>
      <c r="L64" s="11"/>
      <c r="M64" s="11"/>
    </row>
    <row r="65" spans="1:13" x14ac:dyDescent="0.35">
      <c r="A65" s="12">
        <v>800</v>
      </c>
      <c r="B65" s="11">
        <v>11</v>
      </c>
      <c r="C65" s="11" t="s">
        <v>2439</v>
      </c>
      <c r="D65" s="11" t="s">
        <v>2439</v>
      </c>
      <c r="E65" s="11" t="s">
        <v>2729</v>
      </c>
      <c r="F65" s="11" t="s">
        <v>2730</v>
      </c>
      <c r="G65" s="11">
        <v>131</v>
      </c>
      <c r="H65" s="11">
        <v>215</v>
      </c>
      <c r="I65" s="11" t="s">
        <v>2731</v>
      </c>
      <c r="J65" s="11">
        <v>464</v>
      </c>
      <c r="K65" s="11"/>
      <c r="L65" s="11"/>
      <c r="M65" s="11"/>
    </row>
    <row r="66" spans="1:13" x14ac:dyDescent="0.35">
      <c r="A66" s="11">
        <v>900</v>
      </c>
      <c r="B66" s="11">
        <v>1</v>
      </c>
      <c r="C66" s="11" t="s">
        <v>2732</v>
      </c>
      <c r="D66" s="11" t="s">
        <v>2732</v>
      </c>
      <c r="E66" s="11" t="s">
        <v>2733</v>
      </c>
      <c r="F66" s="11" t="s">
        <v>2734</v>
      </c>
      <c r="G66" s="11">
        <v>129</v>
      </c>
      <c r="H66" s="11">
        <v>215</v>
      </c>
      <c r="I66" s="11" t="s">
        <v>2731</v>
      </c>
      <c r="J66" s="11">
        <v>464</v>
      </c>
      <c r="K66" s="11"/>
      <c r="L66" s="11"/>
      <c r="M66" s="11"/>
    </row>
    <row r="67" spans="1:13" x14ac:dyDescent="0.35">
      <c r="A67" s="12">
        <v>900</v>
      </c>
      <c r="B67" s="11">
        <v>11</v>
      </c>
      <c r="C67" s="11" t="s">
        <v>2735</v>
      </c>
      <c r="D67" s="11" t="s">
        <v>2735</v>
      </c>
      <c r="E67" s="11" t="s">
        <v>2736</v>
      </c>
      <c r="F67" s="11">
        <v>103</v>
      </c>
      <c r="G67" s="11">
        <v>158</v>
      </c>
      <c r="H67" s="11">
        <v>253</v>
      </c>
      <c r="I67" s="11">
        <v>437</v>
      </c>
      <c r="J67" s="11">
        <v>954</v>
      </c>
      <c r="K67" s="11"/>
      <c r="L67" s="11"/>
      <c r="M67" s="11"/>
    </row>
    <row r="68" spans="1:13" x14ac:dyDescent="0.35">
      <c r="A68" s="11">
        <v>1000</v>
      </c>
      <c r="B68" s="11">
        <v>1</v>
      </c>
      <c r="C68" s="11" t="s">
        <v>2737</v>
      </c>
      <c r="D68" s="11" t="s">
        <v>2737</v>
      </c>
      <c r="E68" s="11" t="s">
        <v>2738</v>
      </c>
      <c r="F68" s="11" t="s">
        <v>2739</v>
      </c>
      <c r="G68" s="11" t="s">
        <v>2740</v>
      </c>
      <c r="H68" s="11">
        <v>253</v>
      </c>
      <c r="I68" s="11">
        <v>437</v>
      </c>
      <c r="J68" s="11">
        <v>954</v>
      </c>
      <c r="K68" s="11"/>
      <c r="L68" s="11"/>
      <c r="M68" s="11"/>
    </row>
    <row r="69" spans="1:13" x14ac:dyDescent="0.35">
      <c r="A69" s="12">
        <v>1000</v>
      </c>
      <c r="B69" s="11">
        <v>11</v>
      </c>
      <c r="C69" s="11" t="s">
        <v>2741</v>
      </c>
      <c r="D69" s="11" t="s">
        <v>2741</v>
      </c>
      <c r="E69" s="11" t="s">
        <v>2742</v>
      </c>
      <c r="F69" s="11">
        <v>119</v>
      </c>
      <c r="G69" s="11">
        <v>203</v>
      </c>
      <c r="H69" s="11">
        <v>312</v>
      </c>
      <c r="I69" s="11">
        <v>541</v>
      </c>
      <c r="J69" s="11">
        <v>981</v>
      </c>
      <c r="K69" s="11"/>
      <c r="L69" s="11"/>
      <c r="M69" s="11"/>
    </row>
    <row r="70" spans="1:13" x14ac:dyDescent="0.35">
      <c r="A70" s="11">
        <v>1200</v>
      </c>
      <c r="B70" s="11">
        <v>1</v>
      </c>
      <c r="C70" s="11" t="s">
        <v>2743</v>
      </c>
      <c r="D70" s="11" t="s">
        <v>2743</v>
      </c>
      <c r="E70" s="11">
        <v>99</v>
      </c>
      <c r="F70" s="11" t="s">
        <v>2744</v>
      </c>
      <c r="G70" s="11">
        <v>298</v>
      </c>
      <c r="H70" s="11">
        <v>312</v>
      </c>
      <c r="I70" s="11">
        <v>541</v>
      </c>
      <c r="J70" s="11">
        <v>981</v>
      </c>
      <c r="K70" s="11"/>
      <c r="L70" s="11"/>
      <c r="M70" s="11"/>
    </row>
    <row r="71" spans="1:13" x14ac:dyDescent="0.35">
      <c r="A71" s="12">
        <v>1200</v>
      </c>
      <c r="B71" s="11">
        <v>11</v>
      </c>
      <c r="C71" s="11" t="s">
        <v>2745</v>
      </c>
      <c r="D71" s="11" t="s">
        <v>2745</v>
      </c>
      <c r="E71" s="11">
        <v>111</v>
      </c>
      <c r="F71" s="11">
        <v>180</v>
      </c>
      <c r="G71" s="11">
        <v>285</v>
      </c>
      <c r="H71" s="11">
        <v>388</v>
      </c>
      <c r="I71" s="11">
        <v>691</v>
      </c>
      <c r="J71" s="11">
        <v>1264</v>
      </c>
      <c r="K71" s="11"/>
      <c r="L71" s="11"/>
      <c r="M71" s="11"/>
    </row>
    <row r="72" spans="1:13" x14ac:dyDescent="0.35">
      <c r="A72" s="11">
        <v>1400</v>
      </c>
      <c r="B72" s="11">
        <v>1</v>
      </c>
      <c r="C72" s="11" t="s">
        <v>2746</v>
      </c>
      <c r="D72" s="11" t="s">
        <v>2746</v>
      </c>
      <c r="E72" s="11" t="s">
        <v>2747</v>
      </c>
      <c r="F72" s="11">
        <v>279</v>
      </c>
      <c r="G72" s="11">
        <v>285</v>
      </c>
      <c r="H72" s="11">
        <v>388</v>
      </c>
      <c r="I72" s="11">
        <v>691</v>
      </c>
      <c r="J72" s="11">
        <v>1264</v>
      </c>
      <c r="K72" s="11"/>
      <c r="L72" s="11"/>
      <c r="M72" s="11"/>
    </row>
    <row r="73" spans="1:13" x14ac:dyDescent="0.35">
      <c r="A73" s="12">
        <v>1400</v>
      </c>
      <c r="B73" s="11">
        <v>11</v>
      </c>
      <c r="C73" s="11">
        <v>101</v>
      </c>
      <c r="D73" s="11">
        <v>101</v>
      </c>
      <c r="E73" s="11">
        <v>157</v>
      </c>
      <c r="F73" s="11">
        <v>279</v>
      </c>
      <c r="G73" s="11">
        <v>285</v>
      </c>
      <c r="H73" s="11">
        <v>388</v>
      </c>
      <c r="I73" s="11">
        <v>691</v>
      </c>
      <c r="J73" s="11">
        <v>1264</v>
      </c>
      <c r="K73" s="11"/>
      <c r="L73" s="11"/>
      <c r="M73" s="11"/>
    </row>
    <row r="74" spans="1:13" x14ac:dyDescent="0.35">
      <c r="A74" s="11">
        <v>1600</v>
      </c>
      <c r="B74" s="11">
        <v>1</v>
      </c>
      <c r="C74" s="11" t="s">
        <v>2748</v>
      </c>
      <c r="D74" s="11" t="s">
        <v>2748</v>
      </c>
      <c r="E74" s="11">
        <v>203</v>
      </c>
      <c r="F74" s="11">
        <v>423</v>
      </c>
      <c r="G74" s="11">
        <v>285</v>
      </c>
      <c r="H74" s="11">
        <v>388</v>
      </c>
      <c r="I74" s="11">
        <v>691</v>
      </c>
      <c r="J74" s="11">
        <v>1264</v>
      </c>
      <c r="K74" s="11"/>
      <c r="L74" s="11"/>
      <c r="M74" s="11"/>
    </row>
    <row r="75" spans="1:13" x14ac:dyDescent="0.35">
      <c r="A75" s="12">
        <v>1600</v>
      </c>
      <c r="B75" s="11">
        <v>11</v>
      </c>
      <c r="C75" s="11">
        <v>135</v>
      </c>
      <c r="D75" s="11">
        <v>135</v>
      </c>
      <c r="E75" s="11">
        <v>219</v>
      </c>
      <c r="F75" s="11">
        <v>423</v>
      </c>
      <c r="G75" s="11">
        <v>285</v>
      </c>
      <c r="H75" s="11">
        <v>388</v>
      </c>
      <c r="I75" s="11">
        <v>691</v>
      </c>
      <c r="J75" s="11">
        <v>1264</v>
      </c>
      <c r="K75" s="11"/>
      <c r="L75" s="11"/>
      <c r="M75" s="11"/>
    </row>
    <row r="76" spans="1:13" x14ac:dyDescent="0.35">
      <c r="A76" s="11">
        <v>1800</v>
      </c>
      <c r="B76" s="11">
        <v>1</v>
      </c>
      <c r="C76" s="11">
        <v>117</v>
      </c>
      <c r="D76" s="11">
        <v>117</v>
      </c>
      <c r="E76" s="11">
        <v>219</v>
      </c>
      <c r="F76" s="11">
        <v>423</v>
      </c>
      <c r="G76" s="11">
        <v>285</v>
      </c>
      <c r="H76" s="11">
        <v>388</v>
      </c>
      <c r="I76" s="11">
        <v>691</v>
      </c>
      <c r="J76" s="11">
        <v>1264</v>
      </c>
      <c r="K76" s="11"/>
      <c r="L76" s="11"/>
      <c r="M76" s="11"/>
    </row>
    <row r="77" spans="1:13" x14ac:dyDescent="0.35">
      <c r="A77" s="11">
        <v>2000</v>
      </c>
      <c r="B77" s="11">
        <v>1</v>
      </c>
      <c r="C77" s="11">
        <v>133</v>
      </c>
      <c r="D77" s="11">
        <v>133</v>
      </c>
      <c r="E77" s="11">
        <v>219</v>
      </c>
      <c r="F77" s="11">
        <v>423</v>
      </c>
      <c r="G77" s="11">
        <v>285</v>
      </c>
      <c r="H77" s="11">
        <v>388</v>
      </c>
      <c r="I77" s="11">
        <v>691</v>
      </c>
      <c r="J77" s="11">
        <v>1264</v>
      </c>
      <c r="K77" s="11"/>
      <c r="L77" s="11"/>
      <c r="M77" s="11"/>
    </row>
    <row r="78" spans="1:13" x14ac:dyDescent="0.35">
      <c r="A78" s="11">
        <v>2200</v>
      </c>
      <c r="B78" s="11">
        <v>1</v>
      </c>
      <c r="C78" s="11">
        <v>190</v>
      </c>
      <c r="D78" s="11">
        <v>190</v>
      </c>
      <c r="E78" s="11">
        <v>219</v>
      </c>
      <c r="F78" s="11">
        <v>423</v>
      </c>
      <c r="G78" s="11">
        <v>285</v>
      </c>
      <c r="H78" s="11">
        <v>388</v>
      </c>
      <c r="I78" s="11">
        <v>691</v>
      </c>
      <c r="J78" s="11">
        <v>1264</v>
      </c>
      <c r="K78" s="11"/>
      <c r="L78" s="11"/>
      <c r="M78" s="11"/>
    </row>
    <row r="79" spans="1:13" x14ac:dyDescent="0.35">
      <c r="A79" s="11">
        <v>2400</v>
      </c>
      <c r="B79" s="11">
        <v>1</v>
      </c>
      <c r="C79" s="11">
        <v>237</v>
      </c>
      <c r="D79" s="11">
        <v>237</v>
      </c>
      <c r="E79" s="11">
        <v>219</v>
      </c>
      <c r="F79" s="11">
        <v>423</v>
      </c>
      <c r="G79" s="11">
        <v>285</v>
      </c>
      <c r="H79" s="11">
        <v>388</v>
      </c>
      <c r="I79" s="11">
        <v>691</v>
      </c>
      <c r="J79" s="11">
        <v>1264</v>
      </c>
      <c r="K79" s="11"/>
      <c r="L79" s="11"/>
      <c r="M7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mep_rule</vt:lpstr>
      <vt:lpstr>ду_ЭСБШ</vt:lpstr>
      <vt:lpstr>ду_din</vt:lpstr>
      <vt:lpstr>ду_PVC-U</vt:lpstr>
      <vt:lpstr>ду_PVC-U_Pin</vt:lpstr>
      <vt:lpstr>отвод_PVC_U_Pin</vt:lpstr>
      <vt:lpstr>отвод_PPR</vt:lpstr>
      <vt:lpstr>трой_PVC_U_Pin</vt:lpstr>
      <vt:lpstr>фл_PVC_U_Pin</vt:lpstr>
      <vt:lpstr>бурт_PVC_U_Pin</vt:lpstr>
      <vt:lpstr>заглушка_PVC_U_Pin</vt:lpstr>
      <vt:lpstr>переход_PVC_U_Pin</vt:lpstr>
      <vt:lpstr>ду_09Г2С</vt:lpstr>
      <vt:lpstr>ду_12Х18Н10Т</vt:lpstr>
      <vt:lpstr>ду_медь</vt:lpstr>
      <vt:lpstr>ду_ВГ</vt:lpstr>
      <vt:lpstr>ду_ПЭ100</vt:lpstr>
      <vt:lpstr>ду_PPR</vt:lpstr>
      <vt:lpstr>ду_ВГП</vt:lpstr>
      <vt:lpstr>тр_к_10704</vt:lpstr>
      <vt:lpstr>трой_и2_17376</vt:lpstr>
      <vt:lpstr>трой_ОСТ_34_10_764_97</vt:lpstr>
      <vt:lpstr>трой_ОСТ_34_10_762_97</vt:lpstr>
      <vt:lpstr>отвод_и1_17375</vt:lpstr>
      <vt:lpstr>отвод_и2_17375</vt:lpstr>
      <vt:lpstr>отвод_ОСТ_34_10_699_9</vt:lpstr>
      <vt:lpstr>кран_7890-93</vt:lpstr>
      <vt:lpstr>переход_и1_17378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2024-01-15T12:04:18Z</dcterms:modified>
</cp:coreProperties>
</file>