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Исходные данные" sheetId="1" r:id="rId1"/>
    <sheet name="Сбор нагрузок" sheetId="2" r:id="rId2"/>
    <sheet name="Нагрузка на шпунт" sheetId="3" r:id="rId3"/>
    <sheet name="Таблица в отчёт" sheetId="4" r:id="rId4"/>
    <sheet name="Нагрузка на подземную часть" sheetId="5" r:id="rId5"/>
  </sheets>
  <definedNames>
    <definedName name="a">'Исходные данные'!$G$2</definedName>
    <definedName name="b_0">'Исходные данные'!$G$3</definedName>
    <definedName name="c_1">'Исходные данные'!$B$5</definedName>
    <definedName name="c_ige_1">'Исходные данные'!$B$5</definedName>
    <definedName name="c_ige_2">'Исходные данные'!$B$11</definedName>
    <definedName name="c_ige_3">'Исходные данные'!$B$17</definedName>
    <definedName name="c_ige_4">'Исходные данные'!$B$23</definedName>
    <definedName name="gamma_akt">'Исходные данные'!$B$27</definedName>
    <definedName name="gamma_pass">'Исходные данные'!$B$28</definedName>
    <definedName name="gamma_q">'Исходные данные'!$B$30</definedName>
    <definedName name="gamma_wod">'Исходные данные'!$B$29</definedName>
    <definedName name="k_1">'Исходные данные'!$D$5</definedName>
    <definedName name="k_2">'Исходные данные'!$D$11</definedName>
    <definedName name="k_3">'Исходные данные'!$D$17</definedName>
    <definedName name="k_4">'Исходные данные'!$D$23</definedName>
    <definedName name="P_q">'Исходные данные'!$G$6</definedName>
    <definedName name="phi_1">'Исходные данные'!$B$4</definedName>
    <definedName name="phi_2">'Исходные данные'!#REF!</definedName>
    <definedName name="phi_3">'Исходные данные'!#REF!</definedName>
    <definedName name="phi_ige_1">'Исходные данные'!$B$4</definedName>
    <definedName name="phi_ige_2">'Исходные данные'!$B$10</definedName>
    <definedName name="phi_ige_3">'Исходные данные'!$B$16</definedName>
    <definedName name="phi_ige_4">'Исходные данные'!$B$22</definedName>
    <definedName name="q">'Исходные данные'!$G$1</definedName>
    <definedName name="ro_ige_1">'Исходные данные'!$B$3</definedName>
    <definedName name="ro_ige_2">'Исходные данные'!$B$9</definedName>
    <definedName name="ro_ige_3">'Исходные данные'!$B$15</definedName>
    <definedName name="ro_ige_4">'Исходные данные'!$B$21</definedName>
    <definedName name="ro_wod">'Исходные данные'!$F$9</definedName>
    <definedName name="Ur_wod">'Исходные данные'!$F$10</definedName>
    <definedName name="y_a">'Исходные данные'!$G$4</definedName>
    <definedName name="y_b">'Исходные данные'!$G$5</definedName>
    <definedName name="Z_kotlov">'Исходные данные'!$F$11</definedName>
  </definedNames>
  <calcPr calcId="145621"/>
</workbook>
</file>

<file path=xl/calcChain.xml><?xml version="1.0" encoding="utf-8"?>
<calcChain xmlns="http://schemas.openxmlformats.org/spreadsheetml/2006/main">
  <c r="Q11" i="4" l="1"/>
  <c r="Q10" i="4"/>
  <c r="Q9" i="4"/>
  <c r="O8" i="4"/>
  <c r="N8" i="4"/>
  <c r="N5" i="4"/>
  <c r="M8" i="4"/>
  <c r="L8" i="4"/>
  <c r="L5" i="4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  <c r="U2" i="2"/>
  <c r="V2" i="2"/>
  <c r="U3" i="2"/>
  <c r="V3" i="2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L20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19" i="2"/>
  <c r="G14" i="2"/>
  <c r="G15" i="2"/>
  <c r="G16" i="2"/>
  <c r="G17" i="2"/>
  <c r="G18" i="2"/>
  <c r="G13" i="2"/>
  <c r="F9" i="1"/>
  <c r="W3" i="2" l="1"/>
  <c r="W4" i="2"/>
  <c r="W5" i="2"/>
  <c r="W6" i="2"/>
  <c r="W7" i="2"/>
  <c r="W8" i="2"/>
  <c r="W9" i="2"/>
  <c r="W10" i="2"/>
  <c r="W11" i="2"/>
  <c r="W13" i="2"/>
  <c r="W14" i="2"/>
  <c r="W15" i="2"/>
  <c r="W16" i="2"/>
  <c r="W17" i="2"/>
  <c r="W19" i="2"/>
  <c r="W20" i="2"/>
  <c r="W21" i="2"/>
  <c r="W22" i="2"/>
  <c r="W23" i="2"/>
  <c r="W2" i="2"/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4" i="4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C1" i="3"/>
  <c r="A1" i="3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19" i="2"/>
  <c r="S14" i="2"/>
  <c r="S15" i="2"/>
  <c r="S16" i="2"/>
  <c r="S17" i="2"/>
  <c r="S18" i="2"/>
  <c r="S13" i="2"/>
  <c r="S5" i="2"/>
  <c r="S6" i="2"/>
  <c r="S7" i="2"/>
  <c r="S8" i="2"/>
  <c r="S9" i="2"/>
  <c r="S10" i="2"/>
  <c r="S11" i="2"/>
  <c r="S12" i="2"/>
  <c r="E20" i="2" l="1"/>
  <c r="E21" i="2"/>
  <c r="D23" i="4" s="1"/>
  <c r="E22" i="2"/>
  <c r="E23" i="2"/>
  <c r="E24" i="2"/>
  <c r="E25" i="2"/>
  <c r="E26" i="2"/>
  <c r="E27" i="2"/>
  <c r="E28" i="2"/>
  <c r="E29" i="2"/>
  <c r="E30" i="2"/>
  <c r="F30" i="2" s="1"/>
  <c r="E31" i="2"/>
  <c r="E32" i="2"/>
  <c r="E33" i="2"/>
  <c r="E34" i="2"/>
  <c r="E35" i="2"/>
  <c r="E36" i="2"/>
  <c r="E37" i="2"/>
  <c r="F20" i="2"/>
  <c r="E19" i="2"/>
  <c r="D21" i="4" s="1"/>
  <c r="E14" i="2"/>
  <c r="F14" i="2" s="1"/>
  <c r="E15" i="2"/>
  <c r="D17" i="4" s="1"/>
  <c r="E16" i="2"/>
  <c r="F16" i="2" s="1"/>
  <c r="E17" i="2"/>
  <c r="D19" i="4" s="1"/>
  <c r="E18" i="2"/>
  <c r="D20" i="4" s="1"/>
  <c r="E13" i="2"/>
  <c r="D15" i="4" s="1"/>
  <c r="C20" i="2"/>
  <c r="B22" i="4" s="1"/>
  <c r="C21" i="2"/>
  <c r="B23" i="4" s="1"/>
  <c r="C22" i="2"/>
  <c r="B24" i="4" s="1"/>
  <c r="C23" i="2"/>
  <c r="B25" i="4" s="1"/>
  <c r="C24" i="2"/>
  <c r="B26" i="4" s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19" i="2"/>
  <c r="B21" i="4" s="1"/>
  <c r="C14" i="2"/>
  <c r="B16" i="4" s="1"/>
  <c r="C15" i="2"/>
  <c r="B17" i="4" s="1"/>
  <c r="C16" i="2"/>
  <c r="B18" i="4" s="1"/>
  <c r="C17" i="2"/>
  <c r="B19" i="4" s="1"/>
  <c r="C18" i="2"/>
  <c r="B20" i="4" s="1"/>
  <c r="C13" i="2"/>
  <c r="B15" i="4" s="1"/>
  <c r="F21" i="2"/>
  <c r="G23" i="4"/>
  <c r="H21" i="2"/>
  <c r="F22" i="2"/>
  <c r="G24" i="4"/>
  <c r="H22" i="2"/>
  <c r="D24" i="4"/>
  <c r="F24" i="2"/>
  <c r="H24" i="2"/>
  <c r="D26" i="4"/>
  <c r="F25" i="2"/>
  <c r="H25" i="2"/>
  <c r="F26" i="2"/>
  <c r="H26" i="2"/>
  <c r="H27" i="2"/>
  <c r="F28" i="2"/>
  <c r="H29" i="2"/>
  <c r="H30" i="2"/>
  <c r="H31" i="2"/>
  <c r="F32" i="2"/>
  <c r="H32" i="2"/>
  <c r="H33" i="2"/>
  <c r="F34" i="2"/>
  <c r="H34" i="2"/>
  <c r="H35" i="2"/>
  <c r="F36" i="2"/>
  <c r="F37" i="2"/>
  <c r="H37" i="2"/>
  <c r="G22" i="4"/>
  <c r="D22" i="4"/>
  <c r="H19" i="2"/>
  <c r="H15" i="2"/>
  <c r="G17" i="4"/>
  <c r="G18" i="4"/>
  <c r="H16" i="2"/>
  <c r="D18" i="4"/>
  <c r="H17" i="2"/>
  <c r="F18" i="2"/>
  <c r="G20" i="4"/>
  <c r="G16" i="4"/>
  <c r="D16" i="4"/>
  <c r="L14" i="2"/>
  <c r="L15" i="2" s="1"/>
  <c r="L16" i="2" s="1"/>
  <c r="L17" i="2" s="1"/>
  <c r="L18" i="2" s="1"/>
  <c r="L19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H13" i="2"/>
  <c r="L13" i="2"/>
  <c r="C5" i="2"/>
  <c r="B7" i="4" s="1"/>
  <c r="E5" i="2"/>
  <c r="F5" i="2" s="1"/>
  <c r="G5" i="2"/>
  <c r="H5" i="2"/>
  <c r="D7" i="4"/>
  <c r="L5" i="2"/>
  <c r="C6" i="2"/>
  <c r="B8" i="4" s="1"/>
  <c r="E6" i="2"/>
  <c r="F6" i="2" s="1"/>
  <c r="G6" i="2"/>
  <c r="H6" i="2"/>
  <c r="D8" i="4"/>
  <c r="L6" i="2"/>
  <c r="C7" i="2"/>
  <c r="B9" i="4" s="1"/>
  <c r="E7" i="2"/>
  <c r="F7" i="2" s="1"/>
  <c r="G7" i="2"/>
  <c r="L7" i="2"/>
  <c r="C8" i="2"/>
  <c r="B10" i="4" s="1"/>
  <c r="E8" i="2"/>
  <c r="F8" i="2"/>
  <c r="G8" i="2"/>
  <c r="H8" i="2"/>
  <c r="D10" i="4"/>
  <c r="L8" i="2"/>
  <c r="C9" i="2"/>
  <c r="B11" i="4" s="1"/>
  <c r="E9" i="2"/>
  <c r="D11" i="4" s="1"/>
  <c r="G9" i="2"/>
  <c r="H9" i="2" s="1"/>
  <c r="L9" i="2"/>
  <c r="C10" i="2"/>
  <c r="B12" i="4" s="1"/>
  <c r="E10" i="2"/>
  <c r="F10" i="2"/>
  <c r="G10" i="2"/>
  <c r="H10" i="2"/>
  <c r="D12" i="4"/>
  <c r="L10" i="2"/>
  <c r="C11" i="2"/>
  <c r="B13" i="4" s="1"/>
  <c r="E11" i="2"/>
  <c r="F11" i="2"/>
  <c r="G11" i="2"/>
  <c r="G13" i="4" s="1"/>
  <c r="H11" i="2"/>
  <c r="D13" i="4"/>
  <c r="L11" i="2"/>
  <c r="C12" i="2"/>
  <c r="B14" i="4" s="1"/>
  <c r="E12" i="2"/>
  <c r="F12" i="2"/>
  <c r="G12" i="2"/>
  <c r="G14" i="4" s="1"/>
  <c r="H12" i="2"/>
  <c r="D14" i="4"/>
  <c r="L12" i="2"/>
  <c r="C4" i="2"/>
  <c r="E4" i="2"/>
  <c r="D6" i="4" s="1"/>
  <c r="G4" i="2"/>
  <c r="H4" i="2" s="1"/>
  <c r="L4" i="2"/>
  <c r="S4" i="2"/>
  <c r="C3" i="2"/>
  <c r="B5" i="4" s="1"/>
  <c r="D3" i="2"/>
  <c r="K3" i="2" s="1"/>
  <c r="E3" i="2"/>
  <c r="F3" i="2"/>
  <c r="G3" i="2"/>
  <c r="H3" i="2"/>
  <c r="D5" i="4"/>
  <c r="L3" i="2"/>
  <c r="S3" i="2"/>
  <c r="O2" i="2"/>
  <c r="F4" i="4" s="1"/>
  <c r="K2" i="2"/>
  <c r="S2" i="2"/>
  <c r="G2" i="2"/>
  <c r="G6" i="1"/>
  <c r="D25" i="4" l="1"/>
  <c r="U23" i="2"/>
  <c r="F35" i="2"/>
  <c r="F31" i="2"/>
  <c r="F19" i="2"/>
  <c r="F33" i="2"/>
  <c r="F29" i="2"/>
  <c r="F27" i="2"/>
  <c r="F23" i="2"/>
  <c r="F17" i="2"/>
  <c r="O7" i="2"/>
  <c r="F9" i="4" s="1"/>
  <c r="G8" i="4"/>
  <c r="O9" i="2"/>
  <c r="F11" i="4" s="1"/>
  <c r="G10" i="4"/>
  <c r="O11" i="2"/>
  <c r="F13" i="4" s="1"/>
  <c r="G12" i="4"/>
  <c r="O6" i="2"/>
  <c r="F8" i="4" s="1"/>
  <c r="G7" i="4"/>
  <c r="O4" i="2"/>
  <c r="F6" i="4" s="1"/>
  <c r="G5" i="4"/>
  <c r="D9" i="4"/>
  <c r="O8" i="2"/>
  <c r="F10" i="4" s="1"/>
  <c r="G9" i="4"/>
  <c r="G19" i="4"/>
  <c r="H23" i="2"/>
  <c r="V23" i="2"/>
  <c r="D4" i="2"/>
  <c r="B6" i="4"/>
  <c r="F13" i="2"/>
  <c r="F15" i="2"/>
  <c r="P2" i="2"/>
  <c r="H4" i="4" s="1"/>
  <c r="G15" i="4"/>
  <c r="G25" i="4"/>
  <c r="F9" i="2"/>
  <c r="H7" i="2"/>
  <c r="H14" i="2"/>
  <c r="H18" i="2"/>
  <c r="G21" i="4"/>
  <c r="H20" i="2"/>
  <c r="H36" i="2"/>
  <c r="H28" i="2"/>
  <c r="G26" i="4"/>
  <c r="F4" i="2"/>
  <c r="O12" i="2"/>
  <c r="P8" i="2" l="1"/>
  <c r="H10" i="4" s="1"/>
  <c r="P11" i="2"/>
  <c r="H13" i="4" s="1"/>
  <c r="P6" i="2"/>
  <c r="H8" i="4" s="1"/>
  <c r="G4" i="4"/>
  <c r="O3" i="2"/>
  <c r="O10" i="2"/>
  <c r="P10" i="2" s="1"/>
  <c r="H12" i="4" s="1"/>
  <c r="G11" i="4"/>
  <c r="O5" i="2"/>
  <c r="F7" i="4" s="1"/>
  <c r="G6" i="4"/>
  <c r="P7" i="2"/>
  <c r="H9" i="4" s="1"/>
  <c r="K4" i="2"/>
  <c r="D5" i="2"/>
  <c r="P12" i="2"/>
  <c r="H14" i="4" s="1"/>
  <c r="F14" i="4"/>
  <c r="P9" i="2"/>
  <c r="H11" i="4" s="1"/>
  <c r="O13" i="2"/>
  <c r="F15" i="4" s="1"/>
  <c r="P4" i="2"/>
  <c r="H6" i="4" s="1"/>
  <c r="F12" i="4" l="1"/>
  <c r="P5" i="2"/>
  <c r="H7" i="4" s="1"/>
  <c r="F5" i="4"/>
  <c r="P3" i="2"/>
  <c r="H5" i="4" s="1"/>
  <c r="K5" i="2"/>
  <c r="D6" i="2"/>
  <c r="O14" i="2"/>
  <c r="F16" i="4" s="1"/>
  <c r="P13" i="2"/>
  <c r="H15" i="4" s="1"/>
  <c r="K6" i="2" l="1"/>
  <c r="D7" i="2"/>
  <c r="O15" i="2"/>
  <c r="F17" i="4" s="1"/>
  <c r="P14" i="2"/>
  <c r="H16" i="4" s="1"/>
  <c r="K7" i="2" l="1"/>
  <c r="D8" i="2"/>
  <c r="O16" i="2"/>
  <c r="F18" i="4" s="1"/>
  <c r="P15" i="2"/>
  <c r="H17" i="4" s="1"/>
  <c r="K8" i="2" l="1"/>
  <c r="D9" i="2"/>
  <c r="P16" i="2"/>
  <c r="H18" i="4" s="1"/>
  <c r="O17" i="2"/>
  <c r="F19" i="4" s="1"/>
  <c r="K9" i="2" l="1"/>
  <c r="D10" i="2"/>
  <c r="P17" i="2"/>
  <c r="H19" i="4" s="1"/>
  <c r="O18" i="2"/>
  <c r="F20" i="4" s="1"/>
  <c r="K10" i="2" l="1"/>
  <c r="D11" i="2"/>
  <c r="P18" i="2"/>
  <c r="H20" i="4" s="1"/>
  <c r="O19" i="2"/>
  <c r="F21" i="4" s="1"/>
  <c r="K11" i="2" l="1"/>
  <c r="D12" i="2"/>
  <c r="O20" i="2"/>
  <c r="F22" i="4" s="1"/>
  <c r="P19" i="2"/>
  <c r="H21" i="4" s="1"/>
  <c r="K12" i="2" l="1"/>
  <c r="D13" i="2"/>
  <c r="P20" i="2"/>
  <c r="H22" i="4" s="1"/>
  <c r="O21" i="2"/>
  <c r="F23" i="4" s="1"/>
  <c r="K13" i="2" l="1"/>
  <c r="D14" i="2"/>
  <c r="O22" i="2"/>
  <c r="F24" i="4" s="1"/>
  <c r="P21" i="2"/>
  <c r="H23" i="4" s="1"/>
  <c r="K14" i="2" l="1"/>
  <c r="D15" i="2"/>
  <c r="O23" i="2"/>
  <c r="F25" i="4" s="1"/>
  <c r="P22" i="2"/>
  <c r="H24" i="4" s="1"/>
  <c r="D16" i="2" l="1"/>
  <c r="K15" i="2"/>
  <c r="O24" i="2"/>
  <c r="F26" i="4" s="1"/>
  <c r="P23" i="2"/>
  <c r="H25" i="4" s="1"/>
  <c r="K16" i="2" l="1"/>
  <c r="D17" i="2"/>
  <c r="P24" i="2"/>
  <c r="H26" i="4" s="1"/>
  <c r="O25" i="2"/>
  <c r="K17" i="2" l="1"/>
  <c r="D18" i="2"/>
  <c r="P25" i="2"/>
  <c r="O26" i="2"/>
  <c r="K18" i="2" l="1"/>
  <c r="D19" i="2"/>
  <c r="O27" i="2"/>
  <c r="P26" i="2"/>
  <c r="K19" i="2" l="1"/>
  <c r="D20" i="2"/>
  <c r="O28" i="2"/>
  <c r="P27" i="2"/>
  <c r="D21" i="2" l="1"/>
  <c r="K20" i="2"/>
  <c r="P28" i="2"/>
  <c r="O29" i="2"/>
  <c r="K21" i="2" l="1"/>
  <c r="D22" i="2"/>
  <c r="O30" i="2"/>
  <c r="P29" i="2"/>
  <c r="K22" i="2" l="1"/>
  <c r="D23" i="2"/>
  <c r="O31" i="2"/>
  <c r="P30" i="2"/>
  <c r="K23" i="2" l="1"/>
  <c r="D24" i="2"/>
  <c r="O32" i="2"/>
  <c r="P31" i="2"/>
  <c r="K24" i="2" l="1"/>
  <c r="D25" i="2"/>
  <c r="O33" i="2"/>
  <c r="P32" i="2"/>
  <c r="K25" i="2" l="1"/>
  <c r="D26" i="2"/>
  <c r="P33" i="2"/>
  <c r="O34" i="2"/>
  <c r="K26" i="2" l="1"/>
  <c r="D27" i="2"/>
  <c r="P34" i="2"/>
  <c r="O35" i="2"/>
  <c r="P35" i="2" s="1"/>
  <c r="L2" i="2"/>
  <c r="H2" i="2"/>
  <c r="E2" i="2"/>
  <c r="C2" i="2"/>
  <c r="B4" i="4" s="1"/>
  <c r="K27" i="2" l="1"/>
  <c r="D28" i="2"/>
  <c r="O36" i="2"/>
  <c r="F2" i="2"/>
  <c r="D4" i="4"/>
  <c r="G4" i="1"/>
  <c r="K28" i="2" l="1"/>
  <c r="D29" i="2"/>
  <c r="M32" i="2"/>
  <c r="M19" i="2"/>
  <c r="M13" i="2"/>
  <c r="M25" i="2"/>
  <c r="M18" i="2"/>
  <c r="M22" i="2"/>
  <c r="M3" i="2"/>
  <c r="M5" i="2"/>
  <c r="O37" i="2"/>
  <c r="P37" i="2" s="1"/>
  <c r="P36" i="2"/>
  <c r="G1" i="1"/>
  <c r="G5" i="1"/>
  <c r="M21" i="2" s="1"/>
  <c r="N5" i="2" l="1"/>
  <c r="E7" i="4" s="1"/>
  <c r="T5" i="2"/>
  <c r="C7" i="4" s="1"/>
  <c r="N22" i="2"/>
  <c r="Q22" i="2" s="1"/>
  <c r="T22" i="2"/>
  <c r="C24" i="4" s="1"/>
  <c r="N25" i="2"/>
  <c r="T25" i="2"/>
  <c r="N19" i="2"/>
  <c r="Q19" i="2" s="1"/>
  <c r="T19" i="2"/>
  <c r="C21" i="4" s="1"/>
  <c r="N3" i="2"/>
  <c r="Q3" i="2" s="1"/>
  <c r="T3" i="2"/>
  <c r="C5" i="4" s="1"/>
  <c r="N18" i="2"/>
  <c r="Q18" i="2" s="1"/>
  <c r="T18" i="2"/>
  <c r="C20" i="4" s="1"/>
  <c r="N13" i="2"/>
  <c r="Q13" i="2" s="1"/>
  <c r="T13" i="2"/>
  <c r="C15" i="4" s="1"/>
  <c r="N21" i="2"/>
  <c r="Q21" i="2" s="1"/>
  <c r="T21" i="2"/>
  <c r="C23" i="4" s="1"/>
  <c r="M4" i="2"/>
  <c r="M17" i="2"/>
  <c r="M20" i="2"/>
  <c r="M34" i="2"/>
  <c r="M24" i="2"/>
  <c r="M8" i="2"/>
  <c r="M30" i="2"/>
  <c r="M33" i="2"/>
  <c r="M26" i="2"/>
  <c r="K29" i="2"/>
  <c r="D30" i="2"/>
  <c r="Q5" i="2"/>
  <c r="I7" i="4" s="1"/>
  <c r="Q25" i="2"/>
  <c r="M9" i="2"/>
  <c r="M6" i="2"/>
  <c r="M11" i="2"/>
  <c r="M27" i="2"/>
  <c r="M15" i="2"/>
  <c r="M28" i="2"/>
  <c r="N28" i="2" s="1"/>
  <c r="M16" i="2"/>
  <c r="M23" i="2"/>
  <c r="M29" i="2"/>
  <c r="M7" i="2"/>
  <c r="M12" i="2"/>
  <c r="M35" i="2"/>
  <c r="M14" i="2"/>
  <c r="M36" i="2"/>
  <c r="M10" i="2"/>
  <c r="M31" i="2"/>
  <c r="M37" i="2"/>
  <c r="M2" i="2"/>
  <c r="T2" i="2" s="1"/>
  <c r="C4" i="4" s="1"/>
  <c r="E15" i="4" l="1"/>
  <c r="N29" i="2"/>
  <c r="Q29" i="2" s="1"/>
  <c r="I21" i="4"/>
  <c r="B18" i="3"/>
  <c r="I24" i="4"/>
  <c r="B21" i="3"/>
  <c r="E21" i="4"/>
  <c r="E24" i="4"/>
  <c r="E20" i="4"/>
  <c r="E23" i="4"/>
  <c r="I15" i="4"/>
  <c r="B12" i="3"/>
  <c r="B2" i="3"/>
  <c r="I5" i="4"/>
  <c r="I23" i="4"/>
  <c r="B20" i="3"/>
  <c r="R22" i="2"/>
  <c r="C21" i="3" s="1"/>
  <c r="I20" i="4"/>
  <c r="R19" i="2"/>
  <c r="C18" i="3" s="1"/>
  <c r="B17" i="3"/>
  <c r="N14" i="2"/>
  <c r="T14" i="2"/>
  <c r="C16" i="4" s="1"/>
  <c r="N6" i="2"/>
  <c r="Q6" i="2" s="1"/>
  <c r="I8" i="4" s="1"/>
  <c r="T6" i="2"/>
  <c r="C8" i="4" s="1"/>
  <c r="N26" i="2"/>
  <c r="T26" i="2"/>
  <c r="N24" i="2"/>
  <c r="T24" i="2"/>
  <c r="C26" i="4" s="1"/>
  <c r="N4" i="2"/>
  <c r="E6" i="4" s="1"/>
  <c r="T4" i="2"/>
  <c r="C6" i="4" s="1"/>
  <c r="N15" i="2"/>
  <c r="Q15" i="2" s="1"/>
  <c r="T15" i="2"/>
  <c r="C17" i="4" s="1"/>
  <c r="N9" i="2"/>
  <c r="Q9" i="2" s="1"/>
  <c r="T9" i="2"/>
  <c r="C11" i="4" s="1"/>
  <c r="T29" i="2"/>
  <c r="T28" i="2"/>
  <c r="N10" i="2"/>
  <c r="Q10" i="2" s="1"/>
  <c r="T10" i="2"/>
  <c r="C12" i="4" s="1"/>
  <c r="N12" i="2"/>
  <c r="Q12" i="2" s="1"/>
  <c r="T12" i="2"/>
  <c r="C14" i="4" s="1"/>
  <c r="B4" i="3"/>
  <c r="N23" i="2"/>
  <c r="E25" i="4" s="1"/>
  <c r="T23" i="2"/>
  <c r="C25" i="4" s="1"/>
  <c r="N27" i="2"/>
  <c r="Q27" i="2" s="1"/>
  <c r="T27" i="2"/>
  <c r="E5" i="4"/>
  <c r="N20" i="2"/>
  <c r="T20" i="2"/>
  <c r="C22" i="4" s="1"/>
  <c r="N7" i="2"/>
  <c r="T7" i="2"/>
  <c r="C9" i="4" s="1"/>
  <c r="B24" i="3"/>
  <c r="N16" i="2"/>
  <c r="E18" i="4" s="1"/>
  <c r="T16" i="2"/>
  <c r="C18" i="4" s="1"/>
  <c r="N11" i="2"/>
  <c r="Q11" i="2" s="1"/>
  <c r="T11" i="2"/>
  <c r="C13" i="4" s="1"/>
  <c r="N8" i="2"/>
  <c r="E10" i="4" s="1"/>
  <c r="T8" i="2"/>
  <c r="C10" i="4" s="1"/>
  <c r="N17" i="2"/>
  <c r="T17" i="2"/>
  <c r="C19" i="4" s="1"/>
  <c r="Q16" i="2"/>
  <c r="I18" i="4" s="1"/>
  <c r="K30" i="2"/>
  <c r="D31" i="2"/>
  <c r="Q7" i="2"/>
  <c r="B6" i="3" s="1"/>
  <c r="E9" i="4"/>
  <c r="Q28" i="2"/>
  <c r="Q14" i="2"/>
  <c r="I16" i="4" s="1"/>
  <c r="E16" i="4"/>
  <c r="E11" i="4"/>
  <c r="N2" i="2"/>
  <c r="E12" i="4" l="1"/>
  <c r="E17" i="4"/>
  <c r="E8" i="4"/>
  <c r="R6" i="2"/>
  <c r="K8" i="4" s="1"/>
  <c r="Q23" i="2"/>
  <c r="I25" i="4" s="1"/>
  <c r="E13" i="4"/>
  <c r="K24" i="4"/>
  <c r="B27" i="3"/>
  <c r="B28" i="3"/>
  <c r="R28" i="2"/>
  <c r="C27" i="3" s="1"/>
  <c r="B26" i="3"/>
  <c r="R14" i="2"/>
  <c r="C13" i="3" s="1"/>
  <c r="B15" i="3"/>
  <c r="R13" i="2"/>
  <c r="C12" i="3" s="1"/>
  <c r="B11" i="3"/>
  <c r="I14" i="4"/>
  <c r="R12" i="2"/>
  <c r="K14" i="4" s="1"/>
  <c r="I17" i="4"/>
  <c r="R15" i="2"/>
  <c r="K17" i="4" s="1"/>
  <c r="I13" i="4"/>
  <c r="R11" i="2"/>
  <c r="K13" i="4" s="1"/>
  <c r="B10" i="3"/>
  <c r="I12" i="4"/>
  <c r="B9" i="3"/>
  <c r="R10" i="2"/>
  <c r="C9" i="3" s="1"/>
  <c r="I11" i="4"/>
  <c r="Q17" i="2"/>
  <c r="E19" i="4"/>
  <c r="Q20" i="2"/>
  <c r="E22" i="4"/>
  <c r="Q2" i="2"/>
  <c r="I4" i="4" s="1"/>
  <c r="E4" i="4"/>
  <c r="B22" i="3"/>
  <c r="R16" i="2"/>
  <c r="K18" i="4" s="1"/>
  <c r="E14" i="4"/>
  <c r="Q24" i="2"/>
  <c r="E26" i="4"/>
  <c r="B5" i="3"/>
  <c r="Q8" i="2"/>
  <c r="Q4" i="2"/>
  <c r="B3" i="3" s="1"/>
  <c r="Q26" i="2"/>
  <c r="R27" i="2" s="1"/>
  <c r="C26" i="3" s="1"/>
  <c r="K31" i="2"/>
  <c r="D32" i="2"/>
  <c r="B8" i="3"/>
  <c r="R29" i="2"/>
  <c r="R7" i="2"/>
  <c r="C6" i="3" s="1"/>
  <c r="I9" i="4"/>
  <c r="T30" i="2"/>
  <c r="N30" i="2"/>
  <c r="Q30" i="2" s="1"/>
  <c r="B14" i="3"/>
  <c r="B13" i="3"/>
  <c r="K16" i="4"/>
  <c r="C5" i="3" l="1"/>
  <c r="C11" i="3"/>
  <c r="K12" i="4"/>
  <c r="R23" i="2"/>
  <c r="K25" i="4" s="1"/>
  <c r="B1" i="3"/>
  <c r="R3" i="2"/>
  <c r="C2" i="3" s="1"/>
  <c r="C15" i="3"/>
  <c r="C10" i="3"/>
  <c r="C28" i="3"/>
  <c r="C14" i="3"/>
  <c r="I10" i="4"/>
  <c r="B7" i="3"/>
  <c r="R9" i="2"/>
  <c r="K9" i="4"/>
  <c r="I22" i="4"/>
  <c r="R20" i="2"/>
  <c r="B19" i="3"/>
  <c r="R21" i="2"/>
  <c r="R26" i="2"/>
  <c r="B25" i="3"/>
  <c r="I26" i="4"/>
  <c r="R25" i="2"/>
  <c r="B23" i="3"/>
  <c r="R24" i="2"/>
  <c r="I6" i="4"/>
  <c r="R4" i="2"/>
  <c r="R5" i="2"/>
  <c r="R8" i="2"/>
  <c r="I19" i="4"/>
  <c r="R18" i="2"/>
  <c r="B16" i="3"/>
  <c r="R17" i="2"/>
  <c r="K32" i="2"/>
  <c r="D33" i="2"/>
  <c r="B29" i="3"/>
  <c r="R30" i="2"/>
  <c r="C29" i="3" s="1"/>
  <c r="T31" i="2"/>
  <c r="N31" i="2"/>
  <c r="Q31" i="2" s="1"/>
  <c r="C22" i="3" l="1"/>
  <c r="K5" i="4"/>
  <c r="C17" i="3"/>
  <c r="K20" i="4"/>
  <c r="C4" i="3"/>
  <c r="K7" i="4"/>
  <c r="C25" i="3"/>
  <c r="C19" i="3"/>
  <c r="K22" i="4"/>
  <c r="C3" i="3"/>
  <c r="K6" i="4"/>
  <c r="C24" i="3"/>
  <c r="K19" i="4"/>
  <c r="C16" i="3"/>
  <c r="K10" i="4"/>
  <c r="C7" i="3"/>
  <c r="K23" i="4"/>
  <c r="C20" i="3"/>
  <c r="C23" i="3"/>
  <c r="K26" i="4"/>
  <c r="K11" i="4"/>
  <c r="C8" i="3"/>
  <c r="B30" i="3"/>
  <c r="R31" i="2"/>
  <c r="C30" i="3" s="1"/>
  <c r="K33" i="2"/>
  <c r="D34" i="2"/>
  <c r="T32" i="2"/>
  <c r="N32" i="2"/>
  <c r="Q32" i="2" s="1"/>
  <c r="K34" i="2" l="1"/>
  <c r="D35" i="2"/>
  <c r="T33" i="2"/>
  <c r="N33" i="2"/>
  <c r="Q33" i="2" s="1"/>
  <c r="B31" i="3"/>
  <c r="R32" i="2"/>
  <c r="C31" i="3" s="1"/>
  <c r="B32" i="3" l="1"/>
  <c r="R33" i="2"/>
  <c r="C32" i="3" s="1"/>
  <c r="K35" i="2"/>
  <c r="D36" i="2"/>
  <c r="T34" i="2"/>
  <c r="N34" i="2"/>
  <c r="Q34" i="2" s="1"/>
  <c r="K36" i="2" l="1"/>
  <c r="D37" i="2"/>
  <c r="K37" i="2" s="1"/>
  <c r="T35" i="2"/>
  <c r="N35" i="2"/>
  <c r="Q35" i="2" s="1"/>
  <c r="R34" i="2"/>
  <c r="C33" i="3" s="1"/>
  <c r="B33" i="3"/>
  <c r="R35" i="2" l="1"/>
  <c r="C34" i="3" s="1"/>
  <c r="B34" i="3"/>
  <c r="T37" i="2"/>
  <c r="N37" i="2"/>
  <c r="Q37" i="2" s="1"/>
  <c r="T36" i="2"/>
  <c r="N36" i="2"/>
  <c r="Q36" i="2" s="1"/>
  <c r="B36" i="3" l="1"/>
  <c r="R37" i="2"/>
  <c r="C36" i="3" s="1"/>
  <c r="R36" i="2"/>
  <c r="C35" i="3" s="1"/>
  <c r="B35" i="3"/>
</calcChain>
</file>

<file path=xl/sharedStrings.xml><?xml version="1.0" encoding="utf-8"?>
<sst xmlns="http://schemas.openxmlformats.org/spreadsheetml/2006/main" count="134" uniqueCount="62">
  <si>
    <t>Игэ-1</t>
  </si>
  <si>
    <t>Угол вн. Трения</t>
  </si>
  <si>
    <t>Сцепление</t>
  </si>
  <si>
    <t>Игэ-2</t>
  </si>
  <si>
    <t>Параметр</t>
  </si>
  <si>
    <t>Значение</t>
  </si>
  <si>
    <t>ед. изм.</t>
  </si>
  <si>
    <t>град</t>
  </si>
  <si>
    <t>кПа</t>
  </si>
  <si>
    <t>Игэ-3</t>
  </si>
  <si>
    <t>Плотность</t>
  </si>
  <si>
    <t>Игэ-4</t>
  </si>
  <si>
    <t>Отметка, м</t>
  </si>
  <si>
    <t>Распределённая нагрузка на бровку</t>
  </si>
  <si>
    <t>Расстояние от бровки до нагрузки</t>
  </si>
  <si>
    <t>Ширина нагрузки</t>
  </si>
  <si>
    <t>м</t>
  </si>
  <si>
    <t>ИГЭ-1</t>
  </si>
  <si>
    <t>ИГЭ-2</t>
  </si>
  <si>
    <t>ИГЭ-3</t>
  </si>
  <si>
    <t>y_a</t>
  </si>
  <si>
    <t>y_b</t>
  </si>
  <si>
    <t>Etta, радианы</t>
  </si>
  <si>
    <t>Etta, градусы</t>
  </si>
  <si>
    <t>P_q</t>
  </si>
  <si>
    <t xml:space="preserve">Коэффициент надежности по нагрузке </t>
  </si>
  <si>
    <t>Вес грунта</t>
  </si>
  <si>
    <t>Вес грунта активн.</t>
  </si>
  <si>
    <t>Вес грунта пассивн.</t>
  </si>
  <si>
    <t>Вес воды</t>
  </si>
  <si>
    <t>Нагрузка транспорта</t>
  </si>
  <si>
    <t>Лямбда активная</t>
  </si>
  <si>
    <t>Плотность грунта</t>
  </si>
  <si>
    <t>Лябда пассивная</t>
  </si>
  <si>
    <t>Давление от грунта</t>
  </si>
  <si>
    <t>Давление от воды</t>
  </si>
  <si>
    <t>Давление от транспорта</t>
  </si>
  <si>
    <t>Суммарное активное давление</t>
  </si>
  <si>
    <t>Уровень воды</t>
  </si>
  <si>
    <t>Глубина котлована</t>
  </si>
  <si>
    <t>Суммарное пассивное давление</t>
  </si>
  <si>
    <t>Результирующая</t>
  </si>
  <si>
    <t>Эквивалентная сила</t>
  </si>
  <si>
    <t>кН/м^3</t>
  </si>
  <si>
    <t>Пассивное давление грунта</t>
  </si>
  <si>
    <t>Коэф. Трения</t>
  </si>
  <si>
    <t>Номер силы</t>
  </si>
  <si>
    <t>Q, кН</t>
  </si>
  <si>
    <t>Давление от грунта+Давление от транспорта</t>
  </si>
  <si>
    <t>Плотность грунта, кН/м3</t>
  </si>
  <si>
    <t>σq=q+∑γiyi, кПа</t>
  </si>
  <si>
    <t>γf*λa</t>
  </si>
  <si>
    <t>σa=σqγfλa, кПа</t>
  </si>
  <si>
    <t>σр=∑γiyi, кПа</t>
  </si>
  <si>
    <t>Кγfλр</t>
  </si>
  <si>
    <t>σp'=σpγfλp, кПа</t>
  </si>
  <si>
    <t>σa-σp', кПа</t>
  </si>
  <si>
    <t>Таблица 1. Сбор нагрузок и вычисление элементарных сил</t>
  </si>
  <si>
    <t>-</t>
  </si>
  <si>
    <t>Момент удерживающий</t>
  </si>
  <si>
    <t>Момент сдвигающий</t>
  </si>
  <si>
    <t>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</si>
</sst>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GOST Type AU"/>
      <charset val="204"/>
    </font>
    <font>
      <sz val="12"/>
      <color rgb="FF000000"/>
      <name val="GOST Type AU"/>
      <charset val="204"/>
    </font>
    <font>
      <b/>
      <sz val="12"/>
      <color rgb="FF000000"/>
      <name val="GOST Type AU"/>
      <charset val="204"/>
    </font>
    <font>
      <sz val="16"/>
      <color theme="1"/>
      <name val="GOST Type AU"/>
      <charset val="204"/>
    </font>
    <font>
      <sz val="12"/>
      <color rgb="FFFF0000"/>
      <name val="GOST Type AU"/>
      <charset val="204"/>
    </font>
    <font>
      <sz val="12"/>
      <name val="GOST Type AU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1" fontId="1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D33" sqref="D33"/>
    </sheetView>
  </sheetViews>
  <sheetFormatPr defaultRowHeight="15.75" x14ac:dyDescent="0.25"/>
  <cols>
    <col min="1" max="1" width="18.28515625" style="1" customWidth="1"/>
    <col min="2" max="3" width="9.140625" style="1"/>
    <col min="4" max="4" width="8.42578125" style="1" customWidth="1"/>
    <col min="5" max="5" width="22.85546875" style="1" customWidth="1"/>
    <col min="6" max="6" width="17.7109375" style="1" customWidth="1"/>
    <col min="7" max="16384" width="9.140625" style="1"/>
  </cols>
  <sheetData>
    <row r="1" spans="1:8" x14ac:dyDescent="0.25">
      <c r="A1" s="30" t="s">
        <v>0</v>
      </c>
      <c r="B1" s="30"/>
      <c r="C1" s="30"/>
      <c r="E1" s="30" t="s">
        <v>13</v>
      </c>
      <c r="F1" s="30"/>
      <c r="G1" s="1">
        <f>90/(2.5+y_a*TAN('Сбор нагрузок'!E2))</f>
        <v>25.71211024586286</v>
      </c>
      <c r="H1" s="1" t="s">
        <v>8</v>
      </c>
    </row>
    <row r="2" spans="1:8" x14ac:dyDescent="0.25">
      <c r="A2" s="1" t="s">
        <v>4</v>
      </c>
      <c r="B2" s="1" t="s">
        <v>5</v>
      </c>
      <c r="C2" s="1" t="s">
        <v>6</v>
      </c>
      <c r="E2" s="31" t="s">
        <v>14</v>
      </c>
      <c r="F2" s="31"/>
      <c r="G2" s="2">
        <v>1</v>
      </c>
      <c r="H2" s="1" t="s">
        <v>16</v>
      </c>
    </row>
    <row r="3" spans="1:8" x14ac:dyDescent="0.25">
      <c r="A3" s="1" t="s">
        <v>10</v>
      </c>
      <c r="B3" s="2">
        <v>18.899999999999999</v>
      </c>
      <c r="C3" s="1" t="s">
        <v>43</v>
      </c>
      <c r="E3" s="30" t="s">
        <v>15</v>
      </c>
      <c r="F3" s="30"/>
      <c r="G3" s="2">
        <v>2</v>
      </c>
      <c r="H3" s="1" t="s">
        <v>16</v>
      </c>
    </row>
    <row r="4" spans="1:8" x14ac:dyDescent="0.25">
      <c r="A4" s="1" t="s">
        <v>1</v>
      </c>
      <c r="B4" s="2">
        <v>22</v>
      </c>
      <c r="C4" s="1" t="s">
        <v>7</v>
      </c>
      <c r="F4" s="1" t="s">
        <v>20</v>
      </c>
      <c r="G4" s="1">
        <f>ROUND(a/TAN('Сбор нагрузок'!E2),3)</f>
        <v>1.4830000000000001</v>
      </c>
      <c r="H4" s="1" t="s">
        <v>16</v>
      </c>
    </row>
    <row r="5" spans="1:8" x14ac:dyDescent="0.25">
      <c r="A5" s="1" t="s">
        <v>2</v>
      </c>
      <c r="B5" s="2">
        <v>7</v>
      </c>
      <c r="C5" s="1" t="s">
        <v>8</v>
      </c>
      <c r="D5" s="1">
        <v>1.65</v>
      </c>
      <c r="F5" s="1" t="s">
        <v>21</v>
      </c>
      <c r="G5" s="1">
        <f>ROUND((b_0+2*TAN('Сбор нагрузок'!E2)*y_a)/TAN('Сбор нагрузок'!E2),3)</f>
        <v>5.931</v>
      </c>
      <c r="H5" s="1" t="s">
        <v>16</v>
      </c>
    </row>
    <row r="6" spans="1:8" ht="15.75" customHeight="1" x14ac:dyDescent="0.25">
      <c r="A6" s="30" t="s">
        <v>3</v>
      </c>
      <c r="B6" s="30"/>
      <c r="C6" s="30"/>
      <c r="F6" s="1" t="s">
        <v>24</v>
      </c>
      <c r="G6" s="1">
        <f>30*gamma_q</f>
        <v>33</v>
      </c>
      <c r="H6" s="1" t="s">
        <v>8</v>
      </c>
    </row>
    <row r="7" spans="1:8" ht="15.75" customHeight="1" x14ac:dyDescent="0.25">
      <c r="A7" s="30"/>
      <c r="B7" s="30"/>
      <c r="C7" s="30"/>
    </row>
    <row r="8" spans="1:8" x14ac:dyDescent="0.25">
      <c r="A8" s="1" t="s">
        <v>4</v>
      </c>
      <c r="B8" s="1" t="s">
        <v>5</v>
      </c>
      <c r="C8" s="1" t="s">
        <v>6</v>
      </c>
    </row>
    <row r="9" spans="1:8" x14ac:dyDescent="0.25">
      <c r="A9" s="1" t="s">
        <v>10</v>
      </c>
      <c r="B9" s="2">
        <v>19.899999999999999</v>
      </c>
      <c r="C9" s="1" t="s">
        <v>43</v>
      </c>
      <c r="E9" s="1" t="s">
        <v>29</v>
      </c>
      <c r="F9" s="1">
        <f>1*gamma_wod</f>
        <v>1.1000000000000001</v>
      </c>
    </row>
    <row r="10" spans="1:8" x14ac:dyDescent="0.25">
      <c r="A10" s="1" t="s">
        <v>1</v>
      </c>
      <c r="B10" s="2">
        <v>19</v>
      </c>
      <c r="C10" s="1" t="s">
        <v>7</v>
      </c>
      <c r="E10" s="1" t="s">
        <v>38</v>
      </c>
      <c r="F10" s="1">
        <v>6.6</v>
      </c>
      <c r="G10" s="1" t="s">
        <v>16</v>
      </c>
    </row>
    <row r="11" spans="1:8" x14ac:dyDescent="0.25">
      <c r="A11" s="1" t="s">
        <v>2</v>
      </c>
      <c r="B11" s="2">
        <v>10</v>
      </c>
      <c r="C11" s="1" t="s">
        <v>8</v>
      </c>
      <c r="D11" s="1">
        <v>1.2</v>
      </c>
      <c r="E11" s="1" t="s">
        <v>39</v>
      </c>
      <c r="F11" s="1">
        <v>9</v>
      </c>
      <c r="G11" s="1" t="s">
        <v>16</v>
      </c>
    </row>
    <row r="12" spans="1:8" ht="15.75" customHeight="1" x14ac:dyDescent="0.25">
      <c r="A12" s="30" t="s">
        <v>9</v>
      </c>
      <c r="B12" s="30"/>
      <c r="C12" s="30"/>
    </row>
    <row r="13" spans="1:8" ht="15.75" customHeight="1" x14ac:dyDescent="0.25">
      <c r="A13" s="30"/>
      <c r="B13" s="30"/>
      <c r="C13" s="30"/>
    </row>
    <row r="14" spans="1:8" x14ac:dyDescent="0.25">
      <c r="A14" s="1" t="s">
        <v>4</v>
      </c>
      <c r="B14" s="1" t="s">
        <v>5</v>
      </c>
      <c r="C14" s="1" t="s">
        <v>6</v>
      </c>
    </row>
    <row r="15" spans="1:8" x14ac:dyDescent="0.25">
      <c r="A15" s="1" t="s">
        <v>10</v>
      </c>
      <c r="B15" s="2">
        <v>18.7</v>
      </c>
      <c r="C15" s="1" t="s">
        <v>43</v>
      </c>
    </row>
    <row r="16" spans="1:8" x14ac:dyDescent="0.25">
      <c r="A16" s="1" t="s">
        <v>1</v>
      </c>
      <c r="B16" s="2">
        <v>20</v>
      </c>
      <c r="C16" s="1" t="s">
        <v>7</v>
      </c>
    </row>
    <row r="17" spans="1:4" x14ac:dyDescent="0.25">
      <c r="A17" s="1" t="s">
        <v>2</v>
      </c>
      <c r="B17" s="2">
        <v>30</v>
      </c>
      <c r="C17" s="1" t="s">
        <v>8</v>
      </c>
      <c r="D17" s="1">
        <v>1.6</v>
      </c>
    </row>
    <row r="18" spans="1:4" ht="15.75" customHeight="1" x14ac:dyDescent="0.25">
      <c r="A18" s="30" t="s">
        <v>11</v>
      </c>
      <c r="B18" s="30"/>
      <c r="C18" s="30"/>
    </row>
    <row r="19" spans="1:4" ht="15.75" customHeight="1" x14ac:dyDescent="0.25">
      <c r="A19" s="30"/>
      <c r="B19" s="30"/>
      <c r="C19" s="30"/>
    </row>
    <row r="20" spans="1:4" x14ac:dyDescent="0.25">
      <c r="A20" s="1" t="s">
        <v>4</v>
      </c>
      <c r="B20" s="1" t="s">
        <v>5</v>
      </c>
      <c r="C20" s="1" t="s">
        <v>6</v>
      </c>
    </row>
    <row r="21" spans="1:4" x14ac:dyDescent="0.25">
      <c r="A21" s="1" t="s">
        <v>10</v>
      </c>
      <c r="B21" s="2">
        <v>18.7</v>
      </c>
      <c r="C21" s="1" t="s">
        <v>43</v>
      </c>
    </row>
    <row r="22" spans="1:4" x14ac:dyDescent="0.25">
      <c r="A22" s="1" t="s">
        <v>1</v>
      </c>
      <c r="B22" s="2">
        <v>20</v>
      </c>
      <c r="C22" s="1" t="s">
        <v>7</v>
      </c>
    </row>
    <row r="23" spans="1:4" x14ac:dyDescent="0.25">
      <c r="A23" s="1" t="s">
        <v>2</v>
      </c>
      <c r="B23" s="2">
        <v>30</v>
      </c>
      <c r="C23" s="1" t="s">
        <v>8</v>
      </c>
      <c r="D23" s="1">
        <v>1.6</v>
      </c>
    </row>
    <row r="26" spans="1:4" x14ac:dyDescent="0.25">
      <c r="A26" s="30" t="s">
        <v>25</v>
      </c>
      <c r="B26" s="30"/>
      <c r="C26" s="30"/>
    </row>
    <row r="27" spans="1:4" x14ac:dyDescent="0.25">
      <c r="A27" s="1" t="s">
        <v>27</v>
      </c>
      <c r="B27" s="2">
        <v>1.2</v>
      </c>
    </row>
    <row r="28" spans="1:4" x14ac:dyDescent="0.25">
      <c r="A28" s="1" t="s">
        <v>28</v>
      </c>
      <c r="B28" s="2">
        <v>0.8</v>
      </c>
    </row>
    <row r="29" spans="1:4" x14ac:dyDescent="0.25">
      <c r="A29" s="1" t="s">
        <v>29</v>
      </c>
      <c r="B29" s="2">
        <v>1.1000000000000001</v>
      </c>
    </row>
    <row r="30" spans="1:4" x14ac:dyDescent="0.25">
      <c r="A30" s="1" t="s">
        <v>30</v>
      </c>
      <c r="B30" s="2">
        <v>1.1000000000000001</v>
      </c>
    </row>
  </sheetData>
  <mergeCells count="8">
    <mergeCell ref="E1:F1"/>
    <mergeCell ref="E2:F2"/>
    <mergeCell ref="E3:F3"/>
    <mergeCell ref="A26:C26"/>
    <mergeCell ref="A1:C1"/>
    <mergeCell ref="A12:C13"/>
    <mergeCell ref="A6:C7"/>
    <mergeCell ref="A18:C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opLeftCell="C6" zoomScale="85" zoomScaleNormal="85" workbookViewId="0">
      <selection activeCell="T23" sqref="T23"/>
    </sheetView>
  </sheetViews>
  <sheetFormatPr defaultColWidth="17.7109375" defaultRowHeight="23.25" customHeight="1" x14ac:dyDescent="0.25"/>
  <cols>
    <col min="1" max="1" width="17.7109375" style="6"/>
    <col min="2" max="2" width="14.42578125" style="6" customWidth="1"/>
    <col min="3" max="3" width="11.7109375" style="6" customWidth="1"/>
    <col min="4" max="4" width="18.42578125" style="6" customWidth="1"/>
    <col min="5" max="5" width="13.7109375" style="6" customWidth="1"/>
    <col min="6" max="6" width="8.140625" style="6" customWidth="1"/>
    <col min="7" max="7" width="14.42578125" style="6" customWidth="1"/>
    <col min="8" max="8" width="8.7109375" style="6" customWidth="1"/>
    <col min="9" max="9" width="10.28515625" style="6" customWidth="1"/>
    <col min="10" max="10" width="11.140625" style="6" customWidth="1"/>
    <col min="11" max="11" width="12.42578125" style="6" customWidth="1"/>
    <col min="12" max="12" width="10" style="6" customWidth="1"/>
    <col min="13" max="16384" width="17.7109375" style="6"/>
  </cols>
  <sheetData>
    <row r="1" spans="1:23" ht="49.5" customHeight="1" x14ac:dyDescent="0.25">
      <c r="B1" s="4" t="s">
        <v>12</v>
      </c>
      <c r="C1" s="4" t="s">
        <v>32</v>
      </c>
      <c r="D1" s="4" t="s">
        <v>26</v>
      </c>
      <c r="E1" s="4" t="s">
        <v>22</v>
      </c>
      <c r="F1" s="4" t="s">
        <v>23</v>
      </c>
      <c r="G1" s="4" t="s">
        <v>22</v>
      </c>
      <c r="H1" s="4" t="s">
        <v>23</v>
      </c>
      <c r="I1" s="4" t="s">
        <v>31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44</v>
      </c>
      <c r="P1" s="4" t="s">
        <v>40</v>
      </c>
      <c r="Q1" s="4" t="s">
        <v>41</v>
      </c>
      <c r="R1" s="4" t="s">
        <v>42</v>
      </c>
      <c r="S1" s="6" t="s">
        <v>45</v>
      </c>
      <c r="T1" s="6" t="s">
        <v>48</v>
      </c>
    </row>
    <row r="2" spans="1:23" ht="23.25" customHeight="1" x14ac:dyDescent="0.25">
      <c r="A2" s="6" t="s">
        <v>17</v>
      </c>
      <c r="B2" s="5">
        <v>0</v>
      </c>
      <c r="C2" s="5">
        <f t="shared" ref="C2:C12" si="0">ro_ige_1</f>
        <v>18.899999999999999</v>
      </c>
      <c r="D2" s="5">
        <v>0</v>
      </c>
      <c r="E2" s="5">
        <f t="shared" ref="E2:E12" si="1">RADIANS(45-phi_ige_1/2)</f>
        <v>0.59341194567807209</v>
      </c>
      <c r="F2" s="5">
        <f>DEGREES(E2)</f>
        <v>34</v>
      </c>
      <c r="G2" s="5">
        <f t="shared" ref="G2:G12" si="2">RADIANS(45+phi_ige_1/2)</f>
        <v>0.97738438111682457</v>
      </c>
      <c r="H2" s="5">
        <f>DEGREES(G2)</f>
        <v>56</v>
      </c>
      <c r="I2" s="5">
        <f t="shared" ref="I2:I37" si="3">ROUND(TAN(E2)*TAN(E2)*gamma_akt,4)</f>
        <v>0.54600000000000004</v>
      </c>
      <c r="J2" s="5">
        <f t="shared" ref="J2:J37" si="4">ROUND(TAN(G2)*TAN(G2)*gamma_pass*S2,4)</f>
        <v>2.9013</v>
      </c>
      <c r="K2" s="5">
        <f t="shared" ref="K2:K3" si="5">D2</f>
        <v>0</v>
      </c>
      <c r="L2" s="5">
        <f>ROUND(IF(ABS(B2)&gt;Ur_wod,ABS(B2)*ro_wod,0),3)</f>
        <v>0</v>
      </c>
      <c r="M2" s="5">
        <f t="shared" ref="M2:M37" si="6">ROUND(IF(AND(ABS(B2)&gt;y_a,ABS(B2)&lt;y_b),P_q,0),3)</f>
        <v>0</v>
      </c>
      <c r="N2" s="5">
        <f>ROUND((K2+L2+M2)*I2,3)</f>
        <v>0</v>
      </c>
      <c r="O2" s="5">
        <f>ROUND(IF(ABS(B2)&gt;Z_kotlov,ABS(B2-B1)*C2,0),3)</f>
        <v>0</v>
      </c>
      <c r="P2" s="5">
        <f>O2*J2</f>
        <v>0</v>
      </c>
      <c r="Q2" s="5">
        <f>N2-P2</f>
        <v>0</v>
      </c>
      <c r="R2" s="5"/>
      <c r="S2" s="6">
        <f t="shared" ref="S2:S12" si="7">k_1</f>
        <v>1.65</v>
      </c>
      <c r="T2" s="6">
        <f>K2+M2</f>
        <v>0</v>
      </c>
      <c r="U2" s="6">
        <f t="shared" ref="U2:U22" si="8">TAN(E2)*TAN(E2)</f>
        <v>0.45496173929297029</v>
      </c>
      <c r="V2" s="6">
        <f t="shared" ref="V2:V22" si="9">TAN(G2)*TAN(G2)</f>
        <v>2.1979870253574347</v>
      </c>
      <c r="W2" s="6">
        <f>B3-B2</f>
        <v>-0.56999999999999995</v>
      </c>
    </row>
    <row r="3" spans="1:23" ht="23.25" customHeight="1" x14ac:dyDescent="0.25">
      <c r="A3" s="6" t="s">
        <v>17</v>
      </c>
      <c r="B3" s="5">
        <v>-0.56999999999999995</v>
      </c>
      <c r="C3" s="5">
        <f t="shared" si="0"/>
        <v>18.899999999999999</v>
      </c>
      <c r="D3" s="5">
        <f>(ABS(B3-B2)*C3+D2)</f>
        <v>10.772999999999998</v>
      </c>
      <c r="E3" s="5">
        <f t="shared" si="1"/>
        <v>0.59341194567807209</v>
      </c>
      <c r="F3" s="5">
        <f t="shared" ref="F3:H4" si="10">DEGREES(E3)</f>
        <v>34</v>
      </c>
      <c r="G3" s="5">
        <f t="shared" si="2"/>
        <v>0.97738438111682457</v>
      </c>
      <c r="H3" s="5">
        <f t="shared" si="10"/>
        <v>56</v>
      </c>
      <c r="I3" s="5">
        <f t="shared" si="3"/>
        <v>0.54600000000000004</v>
      </c>
      <c r="J3" s="5">
        <f t="shared" si="4"/>
        <v>2.9013</v>
      </c>
      <c r="K3" s="5">
        <f t="shared" si="5"/>
        <v>10.772999999999998</v>
      </c>
      <c r="L3" s="5">
        <f t="shared" ref="L3:L37" si="11">ROUND(IF(ABS(B3)&gt;Ur_wod,ABS(B3-B2)*ro_wod+L2,0),3)</f>
        <v>0</v>
      </c>
      <c r="M3" s="5">
        <f t="shared" si="6"/>
        <v>0</v>
      </c>
      <c r="N3" s="5">
        <f t="shared" ref="N3" si="12">ROUND((K3+L3+M3)*I3,3)</f>
        <v>5.8819999999999997</v>
      </c>
      <c r="O3" s="5">
        <f t="shared" ref="O3:O37" si="13">ROUND(IF(ABS(B3)&gt;Z_kotlov,ABS(B3-B2)*C3+O2,0),3)*J2</f>
        <v>0</v>
      </c>
      <c r="P3" s="5">
        <f t="shared" ref="P3" si="14">O3*J3</f>
        <v>0</v>
      </c>
      <c r="Q3" s="5">
        <f t="shared" ref="Q3" si="15">N3-P3</f>
        <v>5.8819999999999997</v>
      </c>
      <c r="R3" s="5">
        <f>ROUND(0.5*(Q3+Q2)*ABS(B3-B2),3)</f>
        <v>1.6759999999999999</v>
      </c>
      <c r="S3" s="6">
        <f t="shared" si="7"/>
        <v>1.65</v>
      </c>
      <c r="T3" s="6">
        <f t="shared" ref="T3:T37" si="16">K3+M3</f>
        <v>10.772999999999998</v>
      </c>
      <c r="U3" s="6">
        <f t="shared" si="8"/>
        <v>0.45496173929297029</v>
      </c>
      <c r="V3" s="6">
        <f t="shared" si="9"/>
        <v>2.1979870253574347</v>
      </c>
      <c r="W3" s="6">
        <f t="shared" ref="W3:W23" si="17">B4-B3</f>
        <v>-0.56999999999999995</v>
      </c>
    </row>
    <row r="4" spans="1:23" ht="23.25" customHeight="1" x14ac:dyDescent="0.25">
      <c r="A4" s="6" t="s">
        <v>17</v>
      </c>
      <c r="B4" s="5">
        <v>-1.1399999999999999</v>
      </c>
      <c r="C4" s="5">
        <f t="shared" si="0"/>
        <v>18.899999999999999</v>
      </c>
      <c r="D4" s="5">
        <f>(ABS(B4-B3)*C4+D3)</f>
        <v>21.545999999999996</v>
      </c>
      <c r="E4" s="5">
        <f t="shared" si="1"/>
        <v>0.59341194567807209</v>
      </c>
      <c r="F4" s="5">
        <f t="shared" si="10"/>
        <v>34</v>
      </c>
      <c r="G4" s="5">
        <f t="shared" si="2"/>
        <v>0.97738438111682457</v>
      </c>
      <c r="H4" s="5">
        <f t="shared" si="10"/>
        <v>56</v>
      </c>
      <c r="I4" s="5">
        <f t="shared" si="3"/>
        <v>0.54600000000000004</v>
      </c>
      <c r="J4" s="5">
        <f t="shared" si="4"/>
        <v>2.9013</v>
      </c>
      <c r="K4" s="5">
        <f t="shared" ref="K4:K5" si="18">D4</f>
        <v>21.545999999999996</v>
      </c>
      <c r="L4" s="5">
        <f t="shared" si="11"/>
        <v>0</v>
      </c>
      <c r="M4" s="5">
        <f t="shared" si="6"/>
        <v>0</v>
      </c>
      <c r="N4" s="5">
        <f>ROUND((K4+L4+M4)*I4,3)</f>
        <v>11.763999999999999</v>
      </c>
      <c r="O4" s="5">
        <f t="shared" si="13"/>
        <v>0</v>
      </c>
      <c r="P4" s="5">
        <f t="shared" ref="P4:P5" si="19">O4*J4</f>
        <v>0</v>
      </c>
      <c r="Q4" s="5">
        <f t="shared" ref="Q4:Q5" si="20">N4-P4</f>
        <v>11.763999999999999</v>
      </c>
      <c r="R4" s="5">
        <f>ROUND(0.5*(Q4+Q3)*ABS(B4-B3),3)</f>
        <v>5.0289999999999999</v>
      </c>
      <c r="S4" s="6">
        <f t="shared" si="7"/>
        <v>1.65</v>
      </c>
      <c r="T4" s="6">
        <f t="shared" si="16"/>
        <v>21.545999999999996</v>
      </c>
      <c r="U4" s="6">
        <f t="shared" si="8"/>
        <v>0.45496173929297029</v>
      </c>
      <c r="V4" s="6">
        <f t="shared" si="9"/>
        <v>2.1979870253574347</v>
      </c>
      <c r="W4" s="6">
        <f t="shared" si="17"/>
        <v>-0.57000000000000006</v>
      </c>
    </row>
    <row r="5" spans="1:23" ht="23.25" customHeight="1" x14ac:dyDescent="0.25">
      <c r="A5" s="6" t="s">
        <v>17</v>
      </c>
      <c r="B5" s="5">
        <v>-1.71</v>
      </c>
      <c r="C5" s="5">
        <f t="shared" si="0"/>
        <v>18.899999999999999</v>
      </c>
      <c r="D5" s="5">
        <f t="shared" ref="D5:D12" si="21">(ABS(B5-B4)*C5+D4)</f>
        <v>32.318999999999996</v>
      </c>
      <c r="E5" s="5">
        <f t="shared" si="1"/>
        <v>0.59341194567807209</v>
      </c>
      <c r="F5" s="5">
        <f t="shared" ref="F5" si="22">DEGREES(E5)</f>
        <v>34</v>
      </c>
      <c r="G5" s="5">
        <f t="shared" si="2"/>
        <v>0.97738438111682457</v>
      </c>
      <c r="H5" s="5">
        <f t="shared" ref="H5" si="23">DEGREES(G5)</f>
        <v>56</v>
      </c>
      <c r="I5" s="5">
        <f t="shared" si="3"/>
        <v>0.54600000000000004</v>
      </c>
      <c r="J5" s="5">
        <f t="shared" si="4"/>
        <v>2.9013</v>
      </c>
      <c r="K5" s="5">
        <f t="shared" si="18"/>
        <v>32.318999999999996</v>
      </c>
      <c r="L5" s="5">
        <f t="shared" si="11"/>
        <v>0</v>
      </c>
      <c r="M5" s="5">
        <f t="shared" si="6"/>
        <v>33</v>
      </c>
      <c r="N5" s="5">
        <f t="shared" ref="N5" si="24">ROUND((K5+L5+M5)*I5,3)</f>
        <v>35.664000000000001</v>
      </c>
      <c r="O5" s="5">
        <f t="shared" si="13"/>
        <v>0</v>
      </c>
      <c r="P5" s="5">
        <f t="shared" si="19"/>
        <v>0</v>
      </c>
      <c r="Q5" s="5">
        <f t="shared" si="20"/>
        <v>35.664000000000001</v>
      </c>
      <c r="R5" s="5">
        <f t="shared" ref="R5:R12" si="25">ROUND(0.5*(Q5+Q4)*ABS(B5-B4),3)</f>
        <v>13.516999999999999</v>
      </c>
      <c r="S5" s="6">
        <f t="shared" si="7"/>
        <v>1.65</v>
      </c>
      <c r="T5" s="6">
        <f t="shared" si="16"/>
        <v>65.318999999999988</v>
      </c>
      <c r="U5" s="6">
        <f t="shared" si="8"/>
        <v>0.45496173929297029</v>
      </c>
      <c r="V5" s="6">
        <f t="shared" si="9"/>
        <v>2.1979870253574347</v>
      </c>
      <c r="W5" s="6">
        <f t="shared" si="17"/>
        <v>-0.56999999999999984</v>
      </c>
    </row>
    <row r="6" spans="1:23" ht="23.25" customHeight="1" x14ac:dyDescent="0.25">
      <c r="A6" s="6" t="s">
        <v>17</v>
      </c>
      <c r="B6" s="5">
        <v>-2.2799999999999998</v>
      </c>
      <c r="C6" s="5">
        <f t="shared" si="0"/>
        <v>18.899999999999999</v>
      </c>
      <c r="D6" s="5">
        <f t="shared" si="21"/>
        <v>43.091999999999992</v>
      </c>
      <c r="E6" s="5">
        <f t="shared" si="1"/>
        <v>0.59341194567807209</v>
      </c>
      <c r="F6" s="5">
        <f t="shared" ref="F6" si="26">DEGREES(E6)</f>
        <v>34</v>
      </c>
      <c r="G6" s="5">
        <f t="shared" si="2"/>
        <v>0.97738438111682457</v>
      </c>
      <c r="H6" s="5">
        <f t="shared" ref="H6" si="27">DEGREES(G6)</f>
        <v>56</v>
      </c>
      <c r="I6" s="5">
        <f t="shared" si="3"/>
        <v>0.54600000000000004</v>
      </c>
      <c r="J6" s="5">
        <f t="shared" si="4"/>
        <v>2.9013</v>
      </c>
      <c r="K6" s="5">
        <f t="shared" ref="K6:K12" si="28">D6</f>
        <v>43.091999999999992</v>
      </c>
      <c r="L6" s="5">
        <f t="shared" si="11"/>
        <v>0</v>
      </c>
      <c r="M6" s="5">
        <f t="shared" si="6"/>
        <v>33</v>
      </c>
      <c r="N6" s="5">
        <f t="shared" ref="N6:N12" si="29">ROUND((K6+L6+M6)*I6,3)</f>
        <v>41.545999999999999</v>
      </c>
      <c r="O6" s="5">
        <f t="shared" si="13"/>
        <v>0</v>
      </c>
      <c r="P6" s="5">
        <f t="shared" ref="P6:P12" si="30">O6*J6</f>
        <v>0</v>
      </c>
      <c r="Q6" s="5">
        <f t="shared" ref="Q6:Q12" si="31">N6-P6</f>
        <v>41.545999999999999</v>
      </c>
      <c r="R6" s="5">
        <f t="shared" si="25"/>
        <v>22.004999999999999</v>
      </c>
      <c r="S6" s="6">
        <f t="shared" si="7"/>
        <v>1.65</v>
      </c>
      <c r="T6" s="6">
        <f t="shared" si="16"/>
        <v>76.091999999999985</v>
      </c>
      <c r="U6" s="6">
        <f t="shared" si="8"/>
        <v>0.45496173929297029</v>
      </c>
      <c r="V6" s="6">
        <f t="shared" si="9"/>
        <v>2.1979870253574347</v>
      </c>
      <c r="W6" s="6">
        <f t="shared" si="17"/>
        <v>-0.57000000000000028</v>
      </c>
    </row>
    <row r="7" spans="1:23" ht="23.25" customHeight="1" x14ac:dyDescent="0.25">
      <c r="A7" s="6" t="s">
        <v>17</v>
      </c>
      <c r="B7" s="5">
        <v>-2.85</v>
      </c>
      <c r="C7" s="5">
        <f t="shared" si="0"/>
        <v>18.899999999999999</v>
      </c>
      <c r="D7" s="5">
        <f t="shared" si="21"/>
        <v>53.864999999999995</v>
      </c>
      <c r="E7" s="5">
        <f t="shared" si="1"/>
        <v>0.59341194567807209</v>
      </c>
      <c r="F7" s="5">
        <f t="shared" ref="F7" si="32">DEGREES(E7)</f>
        <v>34</v>
      </c>
      <c r="G7" s="5">
        <f t="shared" si="2"/>
        <v>0.97738438111682457</v>
      </c>
      <c r="H7" s="5">
        <f t="shared" ref="H7" si="33">DEGREES(G7)</f>
        <v>56</v>
      </c>
      <c r="I7" s="5">
        <f t="shared" si="3"/>
        <v>0.54600000000000004</v>
      </c>
      <c r="J7" s="5">
        <f t="shared" si="4"/>
        <v>2.9013</v>
      </c>
      <c r="K7" s="5">
        <f t="shared" si="28"/>
        <v>53.864999999999995</v>
      </c>
      <c r="L7" s="5">
        <f t="shared" si="11"/>
        <v>0</v>
      </c>
      <c r="M7" s="5">
        <f t="shared" si="6"/>
        <v>33</v>
      </c>
      <c r="N7" s="5">
        <f t="shared" si="29"/>
        <v>47.427999999999997</v>
      </c>
      <c r="O7" s="5">
        <f t="shared" si="13"/>
        <v>0</v>
      </c>
      <c r="P7" s="5">
        <f t="shared" si="30"/>
        <v>0</v>
      </c>
      <c r="Q7" s="5">
        <f t="shared" si="31"/>
        <v>47.427999999999997</v>
      </c>
      <c r="R7" s="5">
        <f t="shared" si="25"/>
        <v>25.358000000000001</v>
      </c>
      <c r="S7" s="6">
        <f t="shared" si="7"/>
        <v>1.65</v>
      </c>
      <c r="T7" s="6">
        <f t="shared" si="16"/>
        <v>86.864999999999995</v>
      </c>
      <c r="U7" s="6">
        <f t="shared" si="8"/>
        <v>0.45496173929297029</v>
      </c>
      <c r="V7" s="6">
        <f t="shared" si="9"/>
        <v>2.1979870253574347</v>
      </c>
      <c r="W7" s="6">
        <f t="shared" si="17"/>
        <v>-0.56999999999999984</v>
      </c>
    </row>
    <row r="8" spans="1:23" ht="23.25" customHeight="1" x14ac:dyDescent="0.25">
      <c r="A8" s="6" t="s">
        <v>17</v>
      </c>
      <c r="B8" s="5">
        <v>-3.42</v>
      </c>
      <c r="C8" s="5">
        <f t="shared" si="0"/>
        <v>18.899999999999999</v>
      </c>
      <c r="D8" s="5">
        <f t="shared" si="21"/>
        <v>64.637999999999991</v>
      </c>
      <c r="E8" s="5">
        <f t="shared" si="1"/>
        <v>0.59341194567807209</v>
      </c>
      <c r="F8" s="5">
        <f t="shared" ref="F8" si="34">DEGREES(E8)</f>
        <v>34</v>
      </c>
      <c r="G8" s="5">
        <f t="shared" si="2"/>
        <v>0.97738438111682457</v>
      </c>
      <c r="H8" s="5">
        <f t="shared" ref="H8" si="35">DEGREES(G8)</f>
        <v>56</v>
      </c>
      <c r="I8" s="5">
        <f t="shared" si="3"/>
        <v>0.54600000000000004</v>
      </c>
      <c r="J8" s="5">
        <f t="shared" si="4"/>
        <v>2.9013</v>
      </c>
      <c r="K8" s="5">
        <f t="shared" si="28"/>
        <v>64.637999999999991</v>
      </c>
      <c r="L8" s="5">
        <f t="shared" si="11"/>
        <v>0</v>
      </c>
      <c r="M8" s="5">
        <f t="shared" si="6"/>
        <v>33</v>
      </c>
      <c r="N8" s="5">
        <f>ROUND((K8+L8+M8)*I8,3)</f>
        <v>53.31</v>
      </c>
      <c r="O8" s="5">
        <f t="shared" si="13"/>
        <v>0</v>
      </c>
      <c r="P8" s="5">
        <f t="shared" si="30"/>
        <v>0</v>
      </c>
      <c r="Q8" s="5">
        <f t="shared" si="31"/>
        <v>53.31</v>
      </c>
      <c r="R8" s="5">
        <f t="shared" si="25"/>
        <v>28.71</v>
      </c>
      <c r="S8" s="6">
        <f t="shared" si="7"/>
        <v>1.65</v>
      </c>
      <c r="T8" s="6">
        <f t="shared" si="16"/>
        <v>97.637999999999991</v>
      </c>
      <c r="U8" s="6">
        <f t="shared" si="8"/>
        <v>0.45496173929297029</v>
      </c>
      <c r="V8" s="6">
        <f t="shared" si="9"/>
        <v>2.1979870253574347</v>
      </c>
      <c r="W8" s="6">
        <f t="shared" si="17"/>
        <v>-0.57000000000000028</v>
      </c>
    </row>
    <row r="9" spans="1:23" ht="23.25" customHeight="1" x14ac:dyDescent="0.25">
      <c r="A9" s="6" t="s">
        <v>17</v>
      </c>
      <c r="B9" s="5">
        <v>-3.99</v>
      </c>
      <c r="C9" s="5">
        <f t="shared" si="0"/>
        <v>18.899999999999999</v>
      </c>
      <c r="D9" s="5">
        <f t="shared" si="21"/>
        <v>75.411000000000001</v>
      </c>
      <c r="E9" s="5">
        <f t="shared" si="1"/>
        <v>0.59341194567807209</v>
      </c>
      <c r="F9" s="5">
        <f t="shared" ref="F9" si="36">DEGREES(E9)</f>
        <v>34</v>
      </c>
      <c r="G9" s="5">
        <f t="shared" si="2"/>
        <v>0.97738438111682457</v>
      </c>
      <c r="H9" s="5">
        <f t="shared" ref="H9" si="37">DEGREES(G9)</f>
        <v>56</v>
      </c>
      <c r="I9" s="5">
        <f t="shared" si="3"/>
        <v>0.54600000000000004</v>
      </c>
      <c r="J9" s="5">
        <f t="shared" si="4"/>
        <v>2.9013</v>
      </c>
      <c r="K9" s="5">
        <f t="shared" si="28"/>
        <v>75.411000000000001</v>
      </c>
      <c r="L9" s="5">
        <f t="shared" si="11"/>
        <v>0</v>
      </c>
      <c r="M9" s="5">
        <f t="shared" si="6"/>
        <v>33</v>
      </c>
      <c r="N9" s="5">
        <f t="shared" si="29"/>
        <v>59.192</v>
      </c>
      <c r="O9" s="5">
        <f t="shared" si="13"/>
        <v>0</v>
      </c>
      <c r="P9" s="5">
        <f t="shared" si="30"/>
        <v>0</v>
      </c>
      <c r="Q9" s="5">
        <f t="shared" si="31"/>
        <v>59.192</v>
      </c>
      <c r="R9" s="5">
        <f t="shared" si="25"/>
        <v>32.063000000000002</v>
      </c>
      <c r="S9" s="6">
        <f t="shared" si="7"/>
        <v>1.65</v>
      </c>
      <c r="T9" s="6">
        <f t="shared" si="16"/>
        <v>108.411</v>
      </c>
      <c r="U9" s="6">
        <f t="shared" si="8"/>
        <v>0.45496173929297029</v>
      </c>
      <c r="V9" s="6">
        <f t="shared" si="9"/>
        <v>2.1979870253574347</v>
      </c>
      <c r="W9" s="6">
        <f t="shared" si="17"/>
        <v>-0.5699999999999994</v>
      </c>
    </row>
    <row r="10" spans="1:23" ht="23.25" customHeight="1" x14ac:dyDescent="0.25">
      <c r="A10" s="6" t="s">
        <v>17</v>
      </c>
      <c r="B10" s="5">
        <v>-4.5599999999999996</v>
      </c>
      <c r="C10" s="5">
        <f t="shared" si="0"/>
        <v>18.899999999999999</v>
      </c>
      <c r="D10" s="5">
        <f t="shared" si="21"/>
        <v>86.183999999999983</v>
      </c>
      <c r="E10" s="5">
        <f t="shared" si="1"/>
        <v>0.59341194567807209</v>
      </c>
      <c r="F10" s="5">
        <f t="shared" ref="F10" si="38">DEGREES(E10)</f>
        <v>34</v>
      </c>
      <c r="G10" s="5">
        <f t="shared" si="2"/>
        <v>0.97738438111682457</v>
      </c>
      <c r="H10" s="5">
        <f t="shared" ref="H10" si="39">DEGREES(G10)</f>
        <v>56</v>
      </c>
      <c r="I10" s="5">
        <f t="shared" si="3"/>
        <v>0.54600000000000004</v>
      </c>
      <c r="J10" s="5">
        <f t="shared" si="4"/>
        <v>2.9013</v>
      </c>
      <c r="K10" s="5">
        <f t="shared" si="28"/>
        <v>86.183999999999983</v>
      </c>
      <c r="L10" s="5">
        <f t="shared" si="11"/>
        <v>0</v>
      </c>
      <c r="M10" s="5">
        <f t="shared" si="6"/>
        <v>33</v>
      </c>
      <c r="N10" s="5">
        <f t="shared" si="29"/>
        <v>65.073999999999998</v>
      </c>
      <c r="O10" s="5">
        <f t="shared" si="13"/>
        <v>0</v>
      </c>
      <c r="P10" s="5">
        <f t="shared" si="30"/>
        <v>0</v>
      </c>
      <c r="Q10" s="5">
        <f t="shared" si="31"/>
        <v>65.073999999999998</v>
      </c>
      <c r="R10" s="5">
        <f t="shared" si="25"/>
        <v>35.415999999999997</v>
      </c>
      <c r="S10" s="6">
        <f t="shared" si="7"/>
        <v>1.65</v>
      </c>
      <c r="T10" s="6">
        <f t="shared" si="16"/>
        <v>119.18399999999998</v>
      </c>
      <c r="U10" s="6">
        <f t="shared" si="8"/>
        <v>0.45496173929297029</v>
      </c>
      <c r="V10" s="6">
        <f t="shared" si="9"/>
        <v>2.1979870253574347</v>
      </c>
      <c r="W10" s="6">
        <f t="shared" si="17"/>
        <v>-0.57000000000000028</v>
      </c>
    </row>
    <row r="11" spans="1:23" ht="23.25" customHeight="1" x14ac:dyDescent="0.25">
      <c r="A11" s="6" t="s">
        <v>17</v>
      </c>
      <c r="B11" s="5">
        <v>-5.13</v>
      </c>
      <c r="C11" s="5">
        <f t="shared" si="0"/>
        <v>18.899999999999999</v>
      </c>
      <c r="D11" s="5">
        <f t="shared" si="21"/>
        <v>96.956999999999994</v>
      </c>
      <c r="E11" s="5">
        <f t="shared" si="1"/>
        <v>0.59341194567807209</v>
      </c>
      <c r="F11" s="5">
        <f t="shared" ref="F11" si="40">DEGREES(E11)</f>
        <v>34</v>
      </c>
      <c r="G11" s="5">
        <f t="shared" si="2"/>
        <v>0.97738438111682457</v>
      </c>
      <c r="H11" s="5">
        <f t="shared" ref="H11" si="41">DEGREES(G11)</f>
        <v>56</v>
      </c>
      <c r="I11" s="5">
        <f t="shared" si="3"/>
        <v>0.54600000000000004</v>
      </c>
      <c r="J11" s="5">
        <f t="shared" si="4"/>
        <v>2.9013</v>
      </c>
      <c r="K11" s="5">
        <f t="shared" si="28"/>
        <v>96.956999999999994</v>
      </c>
      <c r="L11" s="5">
        <f t="shared" si="11"/>
        <v>0</v>
      </c>
      <c r="M11" s="5">
        <f t="shared" si="6"/>
        <v>33</v>
      </c>
      <c r="N11" s="5">
        <f t="shared" si="29"/>
        <v>70.956999999999994</v>
      </c>
      <c r="O11" s="5">
        <f t="shared" si="13"/>
        <v>0</v>
      </c>
      <c r="P11" s="5">
        <f t="shared" si="30"/>
        <v>0</v>
      </c>
      <c r="Q11" s="5">
        <f t="shared" si="31"/>
        <v>70.956999999999994</v>
      </c>
      <c r="R11" s="5">
        <f t="shared" si="25"/>
        <v>38.768999999999998</v>
      </c>
      <c r="S11" s="6">
        <f t="shared" si="7"/>
        <v>1.65</v>
      </c>
      <c r="T11" s="6">
        <f t="shared" si="16"/>
        <v>129.95699999999999</v>
      </c>
      <c r="U11" s="6">
        <f t="shared" si="8"/>
        <v>0.45496173929297029</v>
      </c>
      <c r="V11" s="6">
        <f t="shared" si="9"/>
        <v>2.1979870253574347</v>
      </c>
      <c r="W11" s="6">
        <f t="shared" si="17"/>
        <v>-0.57000000000000028</v>
      </c>
    </row>
    <row r="12" spans="1:23" s="7" customFormat="1" ht="23.25" customHeight="1" x14ac:dyDescent="0.25">
      <c r="A12" s="7" t="s">
        <v>17</v>
      </c>
      <c r="B12" s="3">
        <v>-5.7</v>
      </c>
      <c r="C12" s="3">
        <f t="shared" si="0"/>
        <v>18.899999999999999</v>
      </c>
      <c r="D12" s="3">
        <f t="shared" si="21"/>
        <v>107.73</v>
      </c>
      <c r="E12" s="3">
        <f t="shared" si="1"/>
        <v>0.59341194567807209</v>
      </c>
      <c r="F12" s="3">
        <f t="shared" ref="F12:F14" si="42">DEGREES(E12)</f>
        <v>34</v>
      </c>
      <c r="G12" s="3">
        <f t="shared" si="2"/>
        <v>0.97738438111682457</v>
      </c>
      <c r="H12" s="3">
        <f t="shared" ref="H12:H14" si="43">DEGREES(G12)</f>
        <v>56</v>
      </c>
      <c r="I12" s="5">
        <f t="shared" si="3"/>
        <v>0.54600000000000004</v>
      </c>
      <c r="J12" s="5">
        <f t="shared" si="4"/>
        <v>2.9013</v>
      </c>
      <c r="K12" s="3">
        <f t="shared" si="28"/>
        <v>107.73</v>
      </c>
      <c r="L12" s="3">
        <f t="shared" si="11"/>
        <v>0</v>
      </c>
      <c r="M12" s="3">
        <f t="shared" si="6"/>
        <v>33</v>
      </c>
      <c r="N12" s="3">
        <f t="shared" si="29"/>
        <v>76.838999999999999</v>
      </c>
      <c r="O12" s="3">
        <f t="shared" si="13"/>
        <v>0</v>
      </c>
      <c r="P12" s="3">
        <f t="shared" si="30"/>
        <v>0</v>
      </c>
      <c r="Q12" s="3">
        <f t="shared" si="31"/>
        <v>76.838999999999999</v>
      </c>
      <c r="R12" s="3">
        <f t="shared" si="25"/>
        <v>42.122</v>
      </c>
      <c r="S12" s="6">
        <f t="shared" si="7"/>
        <v>1.65</v>
      </c>
      <c r="T12" s="6">
        <f t="shared" si="16"/>
        <v>140.73000000000002</v>
      </c>
      <c r="U12" s="6">
        <f t="shared" si="8"/>
        <v>0.45496173929297029</v>
      </c>
      <c r="V12" s="6">
        <f t="shared" si="9"/>
        <v>2.1979870253574347</v>
      </c>
      <c r="W12" s="6"/>
    </row>
    <row r="13" spans="1:23" s="7" customFormat="1" ht="23.25" customHeight="1" x14ac:dyDescent="0.25">
      <c r="A13" s="7" t="s">
        <v>18</v>
      </c>
      <c r="B13" s="3">
        <v>-5.7</v>
      </c>
      <c r="C13" s="3">
        <f t="shared" ref="C13:C18" si="44">ro_ige_2</f>
        <v>19.899999999999999</v>
      </c>
      <c r="D13" s="3">
        <f t="shared" ref="D13" si="45">(ABS(B13-B12)*C13+D12)</f>
        <v>107.73</v>
      </c>
      <c r="E13" s="3">
        <f t="shared" ref="E13:E18" si="46">RADIANS(45-phi_ige_2/2)</f>
        <v>0.61959188445798696</v>
      </c>
      <c r="F13" s="3">
        <f t="shared" si="42"/>
        <v>35.5</v>
      </c>
      <c r="G13" s="3">
        <f t="shared" ref="G13:G18" si="47">RADIANS(45+phi_ige_2/2)</f>
        <v>0.95120444233690959</v>
      </c>
      <c r="H13" s="3">
        <f t="shared" si="43"/>
        <v>54.5</v>
      </c>
      <c r="I13" s="5">
        <f t="shared" si="3"/>
        <v>0.61050000000000004</v>
      </c>
      <c r="J13" s="5">
        <f t="shared" si="4"/>
        <v>1.8868</v>
      </c>
      <c r="K13" s="3">
        <f t="shared" ref="K13" si="48">D13</f>
        <v>107.73</v>
      </c>
      <c r="L13" s="3">
        <f t="shared" si="11"/>
        <v>0</v>
      </c>
      <c r="M13" s="3">
        <f t="shared" si="6"/>
        <v>33</v>
      </c>
      <c r="N13" s="3">
        <f t="shared" ref="N13" si="49">ROUND((K13+L13+M13)*I13,3)</f>
        <v>85.915999999999997</v>
      </c>
      <c r="O13" s="3">
        <f t="shared" si="13"/>
        <v>0</v>
      </c>
      <c r="P13" s="3">
        <f t="shared" ref="P13" si="50">O13*J13</f>
        <v>0</v>
      </c>
      <c r="Q13" s="3">
        <f t="shared" ref="Q13" si="51">N13-P13</f>
        <v>85.915999999999997</v>
      </c>
      <c r="R13" s="3">
        <f t="shared" ref="R13" si="52">ROUND(0.5*(Q13+Q12)*ABS(B13-B12),3)</f>
        <v>0</v>
      </c>
      <c r="S13" s="6">
        <f t="shared" ref="S13:S18" si="53">k_2</f>
        <v>1.2</v>
      </c>
      <c r="T13" s="6">
        <f t="shared" si="16"/>
        <v>140.73000000000002</v>
      </c>
      <c r="U13" s="6">
        <f t="shared" si="8"/>
        <v>0.50878700070992178</v>
      </c>
      <c r="V13" s="6">
        <f t="shared" si="9"/>
        <v>1.9654590203851066</v>
      </c>
      <c r="W13" s="6">
        <f t="shared" si="17"/>
        <v>-0.55999999999999961</v>
      </c>
    </row>
    <row r="14" spans="1:23" ht="23.25" customHeight="1" x14ac:dyDescent="0.25">
      <c r="A14" s="6" t="s">
        <v>18</v>
      </c>
      <c r="B14" s="5">
        <v>-6.26</v>
      </c>
      <c r="C14" s="3">
        <f t="shared" si="44"/>
        <v>19.899999999999999</v>
      </c>
      <c r="D14" s="5">
        <f t="shared" ref="D14:D15" si="54">(ABS(B14-B13)*C14+D13)</f>
        <v>118.874</v>
      </c>
      <c r="E14" s="3">
        <f t="shared" si="46"/>
        <v>0.61959188445798696</v>
      </c>
      <c r="F14" s="5">
        <f t="shared" si="42"/>
        <v>35.5</v>
      </c>
      <c r="G14" s="3">
        <f t="shared" si="47"/>
        <v>0.95120444233690959</v>
      </c>
      <c r="H14" s="5">
        <f t="shared" si="43"/>
        <v>54.5</v>
      </c>
      <c r="I14" s="5">
        <f t="shared" si="3"/>
        <v>0.61050000000000004</v>
      </c>
      <c r="J14" s="5">
        <f t="shared" si="4"/>
        <v>1.8868</v>
      </c>
      <c r="K14" s="5">
        <f t="shared" ref="K14:K15" si="55">D14</f>
        <v>118.874</v>
      </c>
      <c r="L14" s="5">
        <f t="shared" si="11"/>
        <v>0</v>
      </c>
      <c r="M14" s="5">
        <f t="shared" si="6"/>
        <v>0</v>
      </c>
      <c r="N14" s="5">
        <f t="shared" ref="N14:N15" si="56">ROUND((K14+L14+M14)*I14,3)</f>
        <v>72.572999999999993</v>
      </c>
      <c r="O14" s="5">
        <f t="shared" si="13"/>
        <v>0</v>
      </c>
      <c r="P14" s="5">
        <f t="shared" ref="P14:P15" si="57">O14*J14</f>
        <v>0</v>
      </c>
      <c r="Q14" s="5">
        <f t="shared" ref="Q14:Q15" si="58">N14-P14</f>
        <v>72.572999999999993</v>
      </c>
      <c r="R14" s="5">
        <f t="shared" ref="R14:R15" si="59">ROUND(0.5*(Q14+Q13)*ABS(B14-B13),3)</f>
        <v>44.377000000000002</v>
      </c>
      <c r="S14" s="6">
        <f t="shared" si="53"/>
        <v>1.2</v>
      </c>
      <c r="T14" s="6">
        <f t="shared" si="16"/>
        <v>118.874</v>
      </c>
      <c r="U14" s="6">
        <f t="shared" si="8"/>
        <v>0.50878700070992178</v>
      </c>
      <c r="V14" s="6">
        <f t="shared" si="9"/>
        <v>1.9654590203851066</v>
      </c>
      <c r="W14" s="6">
        <f t="shared" si="17"/>
        <v>-0.5600000000000005</v>
      </c>
    </row>
    <row r="15" spans="1:23" ht="23.25" customHeight="1" x14ac:dyDescent="0.25">
      <c r="A15" s="6" t="s">
        <v>18</v>
      </c>
      <c r="B15" s="5">
        <v>-6.82</v>
      </c>
      <c r="C15" s="3">
        <f t="shared" si="44"/>
        <v>19.899999999999999</v>
      </c>
      <c r="D15" s="5">
        <f t="shared" si="54"/>
        <v>130.018</v>
      </c>
      <c r="E15" s="3">
        <f t="shared" si="46"/>
        <v>0.61959188445798696</v>
      </c>
      <c r="F15" s="5">
        <f t="shared" ref="F15" si="60">DEGREES(E15)</f>
        <v>35.5</v>
      </c>
      <c r="G15" s="3">
        <f t="shared" si="47"/>
        <v>0.95120444233690959</v>
      </c>
      <c r="H15" s="5">
        <f t="shared" ref="H15" si="61">DEGREES(G15)</f>
        <v>54.5</v>
      </c>
      <c r="I15" s="5">
        <f t="shared" si="3"/>
        <v>0.61050000000000004</v>
      </c>
      <c r="J15" s="5">
        <f t="shared" si="4"/>
        <v>1.8868</v>
      </c>
      <c r="K15" s="5">
        <f t="shared" si="55"/>
        <v>130.018</v>
      </c>
      <c r="L15" s="5">
        <f t="shared" si="11"/>
        <v>0.61599999999999999</v>
      </c>
      <c r="M15" s="5">
        <f t="shared" si="6"/>
        <v>0</v>
      </c>
      <c r="N15" s="5">
        <f t="shared" si="56"/>
        <v>79.751999999999995</v>
      </c>
      <c r="O15" s="5">
        <f t="shared" si="13"/>
        <v>0</v>
      </c>
      <c r="P15" s="5">
        <f t="shared" si="57"/>
        <v>0</v>
      </c>
      <c r="Q15" s="5">
        <f t="shared" si="58"/>
        <v>79.751999999999995</v>
      </c>
      <c r="R15" s="5">
        <f t="shared" si="59"/>
        <v>42.651000000000003</v>
      </c>
      <c r="S15" s="6">
        <f t="shared" si="53"/>
        <v>1.2</v>
      </c>
      <c r="T15" s="6">
        <f t="shared" si="16"/>
        <v>130.018</v>
      </c>
      <c r="U15" s="6">
        <f t="shared" si="8"/>
        <v>0.50878700070992178</v>
      </c>
      <c r="V15" s="6">
        <f t="shared" si="9"/>
        <v>1.9654590203851066</v>
      </c>
      <c r="W15" s="6">
        <f t="shared" si="17"/>
        <v>-0.55999999999999961</v>
      </c>
    </row>
    <row r="16" spans="1:23" ht="23.25" customHeight="1" x14ac:dyDescent="0.25">
      <c r="A16" s="6" t="s">
        <v>18</v>
      </c>
      <c r="B16" s="5">
        <v>-7.38</v>
      </c>
      <c r="C16" s="3">
        <f t="shared" si="44"/>
        <v>19.899999999999999</v>
      </c>
      <c r="D16" s="5">
        <f t="shared" ref="D16:D18" si="62">(ABS(B16-B15)*C16+D15)</f>
        <v>141.16199999999998</v>
      </c>
      <c r="E16" s="3">
        <f t="shared" si="46"/>
        <v>0.61959188445798696</v>
      </c>
      <c r="F16" s="5">
        <f t="shared" ref="F16" si="63">DEGREES(E16)</f>
        <v>35.5</v>
      </c>
      <c r="G16" s="3">
        <f t="shared" si="47"/>
        <v>0.95120444233690959</v>
      </c>
      <c r="H16" s="5">
        <f t="shared" ref="H16" si="64">DEGREES(G16)</f>
        <v>54.5</v>
      </c>
      <c r="I16" s="5">
        <f t="shared" si="3"/>
        <v>0.61050000000000004</v>
      </c>
      <c r="J16" s="5">
        <f t="shared" si="4"/>
        <v>1.8868</v>
      </c>
      <c r="K16" s="5">
        <f t="shared" ref="K16:K18" si="65">D16</f>
        <v>141.16199999999998</v>
      </c>
      <c r="L16" s="5">
        <f t="shared" si="11"/>
        <v>1.232</v>
      </c>
      <c r="M16" s="5">
        <f t="shared" si="6"/>
        <v>0</v>
      </c>
      <c r="N16" s="5">
        <f t="shared" ref="N16:N18" si="66">ROUND((K16+L16+M16)*I16,3)</f>
        <v>86.932000000000002</v>
      </c>
      <c r="O16" s="5">
        <f t="shared" si="13"/>
        <v>0</v>
      </c>
      <c r="P16" s="5">
        <f t="shared" ref="P16:P18" si="67">O16*J16</f>
        <v>0</v>
      </c>
      <c r="Q16" s="5">
        <f t="shared" ref="Q16:Q18" si="68">N16-P16</f>
        <v>86.932000000000002</v>
      </c>
      <c r="R16" s="5">
        <f t="shared" ref="R16:R18" si="69">ROUND(0.5*(Q16+Q15)*ABS(B16-B15),3)</f>
        <v>46.671999999999997</v>
      </c>
      <c r="S16" s="6">
        <f t="shared" si="53"/>
        <v>1.2</v>
      </c>
      <c r="T16" s="6">
        <f t="shared" si="16"/>
        <v>141.16199999999998</v>
      </c>
      <c r="U16" s="6">
        <f t="shared" si="8"/>
        <v>0.50878700070992178</v>
      </c>
      <c r="V16" s="6">
        <f t="shared" si="9"/>
        <v>1.9654590203851066</v>
      </c>
      <c r="W16" s="6">
        <f t="shared" si="17"/>
        <v>-0.5600000000000005</v>
      </c>
    </row>
    <row r="17" spans="1:23" ht="23.25" customHeight="1" x14ac:dyDescent="0.25">
      <c r="A17" s="6" t="s">
        <v>18</v>
      </c>
      <c r="B17" s="5">
        <v>-7.94</v>
      </c>
      <c r="C17" s="3">
        <f t="shared" si="44"/>
        <v>19.899999999999999</v>
      </c>
      <c r="D17" s="5">
        <f t="shared" si="62"/>
        <v>152.30599999999998</v>
      </c>
      <c r="E17" s="3">
        <f t="shared" si="46"/>
        <v>0.61959188445798696</v>
      </c>
      <c r="F17" s="5">
        <f t="shared" ref="F17" si="70">DEGREES(E17)</f>
        <v>35.5</v>
      </c>
      <c r="G17" s="3">
        <f t="shared" si="47"/>
        <v>0.95120444233690959</v>
      </c>
      <c r="H17" s="5">
        <f t="shared" ref="H17" si="71">DEGREES(G17)</f>
        <v>54.5</v>
      </c>
      <c r="I17" s="5">
        <f t="shared" si="3"/>
        <v>0.61050000000000004</v>
      </c>
      <c r="J17" s="5">
        <f t="shared" si="4"/>
        <v>1.8868</v>
      </c>
      <c r="K17" s="5">
        <f t="shared" si="65"/>
        <v>152.30599999999998</v>
      </c>
      <c r="L17" s="5">
        <f t="shared" si="11"/>
        <v>1.8480000000000001</v>
      </c>
      <c r="M17" s="5">
        <f t="shared" si="6"/>
        <v>0</v>
      </c>
      <c r="N17" s="5">
        <f t="shared" si="66"/>
        <v>94.111000000000004</v>
      </c>
      <c r="O17" s="5">
        <f t="shared" si="13"/>
        <v>0</v>
      </c>
      <c r="P17" s="5">
        <f t="shared" si="67"/>
        <v>0</v>
      </c>
      <c r="Q17" s="5">
        <f t="shared" si="68"/>
        <v>94.111000000000004</v>
      </c>
      <c r="R17" s="5">
        <f t="shared" si="69"/>
        <v>50.692</v>
      </c>
      <c r="S17" s="6">
        <f t="shared" si="53"/>
        <v>1.2</v>
      </c>
      <c r="T17" s="6">
        <f t="shared" si="16"/>
        <v>152.30599999999998</v>
      </c>
      <c r="U17" s="6">
        <f t="shared" si="8"/>
        <v>0.50878700070992178</v>
      </c>
      <c r="V17" s="6">
        <f t="shared" si="9"/>
        <v>1.9654590203851066</v>
      </c>
      <c r="W17" s="6">
        <f t="shared" si="17"/>
        <v>-0.55999999999999961</v>
      </c>
    </row>
    <row r="18" spans="1:23" s="7" customFormat="1" ht="23.25" customHeight="1" x14ac:dyDescent="0.25">
      <c r="A18" s="7" t="s">
        <v>18</v>
      </c>
      <c r="B18" s="3">
        <v>-8.5</v>
      </c>
      <c r="C18" s="3">
        <f t="shared" si="44"/>
        <v>19.899999999999999</v>
      </c>
      <c r="D18" s="3">
        <f t="shared" si="62"/>
        <v>163.44999999999999</v>
      </c>
      <c r="E18" s="3">
        <f t="shared" si="46"/>
        <v>0.61959188445798696</v>
      </c>
      <c r="F18" s="3">
        <f t="shared" ref="F18:F20" si="72">DEGREES(E18)</f>
        <v>35.5</v>
      </c>
      <c r="G18" s="3">
        <f t="shared" si="47"/>
        <v>0.95120444233690959</v>
      </c>
      <c r="H18" s="3">
        <f t="shared" ref="H18:H20" si="73">DEGREES(G18)</f>
        <v>54.5</v>
      </c>
      <c r="I18" s="5">
        <f t="shared" si="3"/>
        <v>0.61050000000000004</v>
      </c>
      <c r="J18" s="5">
        <f t="shared" si="4"/>
        <v>1.8868</v>
      </c>
      <c r="K18" s="3">
        <f t="shared" si="65"/>
        <v>163.44999999999999</v>
      </c>
      <c r="L18" s="3">
        <f t="shared" si="11"/>
        <v>2.464</v>
      </c>
      <c r="M18" s="3">
        <f t="shared" si="6"/>
        <v>0</v>
      </c>
      <c r="N18" s="3">
        <f t="shared" si="66"/>
        <v>101.29</v>
      </c>
      <c r="O18" s="3">
        <f t="shared" si="13"/>
        <v>0</v>
      </c>
      <c r="P18" s="3">
        <f t="shared" si="67"/>
        <v>0</v>
      </c>
      <c r="Q18" s="3">
        <f t="shared" si="68"/>
        <v>101.29</v>
      </c>
      <c r="R18" s="3">
        <f t="shared" si="69"/>
        <v>54.712000000000003</v>
      </c>
      <c r="S18" s="6">
        <f t="shared" si="53"/>
        <v>1.2</v>
      </c>
      <c r="T18" s="6">
        <f t="shared" si="16"/>
        <v>163.44999999999999</v>
      </c>
      <c r="U18" s="6">
        <f t="shared" si="8"/>
        <v>0.50878700070992178</v>
      </c>
      <c r="V18" s="6">
        <f t="shared" si="9"/>
        <v>1.9654590203851066</v>
      </c>
      <c r="W18" s="6"/>
    </row>
    <row r="19" spans="1:23" s="7" customFormat="1" ht="23.25" customHeight="1" x14ac:dyDescent="0.25">
      <c r="A19" s="7" t="s">
        <v>19</v>
      </c>
      <c r="B19" s="3">
        <v>-8.5</v>
      </c>
      <c r="C19" s="3">
        <f t="shared" ref="C19:C37" si="74">ro_ige_3</f>
        <v>18.7</v>
      </c>
      <c r="D19" s="3">
        <f t="shared" ref="D19" si="75">(ABS(B19-B18)*C19+D18)</f>
        <v>163.44999999999999</v>
      </c>
      <c r="E19" s="3">
        <f t="shared" ref="E19:E37" si="76">RADIANS(45-phi_ige_3/2)</f>
        <v>0.6108652381980153</v>
      </c>
      <c r="F19" s="3">
        <f t="shared" si="72"/>
        <v>35</v>
      </c>
      <c r="G19" s="3">
        <f t="shared" ref="G19:G37" si="77">RADIANS(45+phi_ige_3/2)</f>
        <v>0.95993108859688125</v>
      </c>
      <c r="H19" s="3">
        <f t="shared" si="73"/>
        <v>55</v>
      </c>
      <c r="I19" s="5">
        <f t="shared" si="3"/>
        <v>0.58830000000000005</v>
      </c>
      <c r="J19" s="5">
        <f t="shared" si="4"/>
        <v>2.6107</v>
      </c>
      <c r="K19" s="3">
        <f t="shared" ref="K19" si="78">D19</f>
        <v>163.44999999999999</v>
      </c>
      <c r="L19" s="3">
        <f t="shared" si="11"/>
        <v>2.464</v>
      </c>
      <c r="M19" s="3">
        <f t="shared" si="6"/>
        <v>0</v>
      </c>
      <c r="N19" s="3">
        <f t="shared" ref="N19" si="79">ROUND((K19+L19+M19)*I19,3)</f>
        <v>97.606999999999999</v>
      </c>
      <c r="O19" s="3">
        <f t="shared" si="13"/>
        <v>0</v>
      </c>
      <c r="P19" s="3">
        <f t="shared" ref="P19" si="80">O19*J19</f>
        <v>0</v>
      </c>
      <c r="Q19" s="3">
        <f t="shared" ref="Q19" si="81">N19-P19</f>
        <v>97.606999999999999</v>
      </c>
      <c r="R19" s="3">
        <f t="shared" ref="R19" si="82">ROUND(0.5*(Q19+Q18)*ABS(B19-B18),3)</f>
        <v>0</v>
      </c>
      <c r="S19" s="6">
        <f t="shared" ref="S19:S37" si="83">k_3</f>
        <v>1.6</v>
      </c>
      <c r="T19" s="6">
        <f t="shared" si="16"/>
        <v>163.44999999999999</v>
      </c>
      <c r="U19" s="6">
        <f t="shared" si="8"/>
        <v>0.49029059656570206</v>
      </c>
      <c r="V19" s="6">
        <f t="shared" si="9"/>
        <v>2.0396067291614743</v>
      </c>
      <c r="W19" s="6">
        <f t="shared" si="17"/>
        <v>-0.5</v>
      </c>
    </row>
    <row r="20" spans="1:23" ht="23.25" customHeight="1" x14ac:dyDescent="0.25">
      <c r="A20" s="6" t="s">
        <v>19</v>
      </c>
      <c r="B20" s="5">
        <v>-9</v>
      </c>
      <c r="C20" s="3">
        <f t="shared" si="74"/>
        <v>18.7</v>
      </c>
      <c r="D20" s="5">
        <f t="shared" ref="D20:D21" si="84">(ABS(B20-B19)*C20+D19)</f>
        <v>172.79999999999998</v>
      </c>
      <c r="E20" s="3">
        <f t="shared" si="76"/>
        <v>0.6108652381980153</v>
      </c>
      <c r="F20" s="5">
        <f t="shared" si="72"/>
        <v>35</v>
      </c>
      <c r="G20" s="3">
        <f t="shared" si="77"/>
        <v>0.95993108859688125</v>
      </c>
      <c r="H20" s="5">
        <f t="shared" si="73"/>
        <v>55</v>
      </c>
      <c r="I20" s="5">
        <f t="shared" si="3"/>
        <v>0.58830000000000005</v>
      </c>
      <c r="J20" s="5">
        <f t="shared" si="4"/>
        <v>2.6107</v>
      </c>
      <c r="K20" s="5">
        <f t="shared" ref="K20:K21" si="85">D20</f>
        <v>172.79999999999998</v>
      </c>
      <c r="L20" s="5">
        <f>ROUND(IF(ABS(B20)&gt;Ur_wod,ABS(B20-B19)*ro_wod+L19,0),3)</f>
        <v>3.0139999999999998</v>
      </c>
      <c r="M20" s="5">
        <f t="shared" si="6"/>
        <v>0</v>
      </c>
      <c r="N20" s="5">
        <f t="shared" ref="N20:N21" si="86">ROUND((K20+L20+M20)*I20,3)</f>
        <v>103.431</v>
      </c>
      <c r="O20" s="5">
        <f t="shared" si="13"/>
        <v>0</v>
      </c>
      <c r="P20" s="5">
        <f t="shared" ref="P20:P21" si="87">O20*J20</f>
        <v>0</v>
      </c>
      <c r="Q20" s="5">
        <f t="shared" ref="Q20:Q21" si="88">N20-P20</f>
        <v>103.431</v>
      </c>
      <c r="R20" s="5">
        <f t="shared" ref="R20:R21" si="89">ROUND(0.5*(Q20+Q19)*ABS(B20-B19),3)</f>
        <v>50.26</v>
      </c>
      <c r="S20" s="6">
        <f t="shared" si="83"/>
        <v>1.6</v>
      </c>
      <c r="T20" s="6">
        <f t="shared" si="16"/>
        <v>172.79999999999998</v>
      </c>
      <c r="U20" s="6">
        <f t="shared" si="8"/>
        <v>0.49029059656570206</v>
      </c>
      <c r="V20" s="6">
        <f t="shared" si="9"/>
        <v>2.0396067291614743</v>
      </c>
      <c r="W20" s="6">
        <f t="shared" si="17"/>
        <v>-0.5</v>
      </c>
    </row>
    <row r="21" spans="1:23" ht="23.25" customHeight="1" x14ac:dyDescent="0.25">
      <c r="A21" s="6" t="s">
        <v>19</v>
      </c>
      <c r="B21" s="5">
        <v>-9.5</v>
      </c>
      <c r="C21" s="3">
        <f t="shared" si="74"/>
        <v>18.7</v>
      </c>
      <c r="D21" s="5">
        <f t="shared" si="84"/>
        <v>182.14999999999998</v>
      </c>
      <c r="E21" s="3">
        <f t="shared" si="76"/>
        <v>0.6108652381980153</v>
      </c>
      <c r="F21" s="5">
        <f t="shared" ref="F21" si="90">DEGREES(E21)</f>
        <v>35</v>
      </c>
      <c r="G21" s="3">
        <f t="shared" si="77"/>
        <v>0.95993108859688125</v>
      </c>
      <c r="H21" s="5">
        <f t="shared" ref="H21" si="91">DEGREES(G21)</f>
        <v>55</v>
      </c>
      <c r="I21" s="5">
        <f t="shared" si="3"/>
        <v>0.58830000000000005</v>
      </c>
      <c r="J21" s="5">
        <f t="shared" si="4"/>
        <v>2.6107</v>
      </c>
      <c r="K21" s="5">
        <f t="shared" si="85"/>
        <v>182.14999999999998</v>
      </c>
      <c r="L21" s="5">
        <f t="shared" si="11"/>
        <v>3.5640000000000001</v>
      </c>
      <c r="M21" s="5">
        <f t="shared" si="6"/>
        <v>0</v>
      </c>
      <c r="N21" s="5">
        <f t="shared" si="86"/>
        <v>109.256</v>
      </c>
      <c r="O21" s="5">
        <f t="shared" si="13"/>
        <v>24.410045</v>
      </c>
      <c r="P21" s="5">
        <f t="shared" si="87"/>
        <v>63.727304481499999</v>
      </c>
      <c r="Q21" s="5">
        <f t="shared" si="88"/>
        <v>45.528695518500001</v>
      </c>
      <c r="R21" s="5">
        <f t="shared" si="89"/>
        <v>37.24</v>
      </c>
      <c r="S21" s="6">
        <f t="shared" si="83"/>
        <v>1.6</v>
      </c>
      <c r="T21" s="6">
        <f t="shared" si="16"/>
        <v>182.14999999999998</v>
      </c>
      <c r="U21" s="6">
        <f t="shared" si="8"/>
        <v>0.49029059656570206</v>
      </c>
      <c r="V21" s="6">
        <f t="shared" si="9"/>
        <v>2.0396067291614743</v>
      </c>
      <c r="W21" s="6">
        <f t="shared" si="17"/>
        <v>-0.5</v>
      </c>
    </row>
    <row r="22" spans="1:23" ht="23.25" customHeight="1" x14ac:dyDescent="0.25">
      <c r="A22" s="6" t="s">
        <v>19</v>
      </c>
      <c r="B22" s="5">
        <v>-10</v>
      </c>
      <c r="C22" s="3">
        <f t="shared" si="74"/>
        <v>18.7</v>
      </c>
      <c r="D22" s="5">
        <f t="shared" ref="D22:D37" si="92">(ABS(B22-B21)*C22+D21)</f>
        <v>191.49999999999997</v>
      </c>
      <c r="E22" s="3">
        <f t="shared" si="76"/>
        <v>0.6108652381980153</v>
      </c>
      <c r="F22" s="5">
        <f t="shared" ref="F22" si="93">DEGREES(E22)</f>
        <v>35</v>
      </c>
      <c r="G22" s="3">
        <f t="shared" si="77"/>
        <v>0.95993108859688125</v>
      </c>
      <c r="H22" s="5">
        <f t="shared" ref="H22" si="94">DEGREES(G22)</f>
        <v>55</v>
      </c>
      <c r="I22" s="5">
        <f t="shared" si="3"/>
        <v>0.58830000000000005</v>
      </c>
      <c r="J22" s="5">
        <f t="shared" si="4"/>
        <v>2.6107</v>
      </c>
      <c r="K22" s="5">
        <f t="shared" ref="K22:K37" si="95">D22</f>
        <v>191.49999999999997</v>
      </c>
      <c r="L22" s="5">
        <f t="shared" si="11"/>
        <v>4.1139999999999999</v>
      </c>
      <c r="M22" s="5">
        <f t="shared" si="6"/>
        <v>0</v>
      </c>
      <c r="N22" s="5">
        <f t="shared" ref="N22:N37" si="96">ROUND((K22+L22+M22)*I22,3)</f>
        <v>115.08</v>
      </c>
      <c r="O22" s="5">
        <f t="shared" si="13"/>
        <v>88.137231999999997</v>
      </c>
      <c r="P22" s="5">
        <f t="shared" ref="P22:P37" si="97">O22*J22</f>
        <v>230.0998715824</v>
      </c>
      <c r="Q22" s="5">
        <f t="shared" ref="Q22:Q37" si="98">N22-P22</f>
        <v>-115.0198715824</v>
      </c>
      <c r="R22" s="5">
        <f t="shared" ref="R22:R37" si="99">ROUND(0.5*(Q22+Q21)*ABS(B22-B21),3)</f>
        <v>-17.373000000000001</v>
      </c>
      <c r="S22" s="6">
        <f t="shared" si="83"/>
        <v>1.6</v>
      </c>
      <c r="T22" s="6">
        <f t="shared" si="16"/>
        <v>191.49999999999997</v>
      </c>
      <c r="U22" s="6">
        <f t="shared" si="8"/>
        <v>0.49029059656570206</v>
      </c>
      <c r="V22" s="6">
        <f t="shared" si="9"/>
        <v>2.0396067291614743</v>
      </c>
      <c r="W22" s="6">
        <f t="shared" si="17"/>
        <v>-0.5</v>
      </c>
    </row>
    <row r="23" spans="1:23" ht="23.25" customHeight="1" x14ac:dyDescent="0.25">
      <c r="A23" s="25" t="s">
        <v>19</v>
      </c>
      <c r="B23" s="26">
        <v>-10.5</v>
      </c>
      <c r="C23" s="27">
        <f t="shared" si="74"/>
        <v>18.7</v>
      </c>
      <c r="D23" s="26">
        <f t="shared" si="92"/>
        <v>200.84999999999997</v>
      </c>
      <c r="E23" s="27">
        <f t="shared" si="76"/>
        <v>0.6108652381980153</v>
      </c>
      <c r="F23" s="26">
        <f t="shared" ref="F23" si="100">DEGREES(E23)</f>
        <v>35</v>
      </c>
      <c r="G23" s="3">
        <f t="shared" si="77"/>
        <v>0.95993108859688125</v>
      </c>
      <c r="H23" s="26">
        <f t="shared" ref="H23" si="101">DEGREES(G23)</f>
        <v>55</v>
      </c>
      <c r="I23" s="5">
        <f t="shared" si="3"/>
        <v>0.58830000000000005</v>
      </c>
      <c r="J23" s="5">
        <f t="shared" si="4"/>
        <v>2.6107</v>
      </c>
      <c r="K23" s="26">
        <f t="shared" si="95"/>
        <v>200.84999999999997</v>
      </c>
      <c r="L23" s="26">
        <f t="shared" si="11"/>
        <v>4.6639999999999997</v>
      </c>
      <c r="M23" s="26">
        <f t="shared" si="6"/>
        <v>0</v>
      </c>
      <c r="N23" s="26">
        <f t="shared" si="96"/>
        <v>120.904</v>
      </c>
      <c r="O23" s="26">
        <f t="shared" si="13"/>
        <v>254.50931089999997</v>
      </c>
      <c r="P23" s="26">
        <f t="shared" si="97"/>
        <v>664.44745796662994</v>
      </c>
      <c r="Q23" s="26">
        <f t="shared" si="98"/>
        <v>-543.54345796662994</v>
      </c>
      <c r="R23" s="26">
        <f t="shared" si="99"/>
        <v>-164.64099999999999</v>
      </c>
      <c r="S23" s="25">
        <f t="shared" si="83"/>
        <v>1.6</v>
      </c>
      <c r="T23" s="29">
        <f t="shared" si="16"/>
        <v>200.84999999999997</v>
      </c>
      <c r="U23" s="6">
        <f>TAN(E23)*TAN(E23)</f>
        <v>0.49029059656570206</v>
      </c>
      <c r="V23" s="6">
        <f>TAN(G23)*TAN(G23)</f>
        <v>2.0396067291614743</v>
      </c>
      <c r="W23" s="6">
        <f t="shared" si="17"/>
        <v>-0.5</v>
      </c>
    </row>
    <row r="24" spans="1:23" ht="23.25" customHeight="1" x14ac:dyDescent="0.25">
      <c r="A24" s="6" t="s">
        <v>19</v>
      </c>
      <c r="B24" s="5">
        <v>-11</v>
      </c>
      <c r="C24" s="3">
        <f t="shared" si="74"/>
        <v>18.7</v>
      </c>
      <c r="D24" s="5">
        <f t="shared" si="92"/>
        <v>210.19999999999996</v>
      </c>
      <c r="E24" s="3">
        <f t="shared" si="76"/>
        <v>0.6108652381980153</v>
      </c>
      <c r="F24" s="5">
        <f t="shared" ref="F24" si="102">DEGREES(E24)</f>
        <v>35</v>
      </c>
      <c r="G24" s="3">
        <f t="shared" si="77"/>
        <v>0.95993108859688125</v>
      </c>
      <c r="H24" s="5">
        <f t="shared" ref="H24" si="103">DEGREES(G24)</f>
        <v>55</v>
      </c>
      <c r="I24" s="5">
        <f t="shared" si="3"/>
        <v>0.58830000000000005</v>
      </c>
      <c r="J24" s="5">
        <f t="shared" si="4"/>
        <v>2.6107</v>
      </c>
      <c r="K24" s="5">
        <f t="shared" si="95"/>
        <v>210.19999999999996</v>
      </c>
      <c r="L24" s="5">
        <f t="shared" si="11"/>
        <v>5.2140000000000004</v>
      </c>
      <c r="M24" s="5">
        <f t="shared" si="6"/>
        <v>0</v>
      </c>
      <c r="N24" s="5">
        <f t="shared" si="96"/>
        <v>126.72799999999999</v>
      </c>
      <c r="O24" s="5">
        <f t="shared" si="13"/>
        <v>688.85669129999997</v>
      </c>
      <c r="P24" s="5">
        <f t="shared" si="97"/>
        <v>1798.3981639769099</v>
      </c>
      <c r="Q24" s="5">
        <f t="shared" si="98"/>
        <v>-1671.6701639769099</v>
      </c>
      <c r="R24" s="5">
        <f t="shared" si="99"/>
        <v>-553.803</v>
      </c>
      <c r="S24" s="6">
        <f t="shared" si="83"/>
        <v>1.6</v>
      </c>
      <c r="T24" s="6">
        <f t="shared" si="16"/>
        <v>210.19999999999996</v>
      </c>
      <c r="U24" s="6">
        <f t="shared" ref="U24:U37" si="104">TAN(E24)*TAN(E24)</f>
        <v>0.49029059656570206</v>
      </c>
      <c r="V24" s="6">
        <f t="shared" ref="V24:V37" si="105">TAN(G24)*TAN(G24)</f>
        <v>2.0396067291614743</v>
      </c>
    </row>
    <row r="25" spans="1:23" ht="23.25" customHeight="1" x14ac:dyDescent="0.25">
      <c r="A25" s="6" t="s">
        <v>19</v>
      </c>
      <c r="B25" s="5">
        <v>-11.5</v>
      </c>
      <c r="C25" s="3">
        <f t="shared" si="74"/>
        <v>18.7</v>
      </c>
      <c r="D25" s="5">
        <f t="shared" si="92"/>
        <v>219.54999999999995</v>
      </c>
      <c r="E25" s="3">
        <f t="shared" si="76"/>
        <v>0.6108652381980153</v>
      </c>
      <c r="F25" s="5">
        <f t="shared" ref="F25" si="106">DEGREES(E25)</f>
        <v>35</v>
      </c>
      <c r="G25" s="3">
        <f t="shared" si="77"/>
        <v>0.95993108859688125</v>
      </c>
      <c r="H25" s="5">
        <f t="shared" ref="H25" si="107">DEGREES(G25)</f>
        <v>55</v>
      </c>
      <c r="I25" s="5">
        <f t="shared" si="3"/>
        <v>0.58830000000000005</v>
      </c>
      <c r="J25" s="5">
        <f t="shared" si="4"/>
        <v>2.6107</v>
      </c>
      <c r="K25" s="5">
        <f t="shared" si="95"/>
        <v>219.54999999999995</v>
      </c>
      <c r="L25" s="5">
        <f t="shared" si="11"/>
        <v>5.7640000000000002</v>
      </c>
      <c r="M25" s="5">
        <f t="shared" si="6"/>
        <v>0</v>
      </c>
      <c r="N25" s="5">
        <f t="shared" si="96"/>
        <v>132.55199999999999</v>
      </c>
      <c r="O25" s="5">
        <f t="shared" si="13"/>
        <v>1822.8090149</v>
      </c>
      <c r="P25" s="5">
        <f t="shared" si="97"/>
        <v>4758.8074951994304</v>
      </c>
      <c r="Q25" s="5">
        <f t="shared" si="98"/>
        <v>-4626.2554951994307</v>
      </c>
      <c r="R25" s="5">
        <f t="shared" si="99"/>
        <v>-1574.481</v>
      </c>
      <c r="S25" s="6">
        <f t="shared" si="83"/>
        <v>1.6</v>
      </c>
      <c r="T25" s="6">
        <f t="shared" si="16"/>
        <v>219.54999999999995</v>
      </c>
      <c r="U25" s="6">
        <f t="shared" si="104"/>
        <v>0.49029059656570206</v>
      </c>
      <c r="V25" s="6">
        <f t="shared" si="105"/>
        <v>2.0396067291614743</v>
      </c>
    </row>
    <row r="26" spans="1:23" ht="23.25" customHeight="1" x14ac:dyDescent="0.25">
      <c r="A26" s="6" t="s">
        <v>19</v>
      </c>
      <c r="B26" s="5">
        <v>-12</v>
      </c>
      <c r="C26" s="3">
        <f t="shared" si="74"/>
        <v>18.7</v>
      </c>
      <c r="D26" s="5">
        <f t="shared" si="92"/>
        <v>228.89999999999995</v>
      </c>
      <c r="E26" s="3">
        <f t="shared" si="76"/>
        <v>0.6108652381980153</v>
      </c>
      <c r="F26" s="5">
        <f t="shared" ref="F26" si="108">DEGREES(E26)</f>
        <v>35</v>
      </c>
      <c r="G26" s="3">
        <f t="shared" si="77"/>
        <v>0.95993108859688125</v>
      </c>
      <c r="H26" s="5">
        <f t="shared" ref="H26" si="109">DEGREES(G26)</f>
        <v>55</v>
      </c>
      <c r="I26" s="5">
        <f t="shared" si="3"/>
        <v>0.58830000000000005</v>
      </c>
      <c r="J26" s="5">
        <f t="shared" si="4"/>
        <v>2.6107</v>
      </c>
      <c r="K26" s="5">
        <f t="shared" si="95"/>
        <v>228.89999999999995</v>
      </c>
      <c r="L26" s="5">
        <f t="shared" si="11"/>
        <v>6.3140000000000001</v>
      </c>
      <c r="M26" s="5">
        <f t="shared" si="6"/>
        <v>0</v>
      </c>
      <c r="N26" s="5">
        <f t="shared" si="96"/>
        <v>138.376</v>
      </c>
      <c r="O26" s="5">
        <f t="shared" si="13"/>
        <v>4783.2175013000005</v>
      </c>
      <c r="P26" s="5">
        <f t="shared" si="97"/>
        <v>12487.545930643912</v>
      </c>
      <c r="Q26" s="5">
        <f t="shared" si="98"/>
        <v>-12349.169930643911</v>
      </c>
      <c r="R26" s="5">
        <f t="shared" si="99"/>
        <v>-4243.8559999999998</v>
      </c>
      <c r="S26" s="6">
        <f t="shared" si="83"/>
        <v>1.6</v>
      </c>
      <c r="T26" s="6">
        <f t="shared" si="16"/>
        <v>228.89999999999995</v>
      </c>
      <c r="U26" s="6">
        <f t="shared" si="104"/>
        <v>0.49029059656570206</v>
      </c>
      <c r="V26" s="6">
        <f t="shared" si="105"/>
        <v>2.0396067291614743</v>
      </c>
    </row>
    <row r="27" spans="1:23" ht="23.25" customHeight="1" x14ac:dyDescent="0.25">
      <c r="A27" s="6" t="s">
        <v>19</v>
      </c>
      <c r="B27" s="5">
        <v>-12.5</v>
      </c>
      <c r="C27" s="3">
        <f t="shared" si="74"/>
        <v>18.7</v>
      </c>
      <c r="D27" s="5">
        <f t="shared" si="92"/>
        <v>238.24999999999994</v>
      </c>
      <c r="E27" s="3">
        <f t="shared" si="76"/>
        <v>0.6108652381980153</v>
      </c>
      <c r="F27" s="5">
        <f t="shared" ref="F27" si="110">DEGREES(E27)</f>
        <v>35</v>
      </c>
      <c r="G27" s="3">
        <f t="shared" si="77"/>
        <v>0.95993108859688125</v>
      </c>
      <c r="H27" s="5">
        <f t="shared" ref="H27" si="111">DEGREES(G27)</f>
        <v>55</v>
      </c>
      <c r="I27" s="5">
        <f t="shared" si="3"/>
        <v>0.58830000000000005</v>
      </c>
      <c r="J27" s="5">
        <f t="shared" si="4"/>
        <v>2.6107</v>
      </c>
      <c r="K27" s="5">
        <f t="shared" si="95"/>
        <v>238.24999999999994</v>
      </c>
      <c r="L27" s="5">
        <f t="shared" si="11"/>
        <v>6.8639999999999999</v>
      </c>
      <c r="M27" s="5">
        <f t="shared" si="6"/>
        <v>0</v>
      </c>
      <c r="N27" s="5">
        <f t="shared" si="96"/>
        <v>144.20099999999999</v>
      </c>
      <c r="O27" s="5">
        <f t="shared" si="13"/>
        <v>12511.9572776</v>
      </c>
      <c r="P27" s="5">
        <f t="shared" si="97"/>
        <v>32664.966864630322</v>
      </c>
      <c r="Q27" s="5">
        <f t="shared" si="98"/>
        <v>-32520.765864630321</v>
      </c>
      <c r="R27" s="5">
        <f t="shared" si="99"/>
        <v>-11217.484</v>
      </c>
      <c r="S27" s="6">
        <f t="shared" si="83"/>
        <v>1.6</v>
      </c>
      <c r="T27" s="6">
        <f t="shared" si="16"/>
        <v>238.24999999999994</v>
      </c>
      <c r="U27" s="6">
        <f t="shared" si="104"/>
        <v>0.49029059656570206</v>
      </c>
      <c r="V27" s="6">
        <f t="shared" si="105"/>
        <v>2.0396067291614743</v>
      </c>
    </row>
    <row r="28" spans="1:23" ht="23.25" customHeight="1" x14ac:dyDescent="0.25">
      <c r="A28" s="6" t="s">
        <v>19</v>
      </c>
      <c r="B28" s="5">
        <v>-13</v>
      </c>
      <c r="C28" s="3">
        <f t="shared" si="74"/>
        <v>18.7</v>
      </c>
      <c r="D28" s="5">
        <f t="shared" si="92"/>
        <v>247.59999999999994</v>
      </c>
      <c r="E28" s="3">
        <f t="shared" si="76"/>
        <v>0.6108652381980153</v>
      </c>
      <c r="F28" s="5">
        <f t="shared" ref="F28" si="112">DEGREES(E28)</f>
        <v>35</v>
      </c>
      <c r="G28" s="3">
        <f t="shared" si="77"/>
        <v>0.95993108859688125</v>
      </c>
      <c r="H28" s="5">
        <f t="shared" ref="H28" si="113">DEGREES(G28)</f>
        <v>55</v>
      </c>
      <c r="I28" s="5">
        <f t="shared" si="3"/>
        <v>0.58830000000000005</v>
      </c>
      <c r="J28" s="5">
        <f t="shared" si="4"/>
        <v>2.6107</v>
      </c>
      <c r="K28" s="5">
        <f t="shared" si="95"/>
        <v>247.59999999999994</v>
      </c>
      <c r="L28" s="5">
        <f t="shared" si="11"/>
        <v>7.4139999999999997</v>
      </c>
      <c r="M28" s="5">
        <f t="shared" si="6"/>
        <v>0</v>
      </c>
      <c r="N28" s="5">
        <f t="shared" si="96"/>
        <v>150.02500000000001</v>
      </c>
      <c r="O28" s="5">
        <f t="shared" si="13"/>
        <v>32689.376184900004</v>
      </c>
      <c r="P28" s="5">
        <f t="shared" si="97"/>
        <v>85342.154405918438</v>
      </c>
      <c r="Q28" s="5">
        <f t="shared" si="98"/>
        <v>-85192.129405918444</v>
      </c>
      <c r="R28" s="5">
        <f t="shared" si="99"/>
        <v>-29428.223999999998</v>
      </c>
      <c r="S28" s="6">
        <f t="shared" si="83"/>
        <v>1.6</v>
      </c>
      <c r="T28" s="6">
        <f t="shared" si="16"/>
        <v>247.59999999999994</v>
      </c>
      <c r="U28" s="6">
        <f t="shared" si="104"/>
        <v>0.49029059656570206</v>
      </c>
      <c r="V28" s="6">
        <f t="shared" si="105"/>
        <v>2.0396067291614743</v>
      </c>
    </row>
    <row r="29" spans="1:23" ht="23.25" customHeight="1" x14ac:dyDescent="0.25">
      <c r="A29" s="6" t="s">
        <v>19</v>
      </c>
      <c r="B29" s="5">
        <v>-13.5</v>
      </c>
      <c r="C29" s="3">
        <f t="shared" si="74"/>
        <v>18.7</v>
      </c>
      <c r="D29" s="5">
        <f t="shared" si="92"/>
        <v>256.94999999999993</v>
      </c>
      <c r="E29" s="3">
        <f t="shared" si="76"/>
        <v>0.6108652381980153</v>
      </c>
      <c r="F29" s="5">
        <f t="shared" ref="F29" si="114">DEGREES(E29)</f>
        <v>35</v>
      </c>
      <c r="G29" s="3">
        <f t="shared" si="77"/>
        <v>0.95993108859688125</v>
      </c>
      <c r="H29" s="5">
        <f t="shared" ref="H29" si="115">DEGREES(G29)</f>
        <v>55</v>
      </c>
      <c r="I29" s="5">
        <f t="shared" si="3"/>
        <v>0.58830000000000005</v>
      </c>
      <c r="J29" s="5">
        <f t="shared" si="4"/>
        <v>2.6107</v>
      </c>
      <c r="K29" s="5">
        <f t="shared" si="95"/>
        <v>256.94999999999993</v>
      </c>
      <c r="L29" s="5">
        <f t="shared" si="11"/>
        <v>7.9640000000000004</v>
      </c>
      <c r="M29" s="5">
        <f t="shared" si="6"/>
        <v>0</v>
      </c>
      <c r="N29" s="5">
        <f t="shared" si="96"/>
        <v>155.84899999999999</v>
      </c>
      <c r="O29" s="5">
        <f t="shared" si="13"/>
        <v>85366.563968200004</v>
      </c>
      <c r="P29" s="5">
        <f t="shared" si="97"/>
        <v>222866.48855177974</v>
      </c>
      <c r="Q29" s="5">
        <f t="shared" si="98"/>
        <v>-222710.63955177975</v>
      </c>
      <c r="R29" s="5">
        <f t="shared" si="99"/>
        <v>-76975.691999999995</v>
      </c>
      <c r="S29" s="6">
        <f t="shared" si="83"/>
        <v>1.6</v>
      </c>
      <c r="T29" s="6">
        <f t="shared" si="16"/>
        <v>256.94999999999993</v>
      </c>
      <c r="U29" s="6">
        <f t="shared" si="104"/>
        <v>0.49029059656570206</v>
      </c>
      <c r="V29" s="6">
        <f t="shared" si="105"/>
        <v>2.0396067291614743</v>
      </c>
    </row>
    <row r="30" spans="1:23" ht="23.25" customHeight="1" x14ac:dyDescent="0.25">
      <c r="A30" s="6" t="s">
        <v>19</v>
      </c>
      <c r="B30" s="5">
        <v>-14</v>
      </c>
      <c r="C30" s="3">
        <f t="shared" si="74"/>
        <v>18.7</v>
      </c>
      <c r="D30" s="5">
        <f t="shared" si="92"/>
        <v>266.29999999999995</v>
      </c>
      <c r="E30" s="3">
        <f t="shared" si="76"/>
        <v>0.6108652381980153</v>
      </c>
      <c r="F30" s="5">
        <f t="shared" ref="F30" si="116">DEGREES(E30)</f>
        <v>35</v>
      </c>
      <c r="G30" s="3">
        <f t="shared" si="77"/>
        <v>0.95993108859688125</v>
      </c>
      <c r="H30" s="5">
        <f t="shared" ref="H30" si="117">DEGREES(G30)</f>
        <v>55</v>
      </c>
      <c r="I30" s="5">
        <f t="shared" si="3"/>
        <v>0.58830000000000005</v>
      </c>
      <c r="J30" s="5">
        <f t="shared" si="4"/>
        <v>2.6107</v>
      </c>
      <c r="K30" s="5">
        <f t="shared" si="95"/>
        <v>266.29999999999995</v>
      </c>
      <c r="L30" s="5">
        <f t="shared" si="11"/>
        <v>8.5139999999999993</v>
      </c>
      <c r="M30" s="5">
        <f t="shared" si="6"/>
        <v>0</v>
      </c>
      <c r="N30" s="5">
        <f t="shared" si="96"/>
        <v>161.673</v>
      </c>
      <c r="O30" s="5">
        <f t="shared" si="13"/>
        <v>222890.89867980001</v>
      </c>
      <c r="P30" s="5">
        <f t="shared" si="97"/>
        <v>581901.26918335387</v>
      </c>
      <c r="Q30" s="5">
        <f t="shared" si="98"/>
        <v>-581739.59618335392</v>
      </c>
      <c r="R30" s="5">
        <f t="shared" si="99"/>
        <v>-201112.55900000001</v>
      </c>
      <c r="S30" s="6">
        <f t="shared" si="83"/>
        <v>1.6</v>
      </c>
      <c r="T30" s="6">
        <f t="shared" si="16"/>
        <v>266.29999999999995</v>
      </c>
      <c r="U30" s="6">
        <f t="shared" si="104"/>
        <v>0.49029059656570206</v>
      </c>
      <c r="V30" s="6">
        <f t="shared" si="105"/>
        <v>2.0396067291614743</v>
      </c>
    </row>
    <row r="31" spans="1:23" ht="23.25" customHeight="1" x14ac:dyDescent="0.25">
      <c r="A31" s="6" t="s">
        <v>19</v>
      </c>
      <c r="B31" s="5">
        <v>-14.5</v>
      </c>
      <c r="C31" s="3">
        <f t="shared" si="74"/>
        <v>18.7</v>
      </c>
      <c r="D31" s="5">
        <f t="shared" si="92"/>
        <v>275.64999999999998</v>
      </c>
      <c r="E31" s="3">
        <f t="shared" si="76"/>
        <v>0.6108652381980153</v>
      </c>
      <c r="F31" s="5">
        <f t="shared" ref="F31" si="118">DEGREES(E31)</f>
        <v>35</v>
      </c>
      <c r="G31" s="3">
        <f t="shared" si="77"/>
        <v>0.95993108859688125</v>
      </c>
      <c r="H31" s="5">
        <f t="shared" ref="H31" si="119">DEGREES(G31)</f>
        <v>55</v>
      </c>
      <c r="I31" s="5">
        <f t="shared" si="3"/>
        <v>0.58830000000000005</v>
      </c>
      <c r="J31" s="5">
        <f t="shared" si="4"/>
        <v>2.6107</v>
      </c>
      <c r="K31" s="5">
        <f t="shared" si="95"/>
        <v>275.64999999999998</v>
      </c>
      <c r="L31" s="5">
        <f t="shared" si="11"/>
        <v>9.0640000000000001</v>
      </c>
      <c r="M31" s="5">
        <f t="shared" si="6"/>
        <v>0</v>
      </c>
      <c r="N31" s="5">
        <f t="shared" si="96"/>
        <v>167.49700000000001</v>
      </c>
      <c r="O31" s="5">
        <f t="shared" si="13"/>
        <v>581925.68006430008</v>
      </c>
      <c r="P31" s="5">
        <f t="shared" si="97"/>
        <v>1519233.3729438682</v>
      </c>
      <c r="Q31" s="5">
        <f t="shared" si="98"/>
        <v>-1519065.8759438682</v>
      </c>
      <c r="R31" s="5">
        <f t="shared" si="99"/>
        <v>-525201.36800000002</v>
      </c>
      <c r="S31" s="6">
        <f t="shared" si="83"/>
        <v>1.6</v>
      </c>
      <c r="T31" s="6">
        <f t="shared" si="16"/>
        <v>275.64999999999998</v>
      </c>
      <c r="U31" s="6">
        <f t="shared" si="104"/>
        <v>0.49029059656570206</v>
      </c>
      <c r="V31" s="6">
        <f t="shared" si="105"/>
        <v>2.0396067291614743</v>
      </c>
    </row>
    <row r="32" spans="1:23" ht="23.25" customHeight="1" x14ac:dyDescent="0.25">
      <c r="A32" s="6" t="s">
        <v>19</v>
      </c>
      <c r="B32" s="5">
        <v>-15</v>
      </c>
      <c r="C32" s="3">
        <f t="shared" si="74"/>
        <v>18.7</v>
      </c>
      <c r="D32" s="5">
        <f t="shared" si="92"/>
        <v>285</v>
      </c>
      <c r="E32" s="3">
        <f t="shared" si="76"/>
        <v>0.6108652381980153</v>
      </c>
      <c r="F32" s="5">
        <f t="shared" ref="F32" si="120">DEGREES(E32)</f>
        <v>35</v>
      </c>
      <c r="G32" s="3">
        <f t="shared" si="77"/>
        <v>0.95993108859688125</v>
      </c>
      <c r="H32" s="5">
        <f t="shared" ref="H32" si="121">DEGREES(G32)</f>
        <v>55</v>
      </c>
      <c r="I32" s="5">
        <f t="shared" si="3"/>
        <v>0.58830000000000005</v>
      </c>
      <c r="J32" s="5">
        <f t="shared" si="4"/>
        <v>2.6107</v>
      </c>
      <c r="K32" s="5">
        <f t="shared" si="95"/>
        <v>285</v>
      </c>
      <c r="L32" s="5">
        <f t="shared" si="11"/>
        <v>9.6140000000000008</v>
      </c>
      <c r="M32" s="5">
        <f t="shared" si="6"/>
        <v>0</v>
      </c>
      <c r="N32" s="5">
        <f t="shared" si="96"/>
        <v>173.321</v>
      </c>
      <c r="O32" s="5">
        <f t="shared" si="13"/>
        <v>1519257.7828210001</v>
      </c>
      <c r="P32" s="5">
        <f t="shared" si="97"/>
        <v>3966326.2936107852</v>
      </c>
      <c r="Q32" s="5">
        <f t="shared" si="98"/>
        <v>-3966152.9726107852</v>
      </c>
      <c r="R32" s="5">
        <f t="shared" si="99"/>
        <v>-1371304.7120000001</v>
      </c>
      <c r="S32" s="6">
        <f t="shared" si="83"/>
        <v>1.6</v>
      </c>
      <c r="T32" s="6">
        <f t="shared" si="16"/>
        <v>285</v>
      </c>
      <c r="U32" s="6">
        <f t="shared" si="104"/>
        <v>0.49029059656570206</v>
      </c>
      <c r="V32" s="6">
        <f t="shared" si="105"/>
        <v>2.0396067291614743</v>
      </c>
    </row>
    <row r="33" spans="1:22" ht="23.25" customHeight="1" x14ac:dyDescent="0.25">
      <c r="A33" s="6" t="s">
        <v>19</v>
      </c>
      <c r="B33" s="5">
        <v>-15.5</v>
      </c>
      <c r="C33" s="3">
        <f t="shared" si="74"/>
        <v>18.7</v>
      </c>
      <c r="D33" s="5">
        <f t="shared" si="92"/>
        <v>294.35000000000002</v>
      </c>
      <c r="E33" s="3">
        <f t="shared" si="76"/>
        <v>0.6108652381980153</v>
      </c>
      <c r="F33" s="5">
        <f t="shared" ref="F33" si="122">DEGREES(E33)</f>
        <v>35</v>
      </c>
      <c r="G33" s="3">
        <f t="shared" si="77"/>
        <v>0.95993108859688125</v>
      </c>
      <c r="H33" s="5">
        <f t="shared" ref="H33" si="123">DEGREES(G33)</f>
        <v>55</v>
      </c>
      <c r="I33" s="5">
        <f t="shared" si="3"/>
        <v>0.58830000000000005</v>
      </c>
      <c r="J33" s="5">
        <f t="shared" si="4"/>
        <v>2.6107</v>
      </c>
      <c r="K33" s="5">
        <f t="shared" si="95"/>
        <v>294.35000000000002</v>
      </c>
      <c r="L33" s="5">
        <f t="shared" si="11"/>
        <v>10.164</v>
      </c>
      <c r="M33" s="5">
        <f t="shared" si="6"/>
        <v>0</v>
      </c>
      <c r="N33" s="5">
        <f t="shared" si="96"/>
        <v>179.14599999999999</v>
      </c>
      <c r="O33" s="5">
        <f t="shared" si="13"/>
        <v>3966350.7041230998</v>
      </c>
      <c r="P33" s="5">
        <f t="shared" si="97"/>
        <v>10354951.783254176</v>
      </c>
      <c r="Q33" s="5">
        <f t="shared" si="98"/>
        <v>-10354772.637254177</v>
      </c>
      <c r="R33" s="5">
        <f t="shared" si="99"/>
        <v>-3580231.4019999998</v>
      </c>
      <c r="S33" s="6">
        <f t="shared" si="83"/>
        <v>1.6</v>
      </c>
      <c r="T33" s="6">
        <f t="shared" si="16"/>
        <v>294.35000000000002</v>
      </c>
      <c r="U33" s="6">
        <f t="shared" si="104"/>
        <v>0.49029059656570206</v>
      </c>
      <c r="V33" s="6">
        <f t="shared" si="105"/>
        <v>2.0396067291614743</v>
      </c>
    </row>
    <row r="34" spans="1:22" ht="23.25" customHeight="1" x14ac:dyDescent="0.25">
      <c r="A34" s="6" t="s">
        <v>19</v>
      </c>
      <c r="B34" s="5">
        <v>-16</v>
      </c>
      <c r="C34" s="3">
        <f t="shared" si="74"/>
        <v>18.7</v>
      </c>
      <c r="D34" s="5">
        <f t="shared" si="92"/>
        <v>303.70000000000005</v>
      </c>
      <c r="E34" s="3">
        <f t="shared" si="76"/>
        <v>0.6108652381980153</v>
      </c>
      <c r="F34" s="5">
        <f t="shared" ref="F34" si="124">DEGREES(E34)</f>
        <v>35</v>
      </c>
      <c r="G34" s="3">
        <f t="shared" si="77"/>
        <v>0.95993108859688125</v>
      </c>
      <c r="H34" s="5">
        <f t="shared" ref="H34" si="125">DEGREES(G34)</f>
        <v>55</v>
      </c>
      <c r="I34" s="5">
        <f t="shared" si="3"/>
        <v>0.58830000000000005</v>
      </c>
      <c r="J34" s="5">
        <f t="shared" si="4"/>
        <v>2.6107</v>
      </c>
      <c r="K34" s="5">
        <f t="shared" si="95"/>
        <v>303.70000000000005</v>
      </c>
      <c r="L34" s="5">
        <f t="shared" si="11"/>
        <v>10.714</v>
      </c>
      <c r="M34" s="5">
        <f t="shared" si="6"/>
        <v>0</v>
      </c>
      <c r="N34" s="5">
        <f t="shared" si="96"/>
        <v>184.97</v>
      </c>
      <c r="O34" s="5">
        <f t="shared" si="13"/>
        <v>10354976.192977801</v>
      </c>
      <c r="P34" s="5">
        <f t="shared" si="97"/>
        <v>27033736.347007144</v>
      </c>
      <c r="Q34" s="5">
        <f t="shared" si="98"/>
        <v>-27033551.377007145</v>
      </c>
      <c r="R34" s="5">
        <f t="shared" si="99"/>
        <v>-9347081.0040000007</v>
      </c>
      <c r="S34" s="6">
        <f t="shared" si="83"/>
        <v>1.6</v>
      </c>
      <c r="T34" s="6">
        <f t="shared" si="16"/>
        <v>303.70000000000005</v>
      </c>
      <c r="U34" s="6">
        <f t="shared" si="104"/>
        <v>0.49029059656570206</v>
      </c>
      <c r="V34" s="6">
        <f t="shared" si="105"/>
        <v>2.0396067291614743</v>
      </c>
    </row>
    <row r="35" spans="1:22" ht="23.25" customHeight="1" x14ac:dyDescent="0.25">
      <c r="A35" s="6" t="s">
        <v>19</v>
      </c>
      <c r="B35" s="5">
        <v>-16.5</v>
      </c>
      <c r="C35" s="3">
        <f t="shared" si="74"/>
        <v>18.7</v>
      </c>
      <c r="D35" s="5">
        <f t="shared" si="92"/>
        <v>313.05000000000007</v>
      </c>
      <c r="E35" s="3">
        <f t="shared" si="76"/>
        <v>0.6108652381980153</v>
      </c>
      <c r="F35" s="5">
        <f t="shared" ref="F35" si="126">DEGREES(E35)</f>
        <v>35</v>
      </c>
      <c r="G35" s="3">
        <f t="shared" si="77"/>
        <v>0.95993108859688125</v>
      </c>
      <c r="H35" s="5">
        <f t="shared" ref="H35" si="127">DEGREES(G35)</f>
        <v>55</v>
      </c>
      <c r="I35" s="5">
        <f t="shared" si="3"/>
        <v>0.58830000000000005</v>
      </c>
      <c r="J35" s="5">
        <f t="shared" si="4"/>
        <v>2.6107</v>
      </c>
      <c r="K35" s="5">
        <f t="shared" si="95"/>
        <v>313.05000000000007</v>
      </c>
      <c r="L35" s="5">
        <f t="shared" si="11"/>
        <v>11.263999999999999</v>
      </c>
      <c r="M35" s="5">
        <f t="shared" si="6"/>
        <v>0</v>
      </c>
      <c r="N35" s="5">
        <f t="shared" si="96"/>
        <v>190.79400000000001</v>
      </c>
      <c r="O35" s="5">
        <f t="shared" si="13"/>
        <v>27033760.7571101</v>
      </c>
      <c r="P35" s="5">
        <f>O35*J35</f>
        <v>70577039.208587334</v>
      </c>
      <c r="Q35" s="5">
        <f t="shared" si="98"/>
        <v>-70576848.414587334</v>
      </c>
      <c r="R35" s="5">
        <f t="shared" si="99"/>
        <v>-24402599.947999999</v>
      </c>
      <c r="S35" s="6">
        <f t="shared" si="83"/>
        <v>1.6</v>
      </c>
      <c r="T35" s="6">
        <f t="shared" si="16"/>
        <v>313.05000000000007</v>
      </c>
      <c r="U35" s="6">
        <f t="shared" si="104"/>
        <v>0.49029059656570206</v>
      </c>
      <c r="V35" s="6">
        <f t="shared" si="105"/>
        <v>2.0396067291614743</v>
      </c>
    </row>
    <row r="36" spans="1:22" ht="23.25" customHeight="1" x14ac:dyDescent="0.25">
      <c r="A36" s="6" t="s">
        <v>19</v>
      </c>
      <c r="B36" s="5">
        <v>-17</v>
      </c>
      <c r="C36" s="3">
        <f t="shared" si="74"/>
        <v>18.7</v>
      </c>
      <c r="D36" s="5">
        <f t="shared" si="92"/>
        <v>322.40000000000009</v>
      </c>
      <c r="E36" s="3">
        <f t="shared" si="76"/>
        <v>0.6108652381980153</v>
      </c>
      <c r="F36" s="5">
        <f t="shared" ref="F36" si="128">DEGREES(E36)</f>
        <v>35</v>
      </c>
      <c r="G36" s="3">
        <f t="shared" si="77"/>
        <v>0.95993108859688125</v>
      </c>
      <c r="H36" s="5">
        <f t="shared" ref="H36" si="129">DEGREES(G36)</f>
        <v>55</v>
      </c>
      <c r="I36" s="5">
        <f t="shared" si="3"/>
        <v>0.58830000000000005</v>
      </c>
      <c r="J36" s="5">
        <f t="shared" si="4"/>
        <v>2.6107</v>
      </c>
      <c r="K36" s="5">
        <f t="shared" si="95"/>
        <v>322.40000000000009</v>
      </c>
      <c r="L36" s="5">
        <f t="shared" si="11"/>
        <v>11.814</v>
      </c>
      <c r="M36" s="5">
        <f t="shared" si="6"/>
        <v>0</v>
      </c>
      <c r="N36" s="5">
        <f t="shared" si="96"/>
        <v>196.61799999999999</v>
      </c>
      <c r="O36" s="5">
        <f t="shared" si="13"/>
        <v>70577063.618344903</v>
      </c>
      <c r="P36" s="5">
        <f t="shared" si="97"/>
        <v>184255539.98841304</v>
      </c>
      <c r="Q36" s="5">
        <f t="shared" si="98"/>
        <v>-184255343.37041304</v>
      </c>
      <c r="R36" s="5">
        <f t="shared" si="99"/>
        <v>-63708047.946000002</v>
      </c>
      <c r="S36" s="6">
        <f t="shared" si="83"/>
        <v>1.6</v>
      </c>
      <c r="T36" s="6">
        <f t="shared" si="16"/>
        <v>322.40000000000009</v>
      </c>
      <c r="U36" s="6">
        <f t="shared" si="104"/>
        <v>0.49029059656570206</v>
      </c>
      <c r="V36" s="6">
        <f t="shared" si="105"/>
        <v>2.0396067291614743</v>
      </c>
    </row>
    <row r="37" spans="1:22" ht="23.25" customHeight="1" x14ac:dyDescent="0.25">
      <c r="A37" s="6" t="s">
        <v>19</v>
      </c>
      <c r="B37" s="5">
        <v>-17.5</v>
      </c>
      <c r="C37" s="3">
        <f t="shared" si="74"/>
        <v>18.7</v>
      </c>
      <c r="D37" s="5">
        <f t="shared" si="92"/>
        <v>331.75000000000011</v>
      </c>
      <c r="E37" s="3">
        <f t="shared" si="76"/>
        <v>0.6108652381980153</v>
      </c>
      <c r="F37" s="5">
        <f t="shared" ref="F37" si="130">DEGREES(E37)</f>
        <v>35</v>
      </c>
      <c r="G37" s="3">
        <f t="shared" si="77"/>
        <v>0.95993108859688125</v>
      </c>
      <c r="H37" s="5">
        <f t="shared" ref="H37" si="131">DEGREES(G37)</f>
        <v>55</v>
      </c>
      <c r="I37" s="5">
        <f t="shared" si="3"/>
        <v>0.58830000000000005</v>
      </c>
      <c r="J37" s="5">
        <f t="shared" si="4"/>
        <v>2.6107</v>
      </c>
      <c r="K37" s="5">
        <f t="shared" si="95"/>
        <v>331.75000000000011</v>
      </c>
      <c r="L37" s="5">
        <f t="shared" si="11"/>
        <v>12.364000000000001</v>
      </c>
      <c r="M37" s="5">
        <f t="shared" si="6"/>
        <v>0</v>
      </c>
      <c r="N37" s="5">
        <f t="shared" si="96"/>
        <v>202.44200000000001</v>
      </c>
      <c r="O37" s="5">
        <f t="shared" si="13"/>
        <v>184255564.39755759</v>
      </c>
      <c r="P37" s="5">
        <f t="shared" si="97"/>
        <v>481036001.97270358</v>
      </c>
      <c r="Q37" s="5">
        <f t="shared" si="98"/>
        <v>-481035799.5307036</v>
      </c>
      <c r="R37" s="5">
        <f t="shared" si="99"/>
        <v>-166322785.72499999</v>
      </c>
      <c r="S37" s="6">
        <f t="shared" si="83"/>
        <v>1.6</v>
      </c>
      <c r="T37" s="6">
        <f t="shared" si="16"/>
        <v>331.75000000000011</v>
      </c>
      <c r="U37" s="6">
        <f t="shared" si="104"/>
        <v>0.49029059656570206</v>
      </c>
      <c r="V37" s="6">
        <f t="shared" si="105"/>
        <v>2.0396067291614743</v>
      </c>
    </row>
    <row r="38" spans="1:22" ht="23.25" customHeight="1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22" ht="23.25" customHeight="1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22" ht="23.25" customHeight="1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22" ht="23.25" customHeight="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22" ht="23.25" customHeight="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22" ht="23.25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22" ht="23.25" customHeight="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22" ht="23.25" customHeight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22" ht="23.25" customHeight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22" ht="23.25" customHeight="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2" ht="23.25" customHeight="1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2:18" ht="23.25" customHeight="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2:18" ht="23.25" customHeight="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2:18" ht="23.25" customHeight="1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2:18" ht="23.25" customHeight="1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2:18" ht="23.25" customHeight="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2:18" ht="23.25" customHeight="1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2:18" ht="23.25" customHeight="1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18" ht="23.25" customHeight="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2:18" ht="23.25" customHeight="1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2:18" ht="23.25" customHeight="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18" ht="23.25" customHeight="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2:18" ht="23.25" customHeight="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2:18" ht="23.25" customHeight="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2:18" ht="23.25" customHeight="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2:18" ht="23.25" customHeight="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2:18" ht="23.25" customHeight="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2:18" ht="23.25" customHeight="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2:18" ht="23.25" customHeight="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2:18" ht="23.25" customHeight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2:18" ht="23.25" customHeight="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2:18" ht="23.25" customHeight="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</sheetData>
  <conditionalFormatting sqref="N1:N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{828E99CF-9357-499B-8CCB-B738D92992D8}</x14:id>
        </ext>
      </extLst>
    </cfRule>
  </conditionalFormatting>
  <conditionalFormatting sqref="O1:P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{3EC39E7A-3F5A-4237-959A-9CE0433DD82C}</x14:id>
        </ext>
      </extLst>
    </cfRule>
  </conditionalFormatting>
  <conditionalFormatting sqref="Q1:Q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{9356E38A-0390-4719-ADFE-C7FE94EB9B5D}</x14:id>
        </ext>
      </extLst>
    </cfRule>
  </conditionalFormatting>
  <conditionalFormatting sqref="K1:M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T2:T3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{DA165BD3-D2FA-415E-86B7-1677BFFDC9B2}</x14:id>
        </ext>
      </extLst>
    </cfRule>
  </conditionalFormatting>
  <conditionalFormatting sqref="R1:R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{68852B98-BDAB-4881-BC1B-BD27D535274E}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8E99CF-9357-499B-8CCB-B738D92992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3EC39E7A-3F5A-4237-959A-9CE0433DD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O1:P1048576</xm:sqref>
        </x14:conditionalFormatting>
        <x14:conditionalFormatting xmlns:xm="http://schemas.microsoft.com/office/excel/2006/main">
          <x14:cfRule type="dataBar" id="{9356E38A-0390-4719-ADFE-C7FE94EB9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DA165BD3-D2FA-415E-86B7-1677BFFDC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T2:T37</xm:sqref>
        </x14:conditionalFormatting>
        <x14:conditionalFormatting xmlns:xm="http://schemas.microsoft.com/office/excel/2006/main">
          <x14:cfRule type="dataBar" id="{68852B98-BDAB-4881-BC1B-BD27D5352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R1:R1048576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/>
  </sheetViews>
  <sheetFormatPr defaultRowHeight="15" x14ac:dyDescent="0.25"/>
  <sheetData>
    <row r="1" spans="1:3" x14ac:dyDescent="0.25">
      <c r="A1">
        <f>'Сбор нагрузок'!B2</f>
        <v>0</v>
      </c>
      <c r="B1">
        <f>'Сбор нагрузок'!Q2</f>
        <v>0</v>
      </c>
      <c r="C1">
        <f>'Сбор нагрузок'!R2</f>
        <v>0</v>
      </c>
    </row>
    <row r="2" spans="1:3" x14ac:dyDescent="0.25">
      <c r="A2">
        <f>'Сбор нагрузок'!B3</f>
        <v>-0.56999999999999995</v>
      </c>
      <c r="B2">
        <f>'Сбор нагрузок'!Q3</f>
        <v>5.8819999999999997</v>
      </c>
      <c r="C2">
        <f>'Сбор нагрузок'!R3</f>
        <v>1.6759999999999999</v>
      </c>
    </row>
    <row r="3" spans="1:3" x14ac:dyDescent="0.25">
      <c r="A3">
        <f>'Сбор нагрузок'!B4</f>
        <v>-1.1399999999999999</v>
      </c>
      <c r="B3">
        <f>'Сбор нагрузок'!Q4</f>
        <v>11.763999999999999</v>
      </c>
      <c r="C3">
        <f>'Сбор нагрузок'!R4</f>
        <v>5.0289999999999999</v>
      </c>
    </row>
    <row r="4" spans="1:3" x14ac:dyDescent="0.25">
      <c r="A4">
        <f>'Сбор нагрузок'!B5</f>
        <v>-1.71</v>
      </c>
      <c r="B4">
        <f>'Сбор нагрузок'!Q5</f>
        <v>35.664000000000001</v>
      </c>
      <c r="C4">
        <f>'Сбор нагрузок'!R5</f>
        <v>13.516999999999999</v>
      </c>
    </row>
    <row r="5" spans="1:3" x14ac:dyDescent="0.25">
      <c r="A5">
        <f>'Сбор нагрузок'!B6</f>
        <v>-2.2799999999999998</v>
      </c>
      <c r="B5">
        <f>'Сбор нагрузок'!Q6</f>
        <v>41.545999999999999</v>
      </c>
      <c r="C5">
        <f>'Сбор нагрузок'!R6</f>
        <v>22.004999999999999</v>
      </c>
    </row>
    <row r="6" spans="1:3" x14ac:dyDescent="0.25">
      <c r="A6">
        <f>'Сбор нагрузок'!B7</f>
        <v>-2.85</v>
      </c>
      <c r="B6">
        <f>'Сбор нагрузок'!Q7</f>
        <v>47.427999999999997</v>
      </c>
      <c r="C6">
        <f>'Сбор нагрузок'!R7</f>
        <v>25.358000000000001</v>
      </c>
    </row>
    <row r="7" spans="1:3" x14ac:dyDescent="0.25">
      <c r="A7">
        <f>'Сбор нагрузок'!B8</f>
        <v>-3.42</v>
      </c>
      <c r="B7">
        <f>'Сбор нагрузок'!Q8</f>
        <v>53.31</v>
      </c>
      <c r="C7">
        <f>'Сбор нагрузок'!R8</f>
        <v>28.71</v>
      </c>
    </row>
    <row r="8" spans="1:3" x14ac:dyDescent="0.25">
      <c r="A8">
        <f>'Сбор нагрузок'!B9</f>
        <v>-3.99</v>
      </c>
      <c r="B8">
        <f>'Сбор нагрузок'!Q9</f>
        <v>59.192</v>
      </c>
      <c r="C8">
        <f>'Сбор нагрузок'!R9</f>
        <v>32.063000000000002</v>
      </c>
    </row>
    <row r="9" spans="1:3" x14ac:dyDescent="0.25">
      <c r="A9">
        <f>'Сбор нагрузок'!B10</f>
        <v>-4.5599999999999996</v>
      </c>
      <c r="B9">
        <f>'Сбор нагрузок'!Q10</f>
        <v>65.073999999999998</v>
      </c>
      <c r="C9">
        <f>'Сбор нагрузок'!R10</f>
        <v>35.415999999999997</v>
      </c>
    </row>
    <row r="10" spans="1:3" x14ac:dyDescent="0.25">
      <c r="A10">
        <f>'Сбор нагрузок'!B11</f>
        <v>-5.13</v>
      </c>
      <c r="B10">
        <f>'Сбор нагрузок'!Q11</f>
        <v>70.956999999999994</v>
      </c>
      <c r="C10">
        <f>'Сбор нагрузок'!R11</f>
        <v>38.768999999999998</v>
      </c>
    </row>
    <row r="11" spans="1:3" x14ac:dyDescent="0.25">
      <c r="A11">
        <f>'Сбор нагрузок'!B12</f>
        <v>-5.7</v>
      </c>
      <c r="B11">
        <f>'Сбор нагрузок'!Q12</f>
        <v>76.838999999999999</v>
      </c>
      <c r="C11">
        <f>'Сбор нагрузок'!R12</f>
        <v>42.122</v>
      </c>
    </row>
    <row r="12" spans="1:3" x14ac:dyDescent="0.25">
      <c r="A12">
        <f>'Сбор нагрузок'!B13</f>
        <v>-5.7</v>
      </c>
      <c r="B12">
        <f>'Сбор нагрузок'!Q13</f>
        <v>85.915999999999997</v>
      </c>
      <c r="C12">
        <f>'Сбор нагрузок'!R13</f>
        <v>0</v>
      </c>
    </row>
    <row r="13" spans="1:3" x14ac:dyDescent="0.25">
      <c r="A13">
        <f>'Сбор нагрузок'!B14</f>
        <v>-6.26</v>
      </c>
      <c r="B13">
        <f>'Сбор нагрузок'!Q14</f>
        <v>72.572999999999993</v>
      </c>
      <c r="C13">
        <f>'Сбор нагрузок'!R14</f>
        <v>44.377000000000002</v>
      </c>
    </row>
    <row r="14" spans="1:3" x14ac:dyDescent="0.25">
      <c r="A14">
        <f>'Сбор нагрузок'!B15</f>
        <v>-6.82</v>
      </c>
      <c r="B14">
        <f>'Сбор нагрузок'!Q15</f>
        <v>79.751999999999995</v>
      </c>
      <c r="C14">
        <f>'Сбор нагрузок'!R15</f>
        <v>42.651000000000003</v>
      </c>
    </row>
    <row r="15" spans="1:3" x14ac:dyDescent="0.25">
      <c r="A15">
        <f>'Сбор нагрузок'!B16</f>
        <v>-7.38</v>
      </c>
      <c r="B15">
        <f>'Сбор нагрузок'!Q16</f>
        <v>86.932000000000002</v>
      </c>
      <c r="C15">
        <f>'Сбор нагрузок'!R16</f>
        <v>46.671999999999997</v>
      </c>
    </row>
    <row r="16" spans="1:3" x14ac:dyDescent="0.25">
      <c r="A16">
        <f>'Сбор нагрузок'!B17</f>
        <v>-7.94</v>
      </c>
      <c r="B16">
        <f>'Сбор нагрузок'!Q17</f>
        <v>94.111000000000004</v>
      </c>
      <c r="C16">
        <f>'Сбор нагрузок'!R17</f>
        <v>50.692</v>
      </c>
    </row>
    <row r="17" spans="1:3" x14ac:dyDescent="0.25">
      <c r="A17">
        <f>'Сбор нагрузок'!B18</f>
        <v>-8.5</v>
      </c>
      <c r="B17">
        <f>'Сбор нагрузок'!Q18</f>
        <v>101.29</v>
      </c>
      <c r="C17">
        <f>'Сбор нагрузок'!R18</f>
        <v>54.712000000000003</v>
      </c>
    </row>
    <row r="18" spans="1:3" x14ac:dyDescent="0.25">
      <c r="A18">
        <f>'Сбор нагрузок'!B19</f>
        <v>-8.5</v>
      </c>
      <c r="B18">
        <f>'Сбор нагрузок'!Q19</f>
        <v>97.606999999999999</v>
      </c>
      <c r="C18">
        <f>'Сбор нагрузок'!R19</f>
        <v>0</v>
      </c>
    </row>
    <row r="19" spans="1:3" x14ac:dyDescent="0.25">
      <c r="A19">
        <f>'Сбор нагрузок'!B20</f>
        <v>-9</v>
      </c>
      <c r="B19">
        <f>'Сбор нагрузок'!Q20</f>
        <v>103.431</v>
      </c>
      <c r="C19">
        <f>'Сбор нагрузок'!R20</f>
        <v>50.26</v>
      </c>
    </row>
    <row r="20" spans="1:3" x14ac:dyDescent="0.25">
      <c r="A20">
        <f>'Сбор нагрузок'!B21</f>
        <v>-9.5</v>
      </c>
      <c r="B20">
        <f>'Сбор нагрузок'!Q21</f>
        <v>45.528695518500001</v>
      </c>
      <c r="C20">
        <f>'Сбор нагрузок'!R21</f>
        <v>37.24</v>
      </c>
    </row>
    <row r="21" spans="1:3" x14ac:dyDescent="0.25">
      <c r="A21">
        <f>'Сбор нагрузок'!B22</f>
        <v>-10</v>
      </c>
      <c r="B21">
        <f>'Сбор нагрузок'!Q22</f>
        <v>-115.0198715824</v>
      </c>
      <c r="C21">
        <f>'Сбор нагрузок'!R22</f>
        <v>-17.373000000000001</v>
      </c>
    </row>
    <row r="22" spans="1:3" x14ac:dyDescent="0.25">
      <c r="A22">
        <f>'Сбор нагрузок'!B23</f>
        <v>-10.5</v>
      </c>
      <c r="B22">
        <f>'Сбор нагрузок'!Q23</f>
        <v>-543.54345796662994</v>
      </c>
      <c r="C22">
        <f>'Сбор нагрузок'!R23</f>
        <v>-164.64099999999999</v>
      </c>
    </row>
    <row r="23" spans="1:3" x14ac:dyDescent="0.25">
      <c r="A23">
        <f>'Сбор нагрузок'!B24</f>
        <v>-11</v>
      </c>
      <c r="B23">
        <f>'Сбор нагрузок'!Q24</f>
        <v>-1671.6701639769099</v>
      </c>
      <c r="C23">
        <f>'Сбор нагрузок'!R24</f>
        <v>-553.803</v>
      </c>
    </row>
    <row r="24" spans="1:3" x14ac:dyDescent="0.25">
      <c r="A24">
        <f>'Сбор нагрузок'!B25</f>
        <v>-11.5</v>
      </c>
      <c r="B24">
        <f>'Сбор нагрузок'!Q25</f>
        <v>-4626.2554951994307</v>
      </c>
      <c r="C24">
        <f>'Сбор нагрузок'!R25</f>
        <v>-1574.481</v>
      </c>
    </row>
    <row r="25" spans="1:3" x14ac:dyDescent="0.25">
      <c r="A25">
        <f>'Сбор нагрузок'!B26</f>
        <v>-12</v>
      </c>
      <c r="B25">
        <f>'Сбор нагрузок'!Q26</f>
        <v>-12349.169930643911</v>
      </c>
      <c r="C25">
        <f>'Сбор нагрузок'!R26</f>
        <v>-4243.8559999999998</v>
      </c>
    </row>
    <row r="26" spans="1:3" x14ac:dyDescent="0.25">
      <c r="A26">
        <f>'Сбор нагрузок'!B27</f>
        <v>-12.5</v>
      </c>
      <c r="B26">
        <f>'Сбор нагрузок'!Q27</f>
        <v>-32520.765864630321</v>
      </c>
      <c r="C26">
        <f>'Сбор нагрузок'!R27</f>
        <v>-11217.484</v>
      </c>
    </row>
    <row r="27" spans="1:3" x14ac:dyDescent="0.25">
      <c r="A27">
        <f>'Сбор нагрузок'!B28</f>
        <v>-13</v>
      </c>
      <c r="B27">
        <f>'Сбор нагрузок'!Q28</f>
        <v>-85192.129405918444</v>
      </c>
      <c r="C27">
        <f>'Сбор нагрузок'!R28</f>
        <v>-29428.223999999998</v>
      </c>
    </row>
    <row r="28" spans="1:3" x14ac:dyDescent="0.25">
      <c r="A28">
        <f>'Сбор нагрузок'!B29</f>
        <v>-13.5</v>
      </c>
      <c r="B28">
        <f>'Сбор нагрузок'!Q29</f>
        <v>-222710.63955177975</v>
      </c>
      <c r="C28">
        <f>'Сбор нагрузок'!R29</f>
        <v>-76975.691999999995</v>
      </c>
    </row>
    <row r="29" spans="1:3" x14ac:dyDescent="0.25">
      <c r="A29">
        <f>'Сбор нагрузок'!B30</f>
        <v>-14</v>
      </c>
      <c r="B29">
        <f>'Сбор нагрузок'!Q30</f>
        <v>-581739.59618335392</v>
      </c>
      <c r="C29">
        <f>'Сбор нагрузок'!R30</f>
        <v>-201112.55900000001</v>
      </c>
    </row>
    <row r="30" spans="1:3" x14ac:dyDescent="0.25">
      <c r="A30">
        <f>'Сбор нагрузок'!B31</f>
        <v>-14.5</v>
      </c>
      <c r="B30">
        <f>'Сбор нагрузок'!Q31</f>
        <v>-1519065.8759438682</v>
      </c>
      <c r="C30">
        <f>'Сбор нагрузок'!R31</f>
        <v>-525201.36800000002</v>
      </c>
    </row>
    <row r="31" spans="1:3" x14ac:dyDescent="0.25">
      <c r="A31">
        <f>'Сбор нагрузок'!B32</f>
        <v>-15</v>
      </c>
      <c r="B31">
        <f>'Сбор нагрузок'!Q32</f>
        <v>-3966152.9726107852</v>
      </c>
      <c r="C31">
        <f>'Сбор нагрузок'!R32</f>
        <v>-1371304.7120000001</v>
      </c>
    </row>
    <row r="32" spans="1:3" x14ac:dyDescent="0.25">
      <c r="A32">
        <f>'Сбор нагрузок'!B33</f>
        <v>-15.5</v>
      </c>
      <c r="B32">
        <f>'Сбор нагрузок'!Q33</f>
        <v>-10354772.637254177</v>
      </c>
      <c r="C32">
        <f>'Сбор нагрузок'!R33</f>
        <v>-3580231.4019999998</v>
      </c>
    </row>
    <row r="33" spans="1:3" x14ac:dyDescent="0.25">
      <c r="A33">
        <f>'Сбор нагрузок'!B34</f>
        <v>-16</v>
      </c>
      <c r="B33">
        <f>'Сбор нагрузок'!Q34</f>
        <v>-27033551.377007145</v>
      </c>
      <c r="C33">
        <f>'Сбор нагрузок'!R34</f>
        <v>-9347081.0040000007</v>
      </c>
    </row>
    <row r="34" spans="1:3" x14ac:dyDescent="0.25">
      <c r="A34">
        <f>'Сбор нагрузок'!B35</f>
        <v>-16.5</v>
      </c>
      <c r="B34">
        <f>'Сбор нагрузок'!Q35</f>
        <v>-70576848.414587334</v>
      </c>
      <c r="C34">
        <f>'Сбор нагрузок'!R35</f>
        <v>-24402599.947999999</v>
      </c>
    </row>
    <row r="35" spans="1:3" x14ac:dyDescent="0.25">
      <c r="A35">
        <f>'Сбор нагрузок'!B36</f>
        <v>-17</v>
      </c>
      <c r="B35">
        <f>'Сбор нагрузок'!Q36</f>
        <v>-184255343.37041304</v>
      </c>
      <c r="C35">
        <f>'Сбор нагрузок'!R36</f>
        <v>-63708047.946000002</v>
      </c>
    </row>
    <row r="36" spans="1:3" x14ac:dyDescent="0.25">
      <c r="A36">
        <f>'Сбор нагрузок'!B37</f>
        <v>-17.5</v>
      </c>
      <c r="B36">
        <f>'Сбор нагрузок'!Q37</f>
        <v>-481035799.5307036</v>
      </c>
      <c r="C36">
        <f>'Сбор нагрузок'!R37</f>
        <v>-166322785.72499999</v>
      </c>
    </row>
    <row r="37" spans="1:3" x14ac:dyDescent="0.25">
      <c r="A37">
        <f>'Сбор нагрузок'!B38</f>
        <v>0</v>
      </c>
      <c r="B37">
        <f>'Сбор нагрузок'!Q38</f>
        <v>0</v>
      </c>
      <c r="C37">
        <f>'Сбор нагрузок'!R38</f>
        <v>0</v>
      </c>
    </row>
    <row r="38" spans="1:3" x14ac:dyDescent="0.25">
      <c r="A38">
        <f>'Сбор нагрузок'!B39</f>
        <v>0</v>
      </c>
      <c r="B38">
        <f>'Сбор нагрузок'!Q39</f>
        <v>0</v>
      </c>
      <c r="C38">
        <f>'Сбор нагрузок'!R39</f>
        <v>0</v>
      </c>
    </row>
    <row r="39" spans="1:3" x14ac:dyDescent="0.25">
      <c r="A39">
        <f>'Сбор нагрузок'!B40</f>
        <v>0</v>
      </c>
      <c r="B39">
        <f>'Сбор нагрузок'!Q40</f>
        <v>0</v>
      </c>
      <c r="C39">
        <f>'Сбор нагрузок'!R40</f>
        <v>0</v>
      </c>
    </row>
    <row r="40" spans="1:3" x14ac:dyDescent="0.25">
      <c r="A40">
        <f>'Сбор нагрузок'!B41</f>
        <v>0</v>
      </c>
      <c r="B40">
        <f>'Сбор нагрузок'!Q41</f>
        <v>0</v>
      </c>
      <c r="C40">
        <f>'Сбор нагрузок'!R41</f>
        <v>0</v>
      </c>
    </row>
    <row r="41" spans="1:3" x14ac:dyDescent="0.25">
      <c r="A41">
        <f>'Сбор нагрузок'!B42</f>
        <v>0</v>
      </c>
      <c r="B41">
        <f>'Сбор нагрузок'!Q42</f>
        <v>0</v>
      </c>
      <c r="C41">
        <f>'Сбор нагрузок'!R42</f>
        <v>0</v>
      </c>
    </row>
    <row r="42" spans="1:3" x14ac:dyDescent="0.25">
      <c r="A42">
        <f>'Сбор нагрузок'!B43</f>
        <v>0</v>
      </c>
      <c r="B42">
        <f>'Сбор нагрузок'!Q43</f>
        <v>0</v>
      </c>
      <c r="C42">
        <f>'Сбор нагрузок'!R43</f>
        <v>0</v>
      </c>
    </row>
    <row r="43" spans="1:3" x14ac:dyDescent="0.25">
      <c r="A43">
        <f>'Сбор нагрузок'!B44</f>
        <v>0</v>
      </c>
      <c r="B43">
        <f>'Сбор нагрузок'!Q44</f>
        <v>0</v>
      </c>
      <c r="C43">
        <f>'Сбор нагрузок'!R44</f>
        <v>0</v>
      </c>
    </row>
    <row r="44" spans="1:3" x14ac:dyDescent="0.25">
      <c r="A44">
        <f>'Сбор нагрузок'!B45</f>
        <v>0</v>
      </c>
      <c r="B44">
        <f>'Сбор нагрузок'!Q45</f>
        <v>0</v>
      </c>
      <c r="C44">
        <f>'Сбор нагрузок'!R45</f>
        <v>0</v>
      </c>
    </row>
    <row r="45" spans="1:3" x14ac:dyDescent="0.25">
      <c r="A45">
        <f>'Сбор нагрузок'!B46</f>
        <v>0</v>
      </c>
      <c r="B45">
        <f>'Сбор нагрузок'!Q46</f>
        <v>0</v>
      </c>
      <c r="C45">
        <f>'Сбор нагрузок'!R46</f>
        <v>0</v>
      </c>
    </row>
    <row r="46" spans="1:3" x14ac:dyDescent="0.25">
      <c r="A46">
        <f>'Сбор нагрузок'!B47</f>
        <v>0</v>
      </c>
      <c r="B46">
        <f>'Сбор нагрузок'!Q47</f>
        <v>0</v>
      </c>
      <c r="C46">
        <f>'Сбор нагрузок'!R47</f>
        <v>0</v>
      </c>
    </row>
    <row r="47" spans="1:3" x14ac:dyDescent="0.25">
      <c r="A47">
        <f>'Сбор нагрузок'!B48</f>
        <v>0</v>
      </c>
      <c r="B47">
        <f>'Сбор нагрузок'!Q48</f>
        <v>0</v>
      </c>
      <c r="C47">
        <f>'Сбор нагрузок'!R48</f>
        <v>0</v>
      </c>
    </row>
    <row r="48" spans="1:3" x14ac:dyDescent="0.25">
      <c r="A48">
        <f>'Сбор нагрузок'!B49</f>
        <v>0</v>
      </c>
      <c r="B48">
        <f>'Сбор нагрузок'!Q49</f>
        <v>0</v>
      </c>
      <c r="C48">
        <f>'Сбор нагрузок'!R49</f>
        <v>0</v>
      </c>
    </row>
    <row r="49" spans="1:3" x14ac:dyDescent="0.25">
      <c r="A49">
        <f>'Сбор нагрузок'!B50</f>
        <v>0</v>
      </c>
      <c r="B49">
        <f>'Сбор нагрузок'!Q50</f>
        <v>0</v>
      </c>
      <c r="C49">
        <f>'Сбор нагрузок'!R50</f>
        <v>0</v>
      </c>
    </row>
    <row r="50" spans="1:3" x14ac:dyDescent="0.25">
      <c r="A50">
        <f>'Сбор нагрузок'!B51</f>
        <v>0</v>
      </c>
      <c r="B50">
        <f>'Сбор нагрузок'!Q51</f>
        <v>0</v>
      </c>
      <c r="C50">
        <f>'Сбор нагрузок'!R51</f>
        <v>0</v>
      </c>
    </row>
    <row r="51" spans="1:3" x14ac:dyDescent="0.25">
      <c r="A51">
        <f>'Сбор нагрузок'!B52</f>
        <v>0</v>
      </c>
      <c r="B51">
        <f>'Сбор нагрузок'!Q52</f>
        <v>0</v>
      </c>
      <c r="C51">
        <f>'Сбор нагрузок'!R52</f>
        <v>0</v>
      </c>
    </row>
    <row r="52" spans="1:3" x14ac:dyDescent="0.25">
      <c r="A52">
        <f>'Сбор нагрузок'!B53</f>
        <v>0</v>
      </c>
      <c r="B52">
        <f>'Сбор нагрузок'!Q53</f>
        <v>0</v>
      </c>
      <c r="C52">
        <f>'Сбор нагрузок'!R53</f>
        <v>0</v>
      </c>
    </row>
    <row r="53" spans="1:3" x14ac:dyDescent="0.25">
      <c r="A53">
        <f>'Сбор нагрузок'!B54</f>
        <v>0</v>
      </c>
      <c r="B53">
        <f>'Сбор нагрузок'!Q54</f>
        <v>0</v>
      </c>
      <c r="C53">
        <f>'Сбор нагрузок'!R54</f>
        <v>0</v>
      </c>
    </row>
    <row r="54" spans="1:3" x14ac:dyDescent="0.25">
      <c r="A54">
        <f>'Сбор нагрузок'!B55</f>
        <v>0</v>
      </c>
      <c r="B54">
        <f>'Сбор нагрузок'!Q55</f>
        <v>0</v>
      </c>
      <c r="C54">
        <f>'Сбор нагрузок'!R55</f>
        <v>0</v>
      </c>
    </row>
    <row r="55" spans="1:3" x14ac:dyDescent="0.25">
      <c r="A55">
        <f>'Сбор нагрузок'!B56</f>
        <v>0</v>
      </c>
      <c r="B55">
        <f>'Сбор нагрузок'!Q56</f>
        <v>0</v>
      </c>
      <c r="C55">
        <f>'Сбор нагрузок'!R56</f>
        <v>0</v>
      </c>
    </row>
    <row r="56" spans="1:3" x14ac:dyDescent="0.25">
      <c r="A56">
        <f>'Сбор нагрузок'!B57</f>
        <v>0</v>
      </c>
      <c r="B56">
        <f>'Сбор нагрузок'!Q57</f>
        <v>0</v>
      </c>
      <c r="C56">
        <f>'Сбор нагрузок'!R57</f>
        <v>0</v>
      </c>
    </row>
    <row r="57" spans="1:3" x14ac:dyDescent="0.25">
      <c r="A57">
        <f>'Сбор нагрузок'!B58</f>
        <v>0</v>
      </c>
      <c r="B57">
        <f>'Сбор нагрузок'!Q58</f>
        <v>0</v>
      </c>
      <c r="C57">
        <f>'Сбор нагрузок'!R58</f>
        <v>0</v>
      </c>
    </row>
    <row r="58" spans="1:3" x14ac:dyDescent="0.25">
      <c r="A58">
        <f>'Сбор нагрузок'!B59</f>
        <v>0</v>
      </c>
      <c r="B58">
        <f>'Сбор нагрузок'!Q59</f>
        <v>0</v>
      </c>
      <c r="C58">
        <f>'Сбор нагрузок'!R59</f>
        <v>0</v>
      </c>
    </row>
    <row r="59" spans="1:3" x14ac:dyDescent="0.25">
      <c r="A59">
        <f>'Сбор нагрузок'!B60</f>
        <v>0</v>
      </c>
      <c r="B59">
        <f>'Сбор нагрузок'!Q60</f>
        <v>0</v>
      </c>
      <c r="C59">
        <f>'Сбор нагрузок'!R60</f>
        <v>0</v>
      </c>
    </row>
    <row r="60" spans="1:3" x14ac:dyDescent="0.25">
      <c r="A60">
        <f>'Сбор нагрузок'!B61</f>
        <v>0</v>
      </c>
      <c r="B60">
        <f>'Сбор нагрузок'!Q61</f>
        <v>0</v>
      </c>
      <c r="C60">
        <f>'Сбор нагрузок'!R61</f>
        <v>0</v>
      </c>
    </row>
    <row r="61" spans="1:3" x14ac:dyDescent="0.25">
      <c r="A61">
        <f>'Сбор нагрузок'!B62</f>
        <v>0</v>
      </c>
      <c r="B61">
        <f>'Сбор нагрузок'!Q62</f>
        <v>0</v>
      </c>
      <c r="C61">
        <f>'Сбор нагрузок'!R62</f>
        <v>0</v>
      </c>
    </row>
    <row r="62" spans="1:3" x14ac:dyDescent="0.25">
      <c r="A62">
        <f>'Сбор нагрузок'!B63</f>
        <v>0</v>
      </c>
      <c r="B62">
        <f>'Сбор нагрузок'!Q63</f>
        <v>0</v>
      </c>
      <c r="C62">
        <f>'Сбор нагрузок'!R63</f>
        <v>0</v>
      </c>
    </row>
    <row r="63" spans="1:3" x14ac:dyDescent="0.25">
      <c r="A63">
        <f>'Сбор нагрузок'!B64</f>
        <v>0</v>
      </c>
      <c r="B63">
        <f>'Сбор нагрузок'!Q64</f>
        <v>0</v>
      </c>
      <c r="C63">
        <f>'Сбор нагрузок'!R64</f>
        <v>0</v>
      </c>
    </row>
    <row r="64" spans="1:3" x14ac:dyDescent="0.25">
      <c r="A64">
        <f>'Сбор нагрузок'!B65</f>
        <v>0</v>
      </c>
      <c r="B64">
        <f>'Сбор нагрузок'!Q65</f>
        <v>0</v>
      </c>
      <c r="C64">
        <f>'Сбор нагрузок'!R65</f>
        <v>0</v>
      </c>
    </row>
    <row r="65" spans="1:3" x14ac:dyDescent="0.25">
      <c r="A65">
        <f>'Сбор нагрузок'!B66</f>
        <v>0</v>
      </c>
      <c r="B65">
        <f>'Сбор нагрузок'!Q66</f>
        <v>0</v>
      </c>
      <c r="C65">
        <f>'Сбор нагрузок'!R66</f>
        <v>0</v>
      </c>
    </row>
    <row r="66" spans="1:3" x14ac:dyDescent="0.25">
      <c r="A66">
        <f>'Сбор нагрузок'!B67</f>
        <v>0</v>
      </c>
      <c r="B66">
        <f>'Сбор нагрузок'!Q67</f>
        <v>0</v>
      </c>
      <c r="C66">
        <f>'Сбор нагрузок'!R67</f>
        <v>0</v>
      </c>
    </row>
    <row r="67" spans="1:3" x14ac:dyDescent="0.25">
      <c r="A67">
        <f>'Сбор нагрузок'!B68</f>
        <v>0</v>
      </c>
      <c r="B67">
        <f>'Сбор нагрузок'!Q68</f>
        <v>0</v>
      </c>
      <c r="C67">
        <f>'Сбор нагрузок'!R68</f>
        <v>0</v>
      </c>
    </row>
    <row r="68" spans="1:3" x14ac:dyDescent="0.25">
      <c r="A68">
        <f>'Сбор нагрузок'!B69</f>
        <v>0</v>
      </c>
      <c r="B68">
        <f>'Сбор нагрузок'!Q69</f>
        <v>0</v>
      </c>
      <c r="C68">
        <f>'Сбор нагрузок'!R69</f>
        <v>0</v>
      </c>
    </row>
    <row r="69" spans="1:3" x14ac:dyDescent="0.25">
      <c r="A69">
        <f>'Сбор нагрузок'!B70</f>
        <v>0</v>
      </c>
      <c r="B69">
        <f>'Сбор нагрузок'!Q70</f>
        <v>0</v>
      </c>
      <c r="C69">
        <f>'Сбор нагрузок'!R70</f>
        <v>0</v>
      </c>
    </row>
    <row r="70" spans="1:3" x14ac:dyDescent="0.25">
      <c r="A70">
        <f>'Сбор нагрузок'!B71</f>
        <v>0</v>
      </c>
      <c r="B70">
        <f>'Сбор нагрузок'!Q71</f>
        <v>0</v>
      </c>
      <c r="C70">
        <f>'Сбор нагрузок'!R71</f>
        <v>0</v>
      </c>
    </row>
    <row r="71" spans="1:3" x14ac:dyDescent="0.25">
      <c r="A71">
        <f>'Сбор нагрузок'!B72</f>
        <v>0</v>
      </c>
      <c r="B71">
        <f>'Сбор нагрузок'!Q72</f>
        <v>0</v>
      </c>
      <c r="C71">
        <f>'Сбор нагрузок'!R72</f>
        <v>0</v>
      </c>
    </row>
    <row r="72" spans="1:3" x14ac:dyDescent="0.25">
      <c r="A72">
        <f>'Сбор нагрузок'!B73</f>
        <v>0</v>
      </c>
      <c r="B72">
        <f>'Сбор нагрузок'!Q73</f>
        <v>0</v>
      </c>
      <c r="C72">
        <f>'Сбор нагрузок'!R73</f>
        <v>0</v>
      </c>
    </row>
    <row r="73" spans="1:3" x14ac:dyDescent="0.25">
      <c r="A73">
        <f>'Сбор нагрузок'!B74</f>
        <v>0</v>
      </c>
      <c r="B73">
        <f>'Сбор нагрузок'!Q74</f>
        <v>0</v>
      </c>
      <c r="C73">
        <f>'Сбор нагрузок'!R74</f>
        <v>0</v>
      </c>
    </row>
    <row r="74" spans="1:3" x14ac:dyDescent="0.25">
      <c r="A74">
        <f>'Сбор нагрузок'!B75</f>
        <v>0</v>
      </c>
      <c r="B74">
        <f>'Сбор нагрузок'!Q75</f>
        <v>0</v>
      </c>
      <c r="C74">
        <f>'Сбор нагрузок'!R75</f>
        <v>0</v>
      </c>
    </row>
    <row r="75" spans="1:3" x14ac:dyDescent="0.25">
      <c r="A75">
        <f>'Сбор нагрузок'!B76</f>
        <v>0</v>
      </c>
      <c r="B75">
        <f>'Сбор нагрузок'!Q76</f>
        <v>0</v>
      </c>
      <c r="C75">
        <f>'Сбор нагрузок'!R76</f>
        <v>0</v>
      </c>
    </row>
    <row r="76" spans="1:3" x14ac:dyDescent="0.25">
      <c r="A76">
        <f>'Сбор нагрузок'!B77</f>
        <v>0</v>
      </c>
      <c r="B76">
        <f>'Сбор нагрузок'!Q77</f>
        <v>0</v>
      </c>
      <c r="C76">
        <f>'Сбор нагрузок'!R77</f>
        <v>0</v>
      </c>
    </row>
    <row r="77" spans="1:3" x14ac:dyDescent="0.25">
      <c r="A77">
        <f>'Сбор нагрузок'!B78</f>
        <v>0</v>
      </c>
      <c r="B77">
        <f>'Сбор нагрузок'!Q78</f>
        <v>0</v>
      </c>
      <c r="C77">
        <f>'Сбор нагрузок'!R78</f>
        <v>0</v>
      </c>
    </row>
    <row r="78" spans="1:3" x14ac:dyDescent="0.25">
      <c r="A78">
        <f>'Сбор нагрузок'!B79</f>
        <v>0</v>
      </c>
      <c r="B78">
        <f>'Сбор нагрузок'!Q79</f>
        <v>0</v>
      </c>
      <c r="C78">
        <f>'Сбор нагрузок'!R79</f>
        <v>0</v>
      </c>
    </row>
    <row r="79" spans="1:3" x14ac:dyDescent="0.25">
      <c r="A79">
        <f>'Сбор нагрузок'!B80</f>
        <v>0</v>
      </c>
      <c r="B79">
        <f>'Сбор нагрузок'!Q80</f>
        <v>0</v>
      </c>
      <c r="C79">
        <f>'Сбор нагрузок'!R80</f>
        <v>0</v>
      </c>
    </row>
    <row r="80" spans="1:3" x14ac:dyDescent="0.25">
      <c r="A80">
        <f>'Сбор нагрузок'!B81</f>
        <v>0</v>
      </c>
      <c r="B80">
        <f>'Сбор нагрузок'!Q81</f>
        <v>0</v>
      </c>
      <c r="C80">
        <f>'Сбор нагрузок'!R81</f>
        <v>0</v>
      </c>
    </row>
    <row r="81" spans="1:3" x14ac:dyDescent="0.25">
      <c r="A81">
        <f>'Сбор нагрузок'!B82</f>
        <v>0</v>
      </c>
      <c r="B81">
        <f>'Сбор нагрузок'!Q82</f>
        <v>0</v>
      </c>
      <c r="C81">
        <f>'Сбор нагрузок'!R82</f>
        <v>0</v>
      </c>
    </row>
    <row r="82" spans="1:3" x14ac:dyDescent="0.25">
      <c r="A82">
        <f>'Сбор нагрузок'!B83</f>
        <v>0</v>
      </c>
      <c r="B82">
        <f>'Сбор нагрузок'!Q83</f>
        <v>0</v>
      </c>
      <c r="C82">
        <f>'Сбор нагрузок'!R83</f>
        <v>0</v>
      </c>
    </row>
    <row r="83" spans="1:3" x14ac:dyDescent="0.25">
      <c r="A83">
        <f>'Сбор нагрузок'!B84</f>
        <v>0</v>
      </c>
      <c r="B83">
        <f>'Сбор нагрузок'!Q84</f>
        <v>0</v>
      </c>
      <c r="C83">
        <f>'Сбор нагрузок'!R84</f>
        <v>0</v>
      </c>
    </row>
    <row r="84" spans="1:3" x14ac:dyDescent="0.25">
      <c r="A84">
        <f>'Сбор нагрузок'!B85</f>
        <v>0</v>
      </c>
      <c r="B84">
        <f>'Сбор нагрузок'!Q85</f>
        <v>0</v>
      </c>
      <c r="C84">
        <f>'Сбор нагрузок'!R85</f>
        <v>0</v>
      </c>
    </row>
    <row r="85" spans="1:3" x14ac:dyDescent="0.25">
      <c r="A85">
        <f>'Сбор нагрузок'!B86</f>
        <v>0</v>
      </c>
      <c r="B85">
        <f>'Сбор нагрузок'!Q86</f>
        <v>0</v>
      </c>
      <c r="C85">
        <f>'Сбор нагрузок'!R86</f>
        <v>0</v>
      </c>
    </row>
    <row r="86" spans="1:3" x14ac:dyDescent="0.25">
      <c r="A86">
        <f>'Сбор нагрузок'!B87</f>
        <v>0</v>
      </c>
      <c r="B86">
        <f>'Сбор нагрузок'!Q87</f>
        <v>0</v>
      </c>
      <c r="C86">
        <f>'Сбор нагрузок'!R87</f>
        <v>0</v>
      </c>
    </row>
    <row r="87" spans="1:3" x14ac:dyDescent="0.25">
      <c r="A87">
        <f>'Сбор нагрузок'!B88</f>
        <v>0</v>
      </c>
      <c r="B87">
        <f>'Сбор нагрузок'!Q88</f>
        <v>0</v>
      </c>
      <c r="C87">
        <f>'Сбор нагрузок'!R88</f>
        <v>0</v>
      </c>
    </row>
    <row r="88" spans="1:3" x14ac:dyDescent="0.25">
      <c r="A88">
        <f>'Сбор нагрузок'!B89</f>
        <v>0</v>
      </c>
      <c r="B88">
        <f>'Сбор нагрузок'!Q89</f>
        <v>0</v>
      </c>
      <c r="C88">
        <f>'Сбор нагрузок'!R89</f>
        <v>0</v>
      </c>
    </row>
    <row r="89" spans="1:3" x14ac:dyDescent="0.25">
      <c r="A89">
        <f>'Сбор нагрузок'!B90</f>
        <v>0</v>
      </c>
      <c r="B89">
        <f>'Сбор нагрузок'!Q90</f>
        <v>0</v>
      </c>
      <c r="C89">
        <f>'Сбор нагрузок'!R90</f>
        <v>0</v>
      </c>
    </row>
    <row r="90" spans="1:3" x14ac:dyDescent="0.25">
      <c r="A90">
        <f>'Сбор нагрузок'!B91</f>
        <v>0</v>
      </c>
      <c r="B90">
        <f>'Сбор нагрузок'!Q91</f>
        <v>0</v>
      </c>
      <c r="C90">
        <f>'Сбор нагрузок'!R91</f>
        <v>0</v>
      </c>
    </row>
    <row r="91" spans="1:3" x14ac:dyDescent="0.25">
      <c r="A91">
        <f>'Сбор нагрузок'!B92</f>
        <v>0</v>
      </c>
      <c r="B91">
        <f>'Сбор нагрузок'!Q92</f>
        <v>0</v>
      </c>
      <c r="C91">
        <f>'Сбор нагрузок'!R92</f>
        <v>0</v>
      </c>
    </row>
    <row r="92" spans="1:3" x14ac:dyDescent="0.25">
      <c r="A92">
        <f>'Сбор нагрузок'!B93</f>
        <v>0</v>
      </c>
      <c r="B92">
        <f>'Сбор нагрузок'!Q93</f>
        <v>0</v>
      </c>
      <c r="C92">
        <f>'Сбор нагрузок'!R93</f>
        <v>0</v>
      </c>
    </row>
    <row r="93" spans="1:3" x14ac:dyDescent="0.25">
      <c r="A93">
        <f>'Сбор нагрузок'!B94</f>
        <v>0</v>
      </c>
      <c r="B93">
        <f>'Сбор нагрузок'!Q94</f>
        <v>0</v>
      </c>
      <c r="C93">
        <f>'Сбор нагрузок'!R94</f>
        <v>0</v>
      </c>
    </row>
    <row r="94" spans="1:3" x14ac:dyDescent="0.25">
      <c r="A94">
        <f>'Сбор нагрузок'!B95</f>
        <v>0</v>
      </c>
      <c r="B94">
        <f>'Сбор нагрузок'!Q95</f>
        <v>0</v>
      </c>
      <c r="C94">
        <f>'Сбор нагрузок'!R95</f>
        <v>0</v>
      </c>
    </row>
    <row r="95" spans="1:3" x14ac:dyDescent="0.25">
      <c r="A95">
        <f>'Сбор нагрузок'!B96</f>
        <v>0</v>
      </c>
      <c r="B95">
        <f>'Сбор нагрузок'!Q96</f>
        <v>0</v>
      </c>
      <c r="C95">
        <f>'Сбор нагрузок'!R96</f>
        <v>0</v>
      </c>
    </row>
    <row r="96" spans="1:3" x14ac:dyDescent="0.25">
      <c r="A96">
        <f>'Сбор нагрузок'!B97</f>
        <v>0</v>
      </c>
      <c r="B96">
        <f>'Сбор нагрузок'!Q97</f>
        <v>0</v>
      </c>
      <c r="C96">
        <f>'Сбор нагрузок'!R97</f>
        <v>0</v>
      </c>
    </row>
    <row r="97" spans="1:3" x14ac:dyDescent="0.25">
      <c r="A97">
        <f>'Сбор нагрузок'!B98</f>
        <v>0</v>
      </c>
      <c r="B97">
        <f>'Сбор нагрузок'!Q98</f>
        <v>0</v>
      </c>
      <c r="C97">
        <f>'Сбор нагрузок'!R98</f>
        <v>0</v>
      </c>
    </row>
    <row r="98" spans="1:3" x14ac:dyDescent="0.25">
      <c r="A98">
        <f>'Сбор нагрузок'!B99</f>
        <v>0</v>
      </c>
      <c r="B98">
        <f>'Сбор нагрузок'!Q99</f>
        <v>0</v>
      </c>
      <c r="C98">
        <f>'Сбор нагрузок'!R99</f>
        <v>0</v>
      </c>
    </row>
    <row r="99" spans="1:3" x14ac:dyDescent="0.25">
      <c r="A99">
        <f>'Сбор нагрузок'!B100</f>
        <v>0</v>
      </c>
      <c r="B99">
        <f>'Сбор нагрузок'!Q100</f>
        <v>0</v>
      </c>
      <c r="C99">
        <f>'Сбор нагрузок'!R100</f>
        <v>0</v>
      </c>
    </row>
    <row r="100" spans="1:3" x14ac:dyDescent="0.25">
      <c r="A100">
        <f>'Сбор нагрузок'!B101</f>
        <v>0</v>
      </c>
      <c r="B100">
        <f>'Сбор нагрузок'!Q101</f>
        <v>0</v>
      </c>
      <c r="C100">
        <f>'Сбор нагрузок'!R101</f>
        <v>0</v>
      </c>
    </row>
    <row r="101" spans="1:3" x14ac:dyDescent="0.25">
      <c r="A101">
        <f>'Сбор нагрузок'!B102</f>
        <v>0</v>
      </c>
      <c r="B101">
        <f>'Сбор нагрузок'!Q102</f>
        <v>0</v>
      </c>
      <c r="C101">
        <f>'Сбор нагрузок'!R102</f>
        <v>0</v>
      </c>
    </row>
    <row r="102" spans="1:3" x14ac:dyDescent="0.25">
      <c r="A102">
        <f>'Сбор нагрузок'!B103</f>
        <v>0</v>
      </c>
      <c r="B102">
        <f>'Сбор нагрузок'!Q103</f>
        <v>0</v>
      </c>
      <c r="C102">
        <f>'Сбор нагрузок'!R103</f>
        <v>0</v>
      </c>
    </row>
    <row r="103" spans="1:3" x14ac:dyDescent="0.25">
      <c r="A103">
        <f>'Сбор нагрузок'!B104</f>
        <v>0</v>
      </c>
      <c r="B103">
        <f>'Сбор нагрузок'!Q104</f>
        <v>0</v>
      </c>
      <c r="C103">
        <f>'Сбор нагрузок'!R104</f>
        <v>0</v>
      </c>
    </row>
    <row r="104" spans="1:3" x14ac:dyDescent="0.25">
      <c r="A104">
        <f>'Сбор нагрузок'!B105</f>
        <v>0</v>
      </c>
      <c r="B104">
        <f>'Сбор нагрузок'!Q105</f>
        <v>0</v>
      </c>
      <c r="C104">
        <f>'Сбор нагрузок'!R105</f>
        <v>0</v>
      </c>
    </row>
    <row r="105" spans="1:3" x14ac:dyDescent="0.25">
      <c r="A105">
        <f>'Сбор нагрузок'!B106</f>
        <v>0</v>
      </c>
      <c r="B105">
        <f>'Сбор нагрузок'!Q106</f>
        <v>0</v>
      </c>
      <c r="C105">
        <f>'Сбор нагрузок'!R106</f>
        <v>0</v>
      </c>
    </row>
    <row r="106" spans="1:3" x14ac:dyDescent="0.25">
      <c r="A106">
        <f>'Сбор нагрузок'!B107</f>
        <v>0</v>
      </c>
      <c r="B106">
        <f>'Сбор нагрузок'!Q107</f>
        <v>0</v>
      </c>
      <c r="C106">
        <f>'Сбор нагрузок'!R107</f>
        <v>0</v>
      </c>
    </row>
    <row r="107" spans="1:3" x14ac:dyDescent="0.25">
      <c r="A107">
        <f>'Сбор нагрузок'!B108</f>
        <v>0</v>
      </c>
      <c r="B107">
        <f>'Сбор нагрузок'!Q108</f>
        <v>0</v>
      </c>
      <c r="C107">
        <f>'Сбор нагрузок'!R108</f>
        <v>0</v>
      </c>
    </row>
    <row r="108" spans="1:3" x14ac:dyDescent="0.25">
      <c r="A108">
        <f>'Сбор нагрузок'!B109</f>
        <v>0</v>
      </c>
      <c r="B108">
        <f>'Сбор нагрузок'!Q109</f>
        <v>0</v>
      </c>
      <c r="C108">
        <f>'Сбор нагрузок'!R109</f>
        <v>0</v>
      </c>
    </row>
    <row r="109" spans="1:3" x14ac:dyDescent="0.25">
      <c r="A109">
        <f>'Сбор нагрузок'!B110</f>
        <v>0</v>
      </c>
      <c r="B109">
        <f>'Сбор нагрузок'!Q110</f>
        <v>0</v>
      </c>
      <c r="C109">
        <f>'Сбор нагрузок'!R110</f>
        <v>0</v>
      </c>
    </row>
    <row r="110" spans="1:3" x14ac:dyDescent="0.25">
      <c r="A110">
        <f>'Сбор нагрузок'!B111</f>
        <v>0</v>
      </c>
      <c r="B110">
        <f>'Сбор нагрузок'!Q111</f>
        <v>0</v>
      </c>
      <c r="C110">
        <f>'Сбор нагрузок'!R111</f>
        <v>0</v>
      </c>
    </row>
    <row r="111" spans="1:3" x14ac:dyDescent="0.25">
      <c r="A111">
        <f>'Сбор нагрузок'!B112</f>
        <v>0</v>
      </c>
      <c r="B111">
        <f>'Сбор нагрузок'!Q112</f>
        <v>0</v>
      </c>
      <c r="C111">
        <f>'Сбор нагрузок'!R112</f>
        <v>0</v>
      </c>
    </row>
    <row r="112" spans="1:3" x14ac:dyDescent="0.25">
      <c r="A112">
        <f>'Сбор нагрузок'!B113</f>
        <v>0</v>
      </c>
      <c r="B112">
        <f>'Сбор нагрузок'!Q113</f>
        <v>0</v>
      </c>
      <c r="C112">
        <f>'Сбор нагрузок'!R113</f>
        <v>0</v>
      </c>
    </row>
    <row r="113" spans="1:3" x14ac:dyDescent="0.25">
      <c r="A113">
        <f>'Сбор нагрузок'!B114</f>
        <v>0</v>
      </c>
      <c r="B113">
        <f>'Сбор нагрузок'!Q114</f>
        <v>0</v>
      </c>
      <c r="C113">
        <f>'Сбор нагрузок'!R114</f>
        <v>0</v>
      </c>
    </row>
    <row r="114" spans="1:3" x14ac:dyDescent="0.25">
      <c r="A114">
        <f>'Сбор нагрузок'!B115</f>
        <v>0</v>
      </c>
      <c r="B114">
        <f>'Сбор нагрузок'!Q115</f>
        <v>0</v>
      </c>
      <c r="C114">
        <f>'Сбор нагрузок'!R115</f>
        <v>0</v>
      </c>
    </row>
    <row r="115" spans="1:3" x14ac:dyDescent="0.25">
      <c r="A115">
        <f>'Сбор нагрузок'!B116</f>
        <v>0</v>
      </c>
      <c r="B115">
        <f>'Сбор нагрузок'!Q116</f>
        <v>0</v>
      </c>
      <c r="C115">
        <f>'Сбор нагрузок'!R116</f>
        <v>0</v>
      </c>
    </row>
    <row r="116" spans="1:3" x14ac:dyDescent="0.25">
      <c r="A116">
        <f>'Сбор нагрузок'!B117</f>
        <v>0</v>
      </c>
      <c r="B116">
        <f>'Сбор нагрузок'!Q117</f>
        <v>0</v>
      </c>
      <c r="C116">
        <f>'Сбор нагрузок'!R117</f>
        <v>0</v>
      </c>
    </row>
    <row r="117" spans="1:3" x14ac:dyDescent="0.25">
      <c r="A117">
        <f>'Сбор нагрузок'!B118</f>
        <v>0</v>
      </c>
      <c r="B117">
        <f>'Сбор нагрузок'!Q118</f>
        <v>0</v>
      </c>
      <c r="C117">
        <f>'Сбор нагрузок'!R118</f>
        <v>0</v>
      </c>
    </row>
    <row r="118" spans="1:3" x14ac:dyDescent="0.25">
      <c r="A118">
        <f>'Сбор нагрузок'!B119</f>
        <v>0</v>
      </c>
      <c r="B118">
        <f>'Сбор нагрузок'!Q119</f>
        <v>0</v>
      </c>
      <c r="C118">
        <f>'Сбор нагрузок'!R119</f>
        <v>0</v>
      </c>
    </row>
    <row r="119" spans="1:3" x14ac:dyDescent="0.25">
      <c r="A119">
        <f>'Сбор нагрузок'!B120</f>
        <v>0</v>
      </c>
      <c r="B119">
        <f>'Сбор нагрузок'!Q120</f>
        <v>0</v>
      </c>
      <c r="C119">
        <f>'Сбор нагрузок'!R120</f>
        <v>0</v>
      </c>
    </row>
    <row r="120" spans="1:3" x14ac:dyDescent="0.25">
      <c r="A120">
        <f>'Сбор нагрузок'!B121</f>
        <v>0</v>
      </c>
      <c r="B120">
        <f>'Сбор нагрузок'!Q121</f>
        <v>0</v>
      </c>
      <c r="C120">
        <f>'Сбор нагрузок'!R121</f>
        <v>0</v>
      </c>
    </row>
    <row r="121" spans="1:3" x14ac:dyDescent="0.25">
      <c r="A121">
        <f>'Сбор нагрузок'!B122</f>
        <v>0</v>
      </c>
      <c r="B121">
        <f>'Сбор нагрузок'!Q122</f>
        <v>0</v>
      </c>
      <c r="C121">
        <f>'Сбор нагрузок'!R122</f>
        <v>0</v>
      </c>
    </row>
    <row r="122" spans="1:3" x14ac:dyDescent="0.25">
      <c r="A122">
        <f>'Сбор нагрузок'!B123</f>
        <v>0</v>
      </c>
      <c r="B122">
        <f>'Сбор нагрузок'!Q123</f>
        <v>0</v>
      </c>
      <c r="C122">
        <f>'Сбор нагрузок'!R123</f>
        <v>0</v>
      </c>
    </row>
    <row r="123" spans="1:3" x14ac:dyDescent="0.25">
      <c r="A123">
        <f>'Сбор нагрузок'!B124</f>
        <v>0</v>
      </c>
      <c r="B123">
        <f>'Сбор нагрузок'!Q124</f>
        <v>0</v>
      </c>
      <c r="C123">
        <f>'Сбор нагрузок'!R124</f>
        <v>0</v>
      </c>
    </row>
    <row r="124" spans="1:3" x14ac:dyDescent="0.25">
      <c r="A124">
        <f>'Сбор нагрузок'!B125</f>
        <v>0</v>
      </c>
      <c r="B124">
        <f>'Сбор нагрузок'!Q125</f>
        <v>0</v>
      </c>
      <c r="C124">
        <f>'Сбор нагрузок'!R125</f>
        <v>0</v>
      </c>
    </row>
    <row r="125" spans="1:3" x14ac:dyDescent="0.25">
      <c r="A125">
        <f>'Сбор нагрузок'!B126</f>
        <v>0</v>
      </c>
      <c r="B125">
        <f>'Сбор нагрузок'!Q126</f>
        <v>0</v>
      </c>
      <c r="C125">
        <f>'Сбор нагрузок'!R126</f>
        <v>0</v>
      </c>
    </row>
    <row r="126" spans="1:3" x14ac:dyDescent="0.25">
      <c r="A126">
        <f>'Сбор нагрузок'!B127</f>
        <v>0</v>
      </c>
      <c r="B126">
        <f>'Сбор нагрузок'!Q127</f>
        <v>0</v>
      </c>
      <c r="C126">
        <f>'Сбор нагрузок'!R127</f>
        <v>0</v>
      </c>
    </row>
    <row r="127" spans="1:3" x14ac:dyDescent="0.25">
      <c r="A127">
        <f>'Сбор нагрузок'!B128</f>
        <v>0</v>
      </c>
      <c r="B127">
        <f>'Сбор нагрузок'!Q128</f>
        <v>0</v>
      </c>
      <c r="C127">
        <f>'Сбор нагрузок'!R128</f>
        <v>0</v>
      </c>
    </row>
    <row r="128" spans="1:3" x14ac:dyDescent="0.25">
      <c r="A128">
        <f>'Сбор нагрузок'!B129</f>
        <v>0</v>
      </c>
      <c r="B128">
        <f>'Сбор нагрузок'!Q129</f>
        <v>0</v>
      </c>
      <c r="C128">
        <f>'Сбор нагрузок'!R129</f>
        <v>0</v>
      </c>
    </row>
    <row r="129" spans="1:3" x14ac:dyDescent="0.25">
      <c r="A129">
        <f>'Сбор нагрузок'!B130</f>
        <v>0</v>
      </c>
      <c r="B129">
        <f>'Сбор нагрузок'!Q130</f>
        <v>0</v>
      </c>
      <c r="C129">
        <f>'Сбор нагрузок'!R130</f>
        <v>0</v>
      </c>
    </row>
    <row r="130" spans="1:3" x14ac:dyDescent="0.25">
      <c r="A130">
        <f>'Сбор нагрузок'!B131</f>
        <v>0</v>
      </c>
      <c r="B130">
        <f>'Сбор нагрузок'!Q131</f>
        <v>0</v>
      </c>
      <c r="C130">
        <f>'Сбор нагрузок'!R131</f>
        <v>0</v>
      </c>
    </row>
    <row r="131" spans="1:3" x14ac:dyDescent="0.25">
      <c r="A131">
        <f>'Сбор нагрузок'!B132</f>
        <v>0</v>
      </c>
      <c r="B131">
        <f>'Сбор нагрузок'!Q132</f>
        <v>0</v>
      </c>
      <c r="C131">
        <f>'Сбор нагрузок'!R132</f>
        <v>0</v>
      </c>
    </row>
    <row r="132" spans="1:3" x14ac:dyDescent="0.25">
      <c r="A132">
        <f>'Сбор нагрузок'!B133</f>
        <v>0</v>
      </c>
      <c r="B132">
        <f>'Сбор нагрузок'!Q133</f>
        <v>0</v>
      </c>
      <c r="C132">
        <f>'Сбор нагрузок'!R133</f>
        <v>0</v>
      </c>
    </row>
    <row r="133" spans="1:3" x14ac:dyDescent="0.25">
      <c r="A133">
        <f>'Сбор нагрузок'!B134</f>
        <v>0</v>
      </c>
      <c r="B133">
        <f>'Сбор нагрузок'!Q134</f>
        <v>0</v>
      </c>
      <c r="C133">
        <f>'Сбор нагрузок'!R134</f>
        <v>0</v>
      </c>
    </row>
    <row r="134" spans="1:3" x14ac:dyDescent="0.25">
      <c r="A134">
        <f>'Сбор нагрузок'!B135</f>
        <v>0</v>
      </c>
      <c r="B134">
        <f>'Сбор нагрузок'!Q135</f>
        <v>0</v>
      </c>
      <c r="C134">
        <f>'Сбор нагрузок'!R135</f>
        <v>0</v>
      </c>
    </row>
    <row r="135" spans="1:3" x14ac:dyDescent="0.25">
      <c r="A135">
        <f>'Сбор нагрузок'!B136</f>
        <v>0</v>
      </c>
      <c r="B135">
        <f>'Сбор нагрузок'!Q136</f>
        <v>0</v>
      </c>
      <c r="C135">
        <f>'Сбор нагрузок'!R136</f>
        <v>0</v>
      </c>
    </row>
    <row r="136" spans="1:3" x14ac:dyDescent="0.25">
      <c r="A136">
        <f>'Сбор нагрузок'!B137</f>
        <v>0</v>
      </c>
      <c r="B136">
        <f>'Сбор нагрузок'!Q137</f>
        <v>0</v>
      </c>
      <c r="C136">
        <f>'Сбор нагрузок'!R137</f>
        <v>0</v>
      </c>
    </row>
    <row r="137" spans="1:3" x14ac:dyDescent="0.25">
      <c r="A137">
        <f>'Сбор нагрузок'!B138</f>
        <v>0</v>
      </c>
      <c r="B137">
        <f>'Сбор нагрузок'!Q138</f>
        <v>0</v>
      </c>
      <c r="C137">
        <f>'Сбор нагрузок'!R138</f>
        <v>0</v>
      </c>
    </row>
    <row r="138" spans="1:3" x14ac:dyDescent="0.25">
      <c r="A138">
        <f>'Сбор нагрузок'!B139</f>
        <v>0</v>
      </c>
      <c r="B138">
        <f>'Сбор нагрузок'!Q139</f>
        <v>0</v>
      </c>
      <c r="C138">
        <f>'Сбор нагрузок'!R139</f>
        <v>0</v>
      </c>
    </row>
    <row r="139" spans="1:3" x14ac:dyDescent="0.25">
      <c r="A139">
        <f>'Сбор нагрузок'!B140</f>
        <v>0</v>
      </c>
      <c r="B139">
        <f>'Сбор нагрузок'!Q140</f>
        <v>0</v>
      </c>
      <c r="C139">
        <f>'Сбор нагрузок'!R140</f>
        <v>0</v>
      </c>
    </row>
    <row r="140" spans="1:3" x14ac:dyDescent="0.25">
      <c r="A140">
        <f>'Сбор нагрузок'!B141</f>
        <v>0</v>
      </c>
      <c r="B140">
        <f>'Сбор нагрузок'!Q141</f>
        <v>0</v>
      </c>
      <c r="C140">
        <f>'Сбор нагрузок'!R141</f>
        <v>0</v>
      </c>
    </row>
    <row r="141" spans="1:3" x14ac:dyDescent="0.25">
      <c r="A141">
        <f>'Сбор нагрузок'!B142</f>
        <v>0</v>
      </c>
      <c r="B141">
        <f>'Сбор нагрузок'!Q142</f>
        <v>0</v>
      </c>
      <c r="C141">
        <f>'Сбор нагрузок'!R142</f>
        <v>0</v>
      </c>
    </row>
    <row r="142" spans="1:3" x14ac:dyDescent="0.25">
      <c r="A142">
        <f>'Сбор нагрузок'!B143</f>
        <v>0</v>
      </c>
      <c r="B142">
        <f>'Сбор нагрузок'!Q143</f>
        <v>0</v>
      </c>
      <c r="C142">
        <f>'Сбор нагрузок'!R143</f>
        <v>0</v>
      </c>
    </row>
    <row r="143" spans="1:3" x14ac:dyDescent="0.25">
      <c r="A143">
        <f>'Сбор нагрузок'!B144</f>
        <v>0</v>
      </c>
      <c r="B143">
        <f>'Сбор нагрузок'!Q144</f>
        <v>0</v>
      </c>
      <c r="C143">
        <f>'Сбор нагрузок'!R144</f>
        <v>0</v>
      </c>
    </row>
    <row r="144" spans="1:3" x14ac:dyDescent="0.25">
      <c r="A144">
        <f>'Сбор нагрузок'!B145</f>
        <v>0</v>
      </c>
      <c r="B144">
        <f>'Сбор нагрузок'!Q145</f>
        <v>0</v>
      </c>
      <c r="C144">
        <f>'Сбор нагрузок'!R145</f>
        <v>0</v>
      </c>
    </row>
    <row r="145" spans="1:3" x14ac:dyDescent="0.25">
      <c r="A145">
        <f>'Сбор нагрузок'!B146</f>
        <v>0</v>
      </c>
      <c r="B145">
        <f>'Сбор нагрузок'!Q146</f>
        <v>0</v>
      </c>
      <c r="C145">
        <f>'Сбор нагрузок'!R146</f>
        <v>0</v>
      </c>
    </row>
    <row r="146" spans="1:3" x14ac:dyDescent="0.25">
      <c r="A146">
        <f>'Сбор нагрузок'!B147</f>
        <v>0</v>
      </c>
      <c r="B146">
        <f>'Сбор нагрузок'!Q147</f>
        <v>0</v>
      </c>
      <c r="C146">
        <f>'Сбор нагрузок'!R147</f>
        <v>0</v>
      </c>
    </row>
    <row r="147" spans="1:3" x14ac:dyDescent="0.25">
      <c r="A147">
        <f>'Сбор нагрузок'!B148</f>
        <v>0</v>
      </c>
      <c r="B147">
        <f>'Сбор нагрузок'!Q148</f>
        <v>0</v>
      </c>
      <c r="C147">
        <f>'Сбор нагрузок'!R148</f>
        <v>0</v>
      </c>
    </row>
    <row r="148" spans="1:3" x14ac:dyDescent="0.25">
      <c r="A148">
        <f>'Сбор нагрузок'!B149</f>
        <v>0</v>
      </c>
      <c r="B148">
        <f>'Сбор нагрузок'!Q149</f>
        <v>0</v>
      </c>
      <c r="C148">
        <f>'Сбор нагрузок'!R149</f>
        <v>0</v>
      </c>
    </row>
    <row r="149" spans="1:3" x14ac:dyDescent="0.25">
      <c r="A149">
        <f>'Сбор нагрузок'!B150</f>
        <v>0</v>
      </c>
      <c r="B149">
        <f>'Сбор нагрузок'!Q150</f>
        <v>0</v>
      </c>
      <c r="C149">
        <f>'Сбор нагрузок'!R150</f>
        <v>0</v>
      </c>
    </row>
    <row r="150" spans="1:3" x14ac:dyDescent="0.25">
      <c r="A150">
        <f>'Сбор нагрузок'!B151</f>
        <v>0</v>
      </c>
      <c r="B150">
        <f>'Сбор нагрузок'!Q151</f>
        <v>0</v>
      </c>
      <c r="C150">
        <f>'Сбор нагрузок'!R151</f>
        <v>0</v>
      </c>
    </row>
    <row r="151" spans="1:3" x14ac:dyDescent="0.25">
      <c r="A151">
        <f>'Сбор нагрузок'!B152</f>
        <v>0</v>
      </c>
      <c r="B151">
        <f>'Сбор нагрузок'!Q152</f>
        <v>0</v>
      </c>
      <c r="C151">
        <f>'Сбор нагрузок'!R152</f>
        <v>0</v>
      </c>
    </row>
    <row r="152" spans="1:3" x14ac:dyDescent="0.25">
      <c r="A152">
        <f>'Сбор нагрузок'!B153</f>
        <v>0</v>
      </c>
      <c r="B152">
        <f>'Сбор нагрузок'!Q153</f>
        <v>0</v>
      </c>
      <c r="C152">
        <f>'Сбор нагрузок'!R153</f>
        <v>0</v>
      </c>
    </row>
    <row r="153" spans="1:3" x14ac:dyDescent="0.25">
      <c r="A153">
        <f>'Сбор нагрузок'!B154</f>
        <v>0</v>
      </c>
      <c r="B153">
        <f>'Сбор нагрузок'!Q154</f>
        <v>0</v>
      </c>
      <c r="C153">
        <f>'Сбор нагрузок'!R154</f>
        <v>0</v>
      </c>
    </row>
    <row r="154" spans="1:3" x14ac:dyDescent="0.25">
      <c r="A154">
        <f>'Сбор нагрузок'!B155</f>
        <v>0</v>
      </c>
      <c r="B154">
        <f>'Сбор нагрузок'!Q155</f>
        <v>0</v>
      </c>
      <c r="C154">
        <f>'Сбор нагрузок'!R155</f>
        <v>0</v>
      </c>
    </row>
    <row r="155" spans="1:3" x14ac:dyDescent="0.25">
      <c r="A155">
        <f>'Сбор нагрузок'!B156</f>
        <v>0</v>
      </c>
      <c r="B155">
        <f>'Сбор нагрузок'!Q156</f>
        <v>0</v>
      </c>
      <c r="C155">
        <f>'Сбор нагрузок'!R156</f>
        <v>0</v>
      </c>
    </row>
    <row r="156" spans="1:3" x14ac:dyDescent="0.25">
      <c r="A156">
        <f>'Сбор нагрузок'!B157</f>
        <v>0</v>
      </c>
      <c r="B156">
        <f>'Сбор нагрузок'!Q157</f>
        <v>0</v>
      </c>
      <c r="C156">
        <f>'Сбор нагрузок'!R157</f>
        <v>0</v>
      </c>
    </row>
    <row r="157" spans="1:3" x14ac:dyDescent="0.25">
      <c r="A157">
        <f>'Сбор нагрузок'!B158</f>
        <v>0</v>
      </c>
      <c r="B157">
        <f>'Сбор нагрузок'!Q158</f>
        <v>0</v>
      </c>
      <c r="C157">
        <f>'Сбор нагрузок'!R158</f>
        <v>0</v>
      </c>
    </row>
    <row r="158" spans="1:3" x14ac:dyDescent="0.25">
      <c r="A158">
        <f>'Сбор нагрузок'!B159</f>
        <v>0</v>
      </c>
      <c r="B158">
        <f>'Сбор нагрузок'!Q159</f>
        <v>0</v>
      </c>
      <c r="C158">
        <f>'Сбор нагрузок'!R159</f>
        <v>0</v>
      </c>
    </row>
    <row r="159" spans="1:3" x14ac:dyDescent="0.25">
      <c r="A159">
        <f>'Сбор нагрузок'!B160</f>
        <v>0</v>
      </c>
      <c r="B159">
        <f>'Сбор нагрузок'!Q160</f>
        <v>0</v>
      </c>
      <c r="C159">
        <f>'Сбор нагрузок'!R160</f>
        <v>0</v>
      </c>
    </row>
    <row r="160" spans="1:3" x14ac:dyDescent="0.25">
      <c r="A160">
        <f>'Сбор нагрузок'!B161</f>
        <v>0</v>
      </c>
      <c r="B160">
        <f>'Сбор нагрузок'!Q161</f>
        <v>0</v>
      </c>
      <c r="C160">
        <f>'Сбор нагрузок'!R161</f>
        <v>0</v>
      </c>
    </row>
    <row r="161" spans="1:3" x14ac:dyDescent="0.25">
      <c r="A161">
        <f>'Сбор нагрузок'!B162</f>
        <v>0</v>
      </c>
      <c r="B161">
        <f>'Сбор нагрузок'!Q162</f>
        <v>0</v>
      </c>
      <c r="C161">
        <f>'Сбор нагрузок'!R162</f>
        <v>0</v>
      </c>
    </row>
    <row r="162" spans="1:3" x14ac:dyDescent="0.25">
      <c r="A162">
        <f>'Сбор нагрузок'!B163</f>
        <v>0</v>
      </c>
      <c r="B162">
        <f>'Сбор нагрузок'!Q163</f>
        <v>0</v>
      </c>
      <c r="C162">
        <f>'Сбор нагрузок'!R163</f>
        <v>0</v>
      </c>
    </row>
    <row r="163" spans="1:3" x14ac:dyDescent="0.25">
      <c r="A163">
        <f>'Сбор нагрузок'!B164</f>
        <v>0</v>
      </c>
      <c r="B163">
        <f>'Сбор нагрузок'!Q164</f>
        <v>0</v>
      </c>
      <c r="C163">
        <f>'Сбор нагрузок'!R164</f>
        <v>0</v>
      </c>
    </row>
    <row r="164" spans="1:3" x14ac:dyDescent="0.25">
      <c r="A164">
        <f>'Сбор нагрузок'!B165</f>
        <v>0</v>
      </c>
      <c r="B164">
        <f>'Сбор нагрузок'!Q165</f>
        <v>0</v>
      </c>
      <c r="C164">
        <f>'Сбор нагрузок'!R165</f>
        <v>0</v>
      </c>
    </row>
    <row r="165" spans="1:3" x14ac:dyDescent="0.25">
      <c r="A165">
        <f>'Сбор нагрузок'!B166</f>
        <v>0</v>
      </c>
      <c r="B165">
        <f>'Сбор нагрузок'!Q166</f>
        <v>0</v>
      </c>
      <c r="C165">
        <f>'Сбор нагрузок'!R166</f>
        <v>0</v>
      </c>
    </row>
    <row r="166" spans="1:3" x14ac:dyDescent="0.25">
      <c r="A166">
        <f>'Сбор нагрузок'!B167</f>
        <v>0</v>
      </c>
      <c r="B166">
        <f>'Сбор нагрузок'!Q167</f>
        <v>0</v>
      </c>
      <c r="C166">
        <f>'Сбор нагрузок'!R167</f>
        <v>0</v>
      </c>
    </row>
    <row r="167" spans="1:3" x14ac:dyDescent="0.25">
      <c r="A167">
        <f>'Сбор нагрузок'!B168</f>
        <v>0</v>
      </c>
      <c r="B167">
        <f>'Сбор нагрузок'!Q168</f>
        <v>0</v>
      </c>
      <c r="C167">
        <f>'Сбор нагрузок'!R168</f>
        <v>0</v>
      </c>
    </row>
    <row r="168" spans="1:3" x14ac:dyDescent="0.25">
      <c r="A168">
        <f>'Сбор нагрузок'!B169</f>
        <v>0</v>
      </c>
      <c r="B168">
        <f>'Сбор нагрузок'!Q169</f>
        <v>0</v>
      </c>
      <c r="C168">
        <f>'Сбор нагрузок'!R169</f>
        <v>0</v>
      </c>
    </row>
    <row r="169" spans="1:3" x14ac:dyDescent="0.25">
      <c r="A169">
        <f>'Сбор нагрузок'!B170</f>
        <v>0</v>
      </c>
      <c r="B169">
        <f>'Сбор нагрузок'!Q170</f>
        <v>0</v>
      </c>
      <c r="C169">
        <f>'Сбор нагрузок'!R170</f>
        <v>0</v>
      </c>
    </row>
    <row r="170" spans="1:3" x14ac:dyDescent="0.25">
      <c r="A170">
        <f>'Сбор нагрузок'!B171</f>
        <v>0</v>
      </c>
      <c r="B170">
        <f>'Сбор нагрузок'!Q171</f>
        <v>0</v>
      </c>
      <c r="C170">
        <f>'Сбор нагрузок'!R171</f>
        <v>0</v>
      </c>
    </row>
    <row r="171" spans="1:3" x14ac:dyDescent="0.25">
      <c r="A171">
        <f>'Сбор нагрузок'!B172</f>
        <v>0</v>
      </c>
      <c r="B171">
        <f>'Сбор нагрузок'!Q172</f>
        <v>0</v>
      </c>
      <c r="C171">
        <f>'Сбор нагрузок'!R172</f>
        <v>0</v>
      </c>
    </row>
    <row r="172" spans="1:3" x14ac:dyDescent="0.25">
      <c r="A172">
        <f>'Сбор нагрузок'!B173</f>
        <v>0</v>
      </c>
      <c r="B172">
        <f>'Сбор нагрузок'!Q173</f>
        <v>0</v>
      </c>
      <c r="C172">
        <f>'Сбор нагрузок'!R173</f>
        <v>0</v>
      </c>
    </row>
    <row r="173" spans="1:3" x14ac:dyDescent="0.25">
      <c r="A173">
        <f>'Сбор нагрузок'!B174</f>
        <v>0</v>
      </c>
      <c r="B173">
        <f>'Сбор нагрузок'!Q174</f>
        <v>0</v>
      </c>
      <c r="C173">
        <f>'Сбор нагрузок'!R174</f>
        <v>0</v>
      </c>
    </row>
    <row r="174" spans="1:3" x14ac:dyDescent="0.25">
      <c r="A174">
        <f>'Сбор нагрузок'!B175</f>
        <v>0</v>
      </c>
      <c r="B174">
        <f>'Сбор нагрузок'!Q175</f>
        <v>0</v>
      </c>
      <c r="C174">
        <f>'Сбор нагрузок'!R175</f>
        <v>0</v>
      </c>
    </row>
    <row r="175" spans="1:3" x14ac:dyDescent="0.25">
      <c r="A175">
        <f>'Сбор нагрузок'!B176</f>
        <v>0</v>
      </c>
      <c r="B175">
        <f>'Сбор нагрузок'!Q176</f>
        <v>0</v>
      </c>
      <c r="C175">
        <f>'Сбор нагрузок'!R176</f>
        <v>0</v>
      </c>
    </row>
    <row r="176" spans="1:3" x14ac:dyDescent="0.25">
      <c r="A176">
        <f>'Сбор нагрузок'!B177</f>
        <v>0</v>
      </c>
      <c r="B176">
        <f>'Сбор нагрузок'!Q177</f>
        <v>0</v>
      </c>
      <c r="C176">
        <f>'Сбор нагрузок'!R177</f>
        <v>0</v>
      </c>
    </row>
    <row r="177" spans="1:3" x14ac:dyDescent="0.25">
      <c r="A177">
        <f>'Сбор нагрузок'!B178</f>
        <v>0</v>
      </c>
      <c r="B177">
        <f>'Сбор нагрузок'!Q178</f>
        <v>0</v>
      </c>
      <c r="C177">
        <f>'Сбор нагрузок'!R178</f>
        <v>0</v>
      </c>
    </row>
    <row r="178" spans="1:3" x14ac:dyDescent="0.25">
      <c r="A178">
        <f>'Сбор нагрузок'!B179</f>
        <v>0</v>
      </c>
      <c r="B178">
        <f>'Сбор нагрузок'!Q179</f>
        <v>0</v>
      </c>
      <c r="C178">
        <f>'Сбор нагрузок'!R179</f>
        <v>0</v>
      </c>
    </row>
    <row r="179" spans="1:3" x14ac:dyDescent="0.25">
      <c r="A179">
        <f>'Сбор нагрузок'!B180</f>
        <v>0</v>
      </c>
      <c r="B179">
        <f>'Сбор нагрузок'!Q180</f>
        <v>0</v>
      </c>
      <c r="C179">
        <f>'Сбор нагрузок'!R180</f>
        <v>0</v>
      </c>
    </row>
    <row r="180" spans="1:3" x14ac:dyDescent="0.25">
      <c r="A180">
        <f>'Сбор нагрузок'!B181</f>
        <v>0</v>
      </c>
      <c r="B180">
        <f>'Сбор нагрузок'!Q181</f>
        <v>0</v>
      </c>
      <c r="C180">
        <f>'Сбор нагрузок'!R181</f>
        <v>0</v>
      </c>
    </row>
    <row r="181" spans="1:3" x14ac:dyDescent="0.25">
      <c r="A181">
        <f>'Сбор нагрузок'!B182</f>
        <v>0</v>
      </c>
      <c r="B181">
        <f>'Сбор нагрузок'!Q182</f>
        <v>0</v>
      </c>
      <c r="C181">
        <f>'Сбор нагрузок'!R182</f>
        <v>0</v>
      </c>
    </row>
    <row r="182" spans="1:3" x14ac:dyDescent="0.25">
      <c r="A182">
        <f>'Сбор нагрузок'!B183</f>
        <v>0</v>
      </c>
      <c r="B182">
        <f>'Сбор нагрузок'!Q183</f>
        <v>0</v>
      </c>
      <c r="C182">
        <f>'Сбор нагрузок'!R183</f>
        <v>0</v>
      </c>
    </row>
    <row r="183" spans="1:3" x14ac:dyDescent="0.25">
      <c r="A183">
        <f>'Сбор нагрузок'!B184</f>
        <v>0</v>
      </c>
      <c r="B183">
        <f>'Сбор нагрузок'!Q184</f>
        <v>0</v>
      </c>
      <c r="C183">
        <f>'Сбор нагрузок'!R184</f>
        <v>0</v>
      </c>
    </row>
    <row r="184" spans="1:3" x14ac:dyDescent="0.25">
      <c r="A184">
        <f>'Сбор нагрузок'!B185</f>
        <v>0</v>
      </c>
      <c r="B184">
        <f>'Сбор нагрузок'!Q185</f>
        <v>0</v>
      </c>
      <c r="C184">
        <f>'Сбор нагрузок'!R185</f>
        <v>0</v>
      </c>
    </row>
    <row r="185" spans="1:3" x14ac:dyDescent="0.25">
      <c r="A185">
        <f>'Сбор нагрузок'!B186</f>
        <v>0</v>
      </c>
      <c r="B185">
        <f>'Сбор нагрузок'!Q186</f>
        <v>0</v>
      </c>
      <c r="C185">
        <f>'Сбор нагрузок'!R186</f>
        <v>0</v>
      </c>
    </row>
    <row r="186" spans="1:3" x14ac:dyDescent="0.25">
      <c r="A186">
        <f>'Сбор нагрузок'!B187</f>
        <v>0</v>
      </c>
      <c r="B186">
        <f>'Сбор нагрузок'!Q187</f>
        <v>0</v>
      </c>
      <c r="C186">
        <f>'Сбор нагрузок'!R187</f>
        <v>0</v>
      </c>
    </row>
    <row r="187" spans="1:3" x14ac:dyDescent="0.25">
      <c r="A187">
        <f>'Сбор нагрузок'!B188</f>
        <v>0</v>
      </c>
      <c r="B187">
        <f>'Сбор нагрузок'!Q188</f>
        <v>0</v>
      </c>
      <c r="C187">
        <f>'Сбор нагрузок'!R188</f>
        <v>0</v>
      </c>
    </row>
    <row r="188" spans="1:3" x14ac:dyDescent="0.25">
      <c r="A188">
        <f>'Сбор нагрузок'!B189</f>
        <v>0</v>
      </c>
      <c r="B188">
        <f>'Сбор нагрузок'!Q189</f>
        <v>0</v>
      </c>
      <c r="C188">
        <f>'Сбор нагрузок'!R189</f>
        <v>0</v>
      </c>
    </row>
    <row r="189" spans="1:3" x14ac:dyDescent="0.25">
      <c r="A189">
        <f>'Сбор нагрузок'!B190</f>
        <v>0</v>
      </c>
      <c r="B189">
        <f>'Сбор нагрузок'!Q190</f>
        <v>0</v>
      </c>
      <c r="C189">
        <f>'Сбор нагрузок'!R190</f>
        <v>0</v>
      </c>
    </row>
    <row r="190" spans="1:3" x14ac:dyDescent="0.25">
      <c r="A190">
        <f>'Сбор нагрузок'!B191</f>
        <v>0</v>
      </c>
      <c r="B190">
        <f>'Сбор нагрузок'!Q191</f>
        <v>0</v>
      </c>
      <c r="C190">
        <f>'Сбор нагрузок'!R191</f>
        <v>0</v>
      </c>
    </row>
    <row r="191" spans="1:3" x14ac:dyDescent="0.25">
      <c r="A191">
        <f>'Сбор нагрузок'!B192</f>
        <v>0</v>
      </c>
      <c r="B191">
        <f>'Сбор нагрузок'!Q192</f>
        <v>0</v>
      </c>
      <c r="C191">
        <f>'Сбор нагрузок'!R192</f>
        <v>0</v>
      </c>
    </row>
    <row r="192" spans="1:3" x14ac:dyDescent="0.25">
      <c r="A192">
        <f>'Сбор нагрузок'!B193</f>
        <v>0</v>
      </c>
      <c r="B192">
        <f>'Сбор нагрузок'!Q193</f>
        <v>0</v>
      </c>
      <c r="C192">
        <f>'Сбор нагрузок'!R193</f>
        <v>0</v>
      </c>
    </row>
    <row r="193" spans="1:3" x14ac:dyDescent="0.25">
      <c r="A193">
        <f>'Сбор нагрузок'!B194</f>
        <v>0</v>
      </c>
      <c r="B193">
        <f>'Сбор нагрузок'!Q194</f>
        <v>0</v>
      </c>
      <c r="C193">
        <f>'Сбор нагрузок'!R194</f>
        <v>0</v>
      </c>
    </row>
    <row r="194" spans="1:3" x14ac:dyDescent="0.25">
      <c r="A194">
        <f>'Сбор нагрузок'!B195</f>
        <v>0</v>
      </c>
      <c r="B194">
        <f>'Сбор нагрузок'!Q195</f>
        <v>0</v>
      </c>
      <c r="C194">
        <f>'Сбор нагрузок'!R195</f>
        <v>0</v>
      </c>
    </row>
    <row r="195" spans="1:3" x14ac:dyDescent="0.25">
      <c r="A195">
        <f>'Сбор нагрузок'!B196</f>
        <v>0</v>
      </c>
      <c r="B195">
        <f>'Сбор нагрузок'!Q196</f>
        <v>0</v>
      </c>
      <c r="C195">
        <f>'Сбор нагрузок'!R196</f>
        <v>0</v>
      </c>
    </row>
    <row r="196" spans="1:3" x14ac:dyDescent="0.25">
      <c r="A196">
        <f>'Сбор нагрузок'!B197</f>
        <v>0</v>
      </c>
      <c r="B196">
        <f>'Сбор нагрузок'!Q197</f>
        <v>0</v>
      </c>
      <c r="C196">
        <f>'Сбор нагрузок'!R197</f>
        <v>0</v>
      </c>
    </row>
    <row r="197" spans="1:3" x14ac:dyDescent="0.25">
      <c r="A197">
        <f>'Сбор нагрузок'!B198</f>
        <v>0</v>
      </c>
      <c r="B197">
        <f>'Сбор нагрузок'!Q198</f>
        <v>0</v>
      </c>
      <c r="C197">
        <f>'Сбор нагрузок'!R198</f>
        <v>0</v>
      </c>
    </row>
    <row r="198" spans="1:3" x14ac:dyDescent="0.25">
      <c r="A198">
        <f>'Сбор нагрузок'!B199</f>
        <v>0</v>
      </c>
      <c r="B198">
        <f>'Сбор нагрузок'!Q199</f>
        <v>0</v>
      </c>
      <c r="C198">
        <f>'Сбор нагрузок'!R199</f>
        <v>0</v>
      </c>
    </row>
    <row r="199" spans="1:3" x14ac:dyDescent="0.25">
      <c r="A199">
        <f>'Сбор нагрузок'!B200</f>
        <v>0</v>
      </c>
      <c r="B199">
        <f>'Сбор нагрузок'!Q200</f>
        <v>0</v>
      </c>
      <c r="C199">
        <f>'Сбор нагрузок'!R200</f>
        <v>0</v>
      </c>
    </row>
    <row r="200" spans="1:3" x14ac:dyDescent="0.25">
      <c r="A200">
        <f>'Сбор нагрузок'!B201</f>
        <v>0</v>
      </c>
      <c r="B200">
        <f>'Сбор нагрузок'!Q201</f>
        <v>0</v>
      </c>
      <c r="C200">
        <f>'Сбор нагрузок'!R201</f>
        <v>0</v>
      </c>
    </row>
    <row r="201" spans="1:3" x14ac:dyDescent="0.25">
      <c r="A201">
        <f>'Сбор нагрузок'!B202</f>
        <v>0</v>
      </c>
      <c r="B201">
        <f>'Сбор нагрузок'!Q202</f>
        <v>0</v>
      </c>
      <c r="C201">
        <f>'Сбор нагрузок'!R202</f>
        <v>0</v>
      </c>
    </row>
    <row r="202" spans="1:3" x14ac:dyDescent="0.25">
      <c r="A202">
        <f>'Сбор нагрузок'!B203</f>
        <v>0</v>
      </c>
      <c r="B202">
        <f>'Сбор нагрузок'!Q203</f>
        <v>0</v>
      </c>
      <c r="C202">
        <f>'Сбор нагрузок'!R203</f>
        <v>0</v>
      </c>
    </row>
    <row r="203" spans="1:3" x14ac:dyDescent="0.25">
      <c r="A203">
        <f>'Сбор нагрузок'!B204</f>
        <v>0</v>
      </c>
      <c r="B203">
        <f>'Сбор нагрузок'!Q204</f>
        <v>0</v>
      </c>
      <c r="C203">
        <f>'Сбор нагрузок'!R204</f>
        <v>0</v>
      </c>
    </row>
    <row r="204" spans="1:3" x14ac:dyDescent="0.25">
      <c r="A204">
        <f>'Сбор нагрузок'!B205</f>
        <v>0</v>
      </c>
      <c r="B204">
        <f>'Сбор нагрузок'!Q205</f>
        <v>0</v>
      </c>
      <c r="C204">
        <f>'Сбор нагрузок'!R205</f>
        <v>0</v>
      </c>
    </row>
    <row r="205" spans="1:3" x14ac:dyDescent="0.25">
      <c r="A205">
        <f>'Сбор нагрузок'!B206</f>
        <v>0</v>
      </c>
      <c r="B205">
        <f>'Сбор нагрузок'!Q206</f>
        <v>0</v>
      </c>
      <c r="C205">
        <f>'Сбор нагрузок'!R206</f>
        <v>0</v>
      </c>
    </row>
    <row r="206" spans="1:3" x14ac:dyDescent="0.25">
      <c r="A206">
        <f>'Сбор нагрузок'!B207</f>
        <v>0</v>
      </c>
      <c r="B206">
        <f>'Сбор нагрузок'!Q207</f>
        <v>0</v>
      </c>
      <c r="C206">
        <f>'Сбор нагрузок'!R207</f>
        <v>0</v>
      </c>
    </row>
    <row r="207" spans="1:3" x14ac:dyDescent="0.25">
      <c r="A207">
        <f>'Сбор нагрузок'!B208</f>
        <v>0</v>
      </c>
      <c r="B207">
        <f>'Сбор нагрузок'!Q208</f>
        <v>0</v>
      </c>
      <c r="C207">
        <f>'Сбор нагрузок'!R208</f>
        <v>0</v>
      </c>
    </row>
    <row r="208" spans="1:3" x14ac:dyDescent="0.25">
      <c r="A208">
        <f>'Сбор нагрузок'!B209</f>
        <v>0</v>
      </c>
      <c r="B208">
        <f>'Сбор нагрузок'!Q209</f>
        <v>0</v>
      </c>
      <c r="C208">
        <f>'Сбор нагрузок'!R209</f>
        <v>0</v>
      </c>
    </row>
    <row r="209" spans="1:3" x14ac:dyDescent="0.25">
      <c r="A209">
        <f>'Сбор нагрузок'!B210</f>
        <v>0</v>
      </c>
      <c r="B209">
        <f>'Сбор нагрузок'!Q210</f>
        <v>0</v>
      </c>
      <c r="C209">
        <f>'Сбор нагрузок'!R210</f>
        <v>0</v>
      </c>
    </row>
    <row r="210" spans="1:3" x14ac:dyDescent="0.25">
      <c r="A210">
        <f>'Сбор нагрузок'!B211</f>
        <v>0</v>
      </c>
      <c r="B210">
        <f>'Сбор нагрузок'!Q211</f>
        <v>0</v>
      </c>
      <c r="C210">
        <f>'Сбор нагрузок'!R211</f>
        <v>0</v>
      </c>
    </row>
    <row r="211" spans="1:3" x14ac:dyDescent="0.25">
      <c r="A211">
        <f>'Сбор нагрузок'!B212</f>
        <v>0</v>
      </c>
      <c r="B211">
        <f>'Сбор нагрузок'!Q212</f>
        <v>0</v>
      </c>
      <c r="C211">
        <f>'Сбор нагрузок'!R212</f>
        <v>0</v>
      </c>
    </row>
    <row r="212" spans="1:3" x14ac:dyDescent="0.25">
      <c r="A212">
        <f>'Сбор нагрузок'!B213</f>
        <v>0</v>
      </c>
      <c r="B212">
        <f>'Сбор нагрузок'!Q213</f>
        <v>0</v>
      </c>
      <c r="C212">
        <f>'Сбор нагрузок'!R213</f>
        <v>0</v>
      </c>
    </row>
    <row r="213" spans="1:3" x14ac:dyDescent="0.25">
      <c r="A213">
        <f>'Сбор нагрузок'!B214</f>
        <v>0</v>
      </c>
      <c r="B213">
        <f>'Сбор нагрузок'!Q214</f>
        <v>0</v>
      </c>
      <c r="C213">
        <f>'Сбор нагрузок'!R214</f>
        <v>0</v>
      </c>
    </row>
    <row r="214" spans="1:3" x14ac:dyDescent="0.25">
      <c r="A214">
        <f>'Сбор нагрузок'!B215</f>
        <v>0</v>
      </c>
      <c r="B214">
        <f>'Сбор нагрузок'!Q215</f>
        <v>0</v>
      </c>
      <c r="C214">
        <f>'Сбор нагрузок'!R215</f>
        <v>0</v>
      </c>
    </row>
    <row r="215" spans="1:3" x14ac:dyDescent="0.25">
      <c r="A215">
        <f>'Сбор нагрузок'!B216</f>
        <v>0</v>
      </c>
      <c r="B215">
        <f>'Сбор нагрузок'!Q216</f>
        <v>0</v>
      </c>
      <c r="C215">
        <f>'Сбор нагрузок'!R216</f>
        <v>0</v>
      </c>
    </row>
    <row r="216" spans="1:3" x14ac:dyDescent="0.25">
      <c r="A216">
        <f>'Сбор нагрузок'!B217</f>
        <v>0</v>
      </c>
      <c r="B216">
        <f>'Сбор нагрузок'!Q217</f>
        <v>0</v>
      </c>
      <c r="C216">
        <f>'Сбор нагрузок'!R217</f>
        <v>0</v>
      </c>
    </row>
    <row r="217" spans="1:3" x14ac:dyDescent="0.25">
      <c r="A217">
        <f>'Сбор нагрузок'!B218</f>
        <v>0</v>
      </c>
      <c r="B217">
        <f>'Сбор нагрузок'!Q218</f>
        <v>0</v>
      </c>
      <c r="C217">
        <f>'Сбор нагрузок'!R218</f>
        <v>0</v>
      </c>
    </row>
    <row r="218" spans="1:3" x14ac:dyDescent="0.25">
      <c r="A218">
        <f>'Сбор нагрузок'!B219</f>
        <v>0</v>
      </c>
      <c r="B218">
        <f>'Сбор нагрузок'!Q219</f>
        <v>0</v>
      </c>
      <c r="C218">
        <f>'Сбор нагрузок'!R219</f>
        <v>0</v>
      </c>
    </row>
    <row r="219" spans="1:3" x14ac:dyDescent="0.25">
      <c r="A219">
        <f>'Сбор нагрузок'!B220</f>
        <v>0</v>
      </c>
      <c r="B219">
        <f>'Сбор нагрузок'!Q220</f>
        <v>0</v>
      </c>
      <c r="C219">
        <f>'Сбор нагрузок'!R220</f>
        <v>0</v>
      </c>
    </row>
    <row r="220" spans="1:3" x14ac:dyDescent="0.25">
      <c r="A220">
        <f>'Сбор нагрузок'!B221</f>
        <v>0</v>
      </c>
      <c r="B220">
        <f>'Сбор нагрузок'!Q221</f>
        <v>0</v>
      </c>
      <c r="C220">
        <f>'Сбор нагрузок'!R221</f>
        <v>0</v>
      </c>
    </row>
    <row r="221" spans="1:3" x14ac:dyDescent="0.25">
      <c r="A221">
        <f>'Сбор нагрузок'!B222</f>
        <v>0</v>
      </c>
      <c r="B221">
        <f>'Сбор нагрузок'!Q222</f>
        <v>0</v>
      </c>
      <c r="C221">
        <f>'Сбор нагрузок'!R222</f>
        <v>0</v>
      </c>
    </row>
    <row r="222" spans="1:3" x14ac:dyDescent="0.25">
      <c r="A222">
        <f>'Сбор нагрузок'!B223</f>
        <v>0</v>
      </c>
      <c r="B222">
        <f>'Сбор нагрузок'!Q223</f>
        <v>0</v>
      </c>
      <c r="C222">
        <f>'Сбор нагрузок'!R223</f>
        <v>0</v>
      </c>
    </row>
    <row r="223" spans="1:3" x14ac:dyDescent="0.25">
      <c r="A223">
        <f>'Сбор нагрузок'!B224</f>
        <v>0</v>
      </c>
      <c r="B223">
        <f>'Сбор нагрузок'!Q224</f>
        <v>0</v>
      </c>
      <c r="C223">
        <f>'Сбор нагрузок'!R224</f>
        <v>0</v>
      </c>
    </row>
    <row r="224" spans="1:3" x14ac:dyDescent="0.25">
      <c r="A224">
        <f>'Сбор нагрузок'!B225</f>
        <v>0</v>
      </c>
      <c r="B224">
        <f>'Сбор нагрузок'!Q225</f>
        <v>0</v>
      </c>
      <c r="C224">
        <f>'Сбор нагрузок'!R225</f>
        <v>0</v>
      </c>
    </row>
    <row r="225" spans="1:3" x14ac:dyDescent="0.25">
      <c r="A225">
        <f>'Сбор нагрузок'!B226</f>
        <v>0</v>
      </c>
      <c r="B225">
        <f>'Сбор нагрузок'!Q226</f>
        <v>0</v>
      </c>
      <c r="C225">
        <f>'Сбор нагрузок'!R226</f>
        <v>0</v>
      </c>
    </row>
    <row r="226" spans="1:3" x14ac:dyDescent="0.25">
      <c r="A226">
        <f>'Сбор нагрузок'!B227</f>
        <v>0</v>
      </c>
      <c r="B226">
        <f>'Сбор нагрузок'!Q227</f>
        <v>0</v>
      </c>
      <c r="C226">
        <f>'Сбор нагрузок'!R227</f>
        <v>0</v>
      </c>
    </row>
    <row r="227" spans="1:3" x14ac:dyDescent="0.25">
      <c r="A227">
        <f>'Сбор нагрузок'!B228</f>
        <v>0</v>
      </c>
      <c r="B227">
        <f>'Сбор нагрузок'!Q228</f>
        <v>0</v>
      </c>
      <c r="C227">
        <f>'Сбор нагрузок'!R228</f>
        <v>0</v>
      </c>
    </row>
    <row r="228" spans="1:3" x14ac:dyDescent="0.25">
      <c r="A228">
        <f>'Сбор нагрузок'!B229</f>
        <v>0</v>
      </c>
      <c r="B228">
        <f>'Сбор нагрузок'!Q229</f>
        <v>0</v>
      </c>
      <c r="C228">
        <f>'Сбор нагрузок'!R229</f>
        <v>0</v>
      </c>
    </row>
    <row r="229" spans="1:3" x14ac:dyDescent="0.25">
      <c r="A229">
        <f>'Сбор нагрузок'!B230</f>
        <v>0</v>
      </c>
      <c r="B229">
        <f>'Сбор нагрузок'!Q230</f>
        <v>0</v>
      </c>
      <c r="C229">
        <f>'Сбор нагрузок'!R230</f>
        <v>0</v>
      </c>
    </row>
    <row r="230" spans="1:3" x14ac:dyDescent="0.25">
      <c r="A230">
        <f>'Сбор нагрузок'!B231</f>
        <v>0</v>
      </c>
      <c r="B230">
        <f>'Сбор нагрузок'!Q231</f>
        <v>0</v>
      </c>
      <c r="C230">
        <f>'Сбор нагрузок'!R231</f>
        <v>0</v>
      </c>
    </row>
    <row r="231" spans="1:3" x14ac:dyDescent="0.25">
      <c r="A231">
        <f>'Сбор нагрузок'!B232</f>
        <v>0</v>
      </c>
      <c r="B231">
        <f>'Сбор нагрузок'!Q232</f>
        <v>0</v>
      </c>
      <c r="C231">
        <f>'Сбор нагрузок'!R232</f>
        <v>0</v>
      </c>
    </row>
    <row r="232" spans="1:3" x14ac:dyDescent="0.25">
      <c r="A232">
        <f>'Сбор нагрузок'!B233</f>
        <v>0</v>
      </c>
      <c r="B232">
        <f>'Сбор нагрузок'!Q233</f>
        <v>0</v>
      </c>
      <c r="C232">
        <f>'Сбор нагрузок'!R233</f>
        <v>0</v>
      </c>
    </row>
    <row r="233" spans="1:3" x14ac:dyDescent="0.25">
      <c r="A233">
        <f>'Сбор нагрузок'!B234</f>
        <v>0</v>
      </c>
      <c r="B233">
        <f>'Сбор нагрузок'!Q234</f>
        <v>0</v>
      </c>
      <c r="C233">
        <f>'Сбор нагрузок'!R234</f>
        <v>0</v>
      </c>
    </row>
    <row r="234" spans="1:3" x14ac:dyDescent="0.25">
      <c r="A234">
        <f>'Сбор нагрузок'!B235</f>
        <v>0</v>
      </c>
      <c r="B234">
        <f>'Сбор нагрузок'!Q235</f>
        <v>0</v>
      </c>
      <c r="C234">
        <f>'Сбор нагрузок'!R235</f>
        <v>0</v>
      </c>
    </row>
    <row r="235" spans="1:3" x14ac:dyDescent="0.25">
      <c r="A235">
        <f>'Сбор нагрузок'!B236</f>
        <v>0</v>
      </c>
      <c r="B235">
        <f>'Сбор нагрузок'!Q236</f>
        <v>0</v>
      </c>
      <c r="C235">
        <f>'Сбор нагрузок'!R236</f>
        <v>0</v>
      </c>
    </row>
    <row r="236" spans="1:3" x14ac:dyDescent="0.25">
      <c r="A236">
        <f>'Сбор нагрузок'!B237</f>
        <v>0</v>
      </c>
      <c r="B236">
        <f>'Сбор нагрузок'!Q237</f>
        <v>0</v>
      </c>
      <c r="C236">
        <f>'Сбор нагрузок'!R237</f>
        <v>0</v>
      </c>
    </row>
    <row r="237" spans="1:3" x14ac:dyDescent="0.25">
      <c r="A237">
        <f>'Сбор нагрузок'!B238</f>
        <v>0</v>
      </c>
      <c r="B237">
        <f>'Сбор нагрузок'!Q238</f>
        <v>0</v>
      </c>
      <c r="C237">
        <f>'Сбор нагрузок'!R238</f>
        <v>0</v>
      </c>
    </row>
    <row r="238" spans="1:3" x14ac:dyDescent="0.25">
      <c r="A238">
        <f>'Сбор нагрузок'!B239</f>
        <v>0</v>
      </c>
      <c r="B238">
        <f>'Сбор нагрузок'!Q239</f>
        <v>0</v>
      </c>
      <c r="C238">
        <f>'Сбор нагрузок'!R239</f>
        <v>0</v>
      </c>
    </row>
    <row r="239" spans="1:3" x14ac:dyDescent="0.25">
      <c r="A239">
        <f>'Сбор нагрузок'!B240</f>
        <v>0</v>
      </c>
      <c r="B239">
        <f>'Сбор нагрузок'!Q240</f>
        <v>0</v>
      </c>
      <c r="C239">
        <f>'Сбор нагрузок'!R240</f>
        <v>0</v>
      </c>
    </row>
    <row r="240" spans="1:3" x14ac:dyDescent="0.25">
      <c r="A240">
        <f>'Сбор нагрузок'!B241</f>
        <v>0</v>
      </c>
      <c r="B240">
        <f>'Сбор нагрузок'!Q241</f>
        <v>0</v>
      </c>
      <c r="C240">
        <f>'Сбор нагрузок'!R241</f>
        <v>0</v>
      </c>
    </row>
    <row r="241" spans="1:3" x14ac:dyDescent="0.25">
      <c r="A241">
        <f>'Сбор нагрузок'!B242</f>
        <v>0</v>
      </c>
      <c r="B241">
        <f>'Сбор нагрузок'!Q242</f>
        <v>0</v>
      </c>
      <c r="C241">
        <f>'Сбор нагрузок'!R242</f>
        <v>0</v>
      </c>
    </row>
    <row r="242" spans="1:3" x14ac:dyDescent="0.25">
      <c r="A242">
        <f>'Сбор нагрузок'!B243</f>
        <v>0</v>
      </c>
      <c r="B242">
        <f>'Сбор нагрузок'!Q243</f>
        <v>0</v>
      </c>
      <c r="C242">
        <f>'Сбор нагрузок'!R243</f>
        <v>0</v>
      </c>
    </row>
    <row r="243" spans="1:3" x14ac:dyDescent="0.25">
      <c r="A243">
        <f>'Сбор нагрузок'!B244</f>
        <v>0</v>
      </c>
      <c r="B243">
        <f>'Сбор нагрузок'!Q244</f>
        <v>0</v>
      </c>
      <c r="C243">
        <f>'Сбор нагрузок'!R244</f>
        <v>0</v>
      </c>
    </row>
    <row r="244" spans="1:3" x14ac:dyDescent="0.25">
      <c r="A244">
        <f>'Сбор нагрузок'!B245</f>
        <v>0</v>
      </c>
      <c r="B244">
        <f>'Сбор нагрузок'!Q245</f>
        <v>0</v>
      </c>
      <c r="C244">
        <f>'Сбор нагрузок'!R245</f>
        <v>0</v>
      </c>
    </row>
    <row r="245" spans="1:3" x14ac:dyDescent="0.25">
      <c r="A245">
        <f>'Сбор нагрузок'!B246</f>
        <v>0</v>
      </c>
      <c r="B245">
        <f>'Сбор нагрузок'!Q246</f>
        <v>0</v>
      </c>
      <c r="C245">
        <f>'Сбор нагрузок'!R246</f>
        <v>0</v>
      </c>
    </row>
    <row r="246" spans="1:3" x14ac:dyDescent="0.25">
      <c r="A246">
        <f>'Сбор нагрузок'!B247</f>
        <v>0</v>
      </c>
      <c r="B246">
        <f>'Сбор нагрузок'!Q247</f>
        <v>0</v>
      </c>
      <c r="C246">
        <f>'Сбор нагрузок'!R247</f>
        <v>0</v>
      </c>
    </row>
    <row r="247" spans="1:3" x14ac:dyDescent="0.25">
      <c r="A247">
        <f>'Сбор нагрузок'!B248</f>
        <v>0</v>
      </c>
      <c r="B247">
        <f>'Сбор нагрузок'!Q248</f>
        <v>0</v>
      </c>
      <c r="C247">
        <f>'Сбор нагрузок'!R248</f>
        <v>0</v>
      </c>
    </row>
    <row r="248" spans="1:3" x14ac:dyDescent="0.25">
      <c r="A248">
        <f>'Сбор нагрузок'!B249</f>
        <v>0</v>
      </c>
      <c r="B248">
        <f>'Сбор нагрузок'!Q249</f>
        <v>0</v>
      </c>
      <c r="C248">
        <f>'Сбор нагрузок'!R249</f>
        <v>0</v>
      </c>
    </row>
    <row r="249" spans="1:3" x14ac:dyDescent="0.25">
      <c r="A249">
        <f>'Сбор нагрузок'!B250</f>
        <v>0</v>
      </c>
      <c r="B249">
        <f>'Сбор нагрузок'!Q250</f>
        <v>0</v>
      </c>
      <c r="C249">
        <f>'Сбор нагрузок'!R250</f>
        <v>0</v>
      </c>
    </row>
    <row r="250" spans="1:3" x14ac:dyDescent="0.25">
      <c r="A250">
        <f>'Сбор нагрузок'!B251</f>
        <v>0</v>
      </c>
      <c r="B250">
        <f>'Сбор нагрузок'!Q251</f>
        <v>0</v>
      </c>
      <c r="C250">
        <f>'Сбор нагрузок'!R251</f>
        <v>0</v>
      </c>
    </row>
    <row r="251" spans="1:3" x14ac:dyDescent="0.25">
      <c r="A251">
        <f>'Сбор нагрузок'!B252</f>
        <v>0</v>
      </c>
      <c r="B251">
        <f>'Сбор нагрузок'!Q252</f>
        <v>0</v>
      </c>
      <c r="C251">
        <f>'Сбор нагрузок'!R252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abSelected="1" workbookViewId="0">
      <selection activeCell="Q11" sqref="Q11"/>
    </sheetView>
  </sheetViews>
  <sheetFormatPr defaultRowHeight="15" x14ac:dyDescent="0.25"/>
  <cols>
    <col min="16" max="16" width="24.5703125" customWidth="1"/>
  </cols>
  <sheetData>
    <row r="1" spans="1:21" ht="20.25" x14ac:dyDescent="0.3">
      <c r="A1" s="32" t="s">
        <v>57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1" ht="15.75" thickBot="1" x14ac:dyDescent="0.3"/>
    <row r="3" spans="1:21" ht="48" thickBot="1" x14ac:dyDescent="0.3">
      <c r="A3" s="8" t="s">
        <v>12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46</v>
      </c>
      <c r="K3" s="10" t="s">
        <v>47</v>
      </c>
    </row>
    <row r="4" spans="1:21" ht="15.75" x14ac:dyDescent="0.25">
      <c r="A4" s="11">
        <f>'Сбор нагрузок'!B2</f>
        <v>0</v>
      </c>
      <c r="B4" s="12">
        <f>'Сбор нагрузок'!C2</f>
        <v>18.899999999999999</v>
      </c>
      <c r="C4" s="12">
        <f>'Сбор нагрузок'!T2</f>
        <v>0</v>
      </c>
      <c r="D4" s="12">
        <f>'Сбор нагрузок'!I2</f>
        <v>0.54600000000000004</v>
      </c>
      <c r="E4" s="12">
        <f>'Сбор нагрузок'!N2</f>
        <v>0</v>
      </c>
      <c r="F4" s="12">
        <f>'Сбор нагрузок'!O2</f>
        <v>0</v>
      </c>
      <c r="G4" s="12">
        <f>'Сбор нагрузок'!J2</f>
        <v>2.9013</v>
      </c>
      <c r="H4" s="12">
        <f>'Сбор нагрузок'!P2</f>
        <v>0</v>
      </c>
      <c r="I4" s="12">
        <f>'Сбор нагрузок'!Q2</f>
        <v>0</v>
      </c>
      <c r="J4" s="22" t="s">
        <v>58</v>
      </c>
      <c r="K4" s="13" t="s">
        <v>58</v>
      </c>
    </row>
    <row r="5" spans="1:21" ht="15.75" x14ac:dyDescent="0.25">
      <c r="A5" s="14">
        <f>'Сбор нагрузок'!B3</f>
        <v>-0.56999999999999995</v>
      </c>
      <c r="B5" s="15">
        <f>'Сбор нагрузок'!C3</f>
        <v>18.899999999999999</v>
      </c>
      <c r="C5" s="15">
        <f>'Сбор нагрузок'!T3</f>
        <v>10.772999999999998</v>
      </c>
      <c r="D5" s="15">
        <f>'Сбор нагрузок'!I3</f>
        <v>0.54600000000000004</v>
      </c>
      <c r="E5" s="15">
        <f>'Сбор нагрузок'!N3</f>
        <v>5.8819999999999997</v>
      </c>
      <c r="F5" s="15">
        <f>'Сбор нагрузок'!O3</f>
        <v>0</v>
      </c>
      <c r="G5" s="15">
        <f>'Сбор нагрузок'!J3</f>
        <v>2.9013</v>
      </c>
      <c r="H5" s="15">
        <f>'Сбор нагрузок'!P3</f>
        <v>0</v>
      </c>
      <c r="I5" s="15">
        <f>'Сбор нагрузок'!Q3</f>
        <v>5.8819999999999997</v>
      </c>
      <c r="J5" s="23">
        <v>1</v>
      </c>
      <c r="K5" s="16">
        <f>'Сбор нагрузок'!R3</f>
        <v>1.6759999999999999</v>
      </c>
      <c r="L5" s="34">
        <f>0.5*E5*E7</f>
        <v>104.88782399999999</v>
      </c>
      <c r="N5" s="33">
        <f>A7/3</f>
        <v>-0.56999999999999995</v>
      </c>
      <c r="U5" s="35"/>
    </row>
    <row r="6" spans="1:21" ht="15.75" x14ac:dyDescent="0.25">
      <c r="A6" s="14">
        <f>'Сбор нагрузок'!B4</f>
        <v>-1.1399999999999999</v>
      </c>
      <c r="B6" s="15">
        <f>'Сбор нагрузок'!C4</f>
        <v>18.899999999999999</v>
      </c>
      <c r="C6" s="15">
        <f>'Сбор нагрузок'!T4</f>
        <v>21.545999999999996</v>
      </c>
      <c r="D6" s="15">
        <f>'Сбор нагрузок'!I4</f>
        <v>0.54600000000000004</v>
      </c>
      <c r="E6" s="15">
        <f>'Сбор нагрузок'!N4</f>
        <v>11.763999999999999</v>
      </c>
      <c r="F6" s="15">
        <f>'Сбор нагрузок'!O4</f>
        <v>0</v>
      </c>
      <c r="G6" s="15">
        <f>'Сбор нагрузок'!J4</f>
        <v>2.9013</v>
      </c>
      <c r="H6" s="15">
        <f>'Сбор нагрузок'!P4</f>
        <v>0</v>
      </c>
      <c r="I6" s="15">
        <f>'Сбор нагрузок'!Q4</f>
        <v>11.763999999999999</v>
      </c>
      <c r="J6" s="23">
        <v>2</v>
      </c>
      <c r="K6" s="16">
        <f>'Сбор нагрузок'!R4</f>
        <v>5.0289999999999999</v>
      </c>
      <c r="L6" s="34"/>
      <c r="N6" s="33"/>
      <c r="U6" s="35"/>
    </row>
    <row r="7" spans="1:21" ht="15.75" x14ac:dyDescent="0.25">
      <c r="A7" s="14">
        <f>'Сбор нагрузок'!B5</f>
        <v>-1.71</v>
      </c>
      <c r="B7" s="15">
        <f>'Сбор нагрузок'!C5</f>
        <v>18.899999999999999</v>
      </c>
      <c r="C7" s="15">
        <f>'Сбор нагрузок'!T5</f>
        <v>65.318999999999988</v>
      </c>
      <c r="D7" s="15">
        <f>'Сбор нагрузок'!I5</f>
        <v>0.54600000000000004</v>
      </c>
      <c r="E7" s="15">
        <f>'Сбор нагрузок'!N5</f>
        <v>35.664000000000001</v>
      </c>
      <c r="F7" s="15">
        <f>'Сбор нагрузок'!O5</f>
        <v>0</v>
      </c>
      <c r="G7" s="15">
        <f>'Сбор нагрузок'!J5</f>
        <v>2.9013</v>
      </c>
      <c r="H7" s="15">
        <f>'Сбор нагрузок'!P5</f>
        <v>0</v>
      </c>
      <c r="I7" s="15">
        <f>'Сбор нагрузок'!Q5</f>
        <v>35.664000000000001</v>
      </c>
      <c r="J7" s="23">
        <v>3</v>
      </c>
      <c r="K7" s="16">
        <f>'Сбор нагрузок'!R5</f>
        <v>13.516999999999999</v>
      </c>
      <c r="L7" s="34"/>
      <c r="N7" s="33"/>
      <c r="U7" s="35"/>
    </row>
    <row r="8" spans="1:21" ht="15.75" x14ac:dyDescent="0.25">
      <c r="A8" s="14">
        <f>'Сбор нагрузок'!B6</f>
        <v>-2.2799999999999998</v>
      </c>
      <c r="B8" s="15">
        <f>'Сбор нагрузок'!C6</f>
        <v>18.899999999999999</v>
      </c>
      <c r="C8" s="15">
        <f>'Сбор нагрузок'!T6</f>
        <v>76.091999999999985</v>
      </c>
      <c r="D8" s="15">
        <f>'Сбор нагрузок'!I6</f>
        <v>0.54600000000000004</v>
      </c>
      <c r="E8" s="15">
        <f>'Сбор нагрузок'!N6</f>
        <v>41.545999999999999</v>
      </c>
      <c r="F8" s="15">
        <f>'Сбор нагрузок'!O6</f>
        <v>0</v>
      </c>
      <c r="G8" s="15">
        <f>'Сбор нагрузок'!J6</f>
        <v>2.9013</v>
      </c>
      <c r="H8" s="15">
        <f>'Сбор нагрузок'!P6</f>
        <v>0</v>
      </c>
      <c r="I8" s="15">
        <f>'Сбор нагрузок'!Q6</f>
        <v>41.545999999999999</v>
      </c>
      <c r="J8" s="23">
        <v>4</v>
      </c>
      <c r="K8" s="16">
        <f>'Сбор нагрузок'!R6</f>
        <v>22.004999999999999</v>
      </c>
      <c r="L8" s="34">
        <f>0.5*E8*E26</f>
        <v>2632.5207439999999</v>
      </c>
      <c r="M8" s="33">
        <f>0.5*H23*H26</f>
        <v>57303.533687363553</v>
      </c>
      <c r="N8" s="33">
        <f>ABS(A7-A26)*(2*E7+E26)/(3*(E7+E26))</f>
        <v>3.7767464735537049</v>
      </c>
      <c r="O8" s="33">
        <f>(ABS(A23-A26)*(2*F23+F26)/(3*(F23+F26)))+ABS(A7-A23)</f>
        <v>8.3071114421560051</v>
      </c>
      <c r="U8" s="35"/>
    </row>
    <row r="9" spans="1:21" ht="15.75" x14ac:dyDescent="0.25">
      <c r="A9" s="14">
        <f>'Сбор нагрузок'!B7</f>
        <v>-2.85</v>
      </c>
      <c r="B9" s="15">
        <f>'Сбор нагрузок'!C7</f>
        <v>18.899999999999999</v>
      </c>
      <c r="C9" s="15">
        <f>'Сбор нагрузок'!T7</f>
        <v>86.864999999999995</v>
      </c>
      <c r="D9" s="15">
        <f>'Сбор нагрузок'!I7</f>
        <v>0.54600000000000004</v>
      </c>
      <c r="E9" s="15">
        <f>'Сбор нагрузок'!N7</f>
        <v>47.427999999999997</v>
      </c>
      <c r="F9" s="15">
        <f>'Сбор нагрузок'!O7</f>
        <v>0</v>
      </c>
      <c r="G9" s="15">
        <f>'Сбор нагрузок'!J7</f>
        <v>2.9013</v>
      </c>
      <c r="H9" s="15">
        <f>'Сбор нагрузок'!P7</f>
        <v>0</v>
      </c>
      <c r="I9" s="15">
        <f>'Сбор нагрузок'!Q7</f>
        <v>47.427999999999997</v>
      </c>
      <c r="J9" s="23">
        <v>5</v>
      </c>
      <c r="K9" s="16">
        <f>'Сбор нагрузок'!R7</f>
        <v>25.358000000000001</v>
      </c>
      <c r="L9" s="34"/>
      <c r="M9" s="33"/>
      <c r="N9" s="33"/>
      <c r="O9" s="33"/>
      <c r="P9" t="s">
        <v>59</v>
      </c>
      <c r="Q9">
        <f>ABS(L5*N5)+ABS(M8*O8)</f>
        <v>476086.62642994983</v>
      </c>
      <c r="U9" s="35"/>
    </row>
    <row r="10" spans="1:21" ht="15.75" x14ac:dyDescent="0.25">
      <c r="A10" s="14">
        <f>'Сбор нагрузок'!B8</f>
        <v>-3.42</v>
      </c>
      <c r="B10" s="15">
        <f>'Сбор нагрузок'!C8</f>
        <v>18.899999999999999</v>
      </c>
      <c r="C10" s="15">
        <f>'Сбор нагрузок'!T8</f>
        <v>97.637999999999991</v>
      </c>
      <c r="D10" s="15">
        <f>'Сбор нагрузок'!I8</f>
        <v>0.54600000000000004</v>
      </c>
      <c r="E10" s="15">
        <f>'Сбор нагрузок'!N8</f>
        <v>53.31</v>
      </c>
      <c r="F10" s="15">
        <f>'Сбор нагрузок'!O8</f>
        <v>0</v>
      </c>
      <c r="G10" s="15">
        <f>'Сбор нагрузок'!J8</f>
        <v>2.9013</v>
      </c>
      <c r="H10" s="15">
        <f>'Сбор нагрузок'!P8</f>
        <v>0</v>
      </c>
      <c r="I10" s="15">
        <f>'Сбор нагрузок'!Q8</f>
        <v>53.31</v>
      </c>
      <c r="J10" s="23">
        <v>6</v>
      </c>
      <c r="K10" s="16">
        <f>'Сбор нагрузок'!R8</f>
        <v>28.71</v>
      </c>
      <c r="L10" s="34"/>
      <c r="M10" s="33"/>
      <c r="N10" s="33"/>
      <c r="O10" s="33"/>
      <c r="P10" t="s">
        <v>60</v>
      </c>
      <c r="Q10">
        <f>M8*N8</f>
        <v>216420.91877591622</v>
      </c>
      <c r="U10" s="35"/>
    </row>
    <row r="11" spans="1:21" ht="15.75" x14ac:dyDescent="0.25">
      <c r="A11" s="14">
        <f>'Сбор нагрузок'!B9</f>
        <v>-3.99</v>
      </c>
      <c r="B11" s="15">
        <f>'Сбор нагрузок'!C9</f>
        <v>18.899999999999999</v>
      </c>
      <c r="C11" s="15">
        <f>'Сбор нагрузок'!T9</f>
        <v>108.411</v>
      </c>
      <c r="D11" s="15">
        <f>'Сбор нагрузок'!I9</f>
        <v>0.54600000000000004</v>
      </c>
      <c r="E11" s="15">
        <f>'Сбор нагрузок'!N9</f>
        <v>59.192</v>
      </c>
      <c r="F11" s="15">
        <f>'Сбор нагрузок'!O9</f>
        <v>0</v>
      </c>
      <c r="G11" s="15">
        <f>'Сбор нагрузок'!J9</f>
        <v>2.9013</v>
      </c>
      <c r="H11" s="15">
        <f>'Сбор нагрузок'!P9</f>
        <v>0</v>
      </c>
      <c r="I11" s="15">
        <f>'Сбор нагрузок'!Q9</f>
        <v>59.192</v>
      </c>
      <c r="J11" s="23">
        <v>7</v>
      </c>
      <c r="K11" s="16">
        <f>'Сбор нагрузок'!R9</f>
        <v>32.063000000000002</v>
      </c>
      <c r="L11" s="34"/>
      <c r="M11" s="33"/>
      <c r="N11" s="33"/>
      <c r="O11" s="33"/>
      <c r="P11" t="s">
        <v>61</v>
      </c>
      <c r="Q11">
        <f>Q9/Q10</f>
        <v>2.1998179710293781</v>
      </c>
      <c r="U11" s="35"/>
    </row>
    <row r="12" spans="1:21" ht="15.75" x14ac:dyDescent="0.25">
      <c r="A12" s="14">
        <f>'Сбор нагрузок'!B10</f>
        <v>-4.5599999999999996</v>
      </c>
      <c r="B12" s="15">
        <f>'Сбор нагрузок'!C10</f>
        <v>18.899999999999999</v>
      </c>
      <c r="C12" s="15">
        <f>'Сбор нагрузок'!T10</f>
        <v>119.18399999999998</v>
      </c>
      <c r="D12" s="15">
        <f>'Сбор нагрузок'!I10</f>
        <v>0.54600000000000004</v>
      </c>
      <c r="E12" s="15">
        <f>'Сбор нагрузок'!N10</f>
        <v>65.073999999999998</v>
      </c>
      <c r="F12" s="15">
        <f>'Сбор нагрузок'!O10</f>
        <v>0</v>
      </c>
      <c r="G12" s="15">
        <f>'Сбор нагрузок'!J10</f>
        <v>2.9013</v>
      </c>
      <c r="H12" s="15">
        <f>'Сбор нагрузок'!P10</f>
        <v>0</v>
      </c>
      <c r="I12" s="15">
        <f>'Сбор нагрузок'!Q10</f>
        <v>65.073999999999998</v>
      </c>
      <c r="J12" s="23">
        <v>8</v>
      </c>
      <c r="K12" s="16">
        <f>'Сбор нагрузок'!R10</f>
        <v>35.415999999999997</v>
      </c>
      <c r="L12" s="34"/>
      <c r="M12" s="33"/>
      <c r="N12" s="33"/>
      <c r="O12" s="33"/>
      <c r="U12" s="35"/>
    </row>
    <row r="13" spans="1:21" ht="15.75" x14ac:dyDescent="0.25">
      <c r="A13" s="14">
        <f>'Сбор нагрузок'!B11</f>
        <v>-5.13</v>
      </c>
      <c r="B13" s="15">
        <f>'Сбор нагрузок'!C11</f>
        <v>18.899999999999999</v>
      </c>
      <c r="C13" s="15">
        <f>'Сбор нагрузок'!T11</f>
        <v>129.95699999999999</v>
      </c>
      <c r="D13" s="15">
        <f>'Сбор нагрузок'!I11</f>
        <v>0.54600000000000004</v>
      </c>
      <c r="E13" s="15">
        <f>'Сбор нагрузок'!N11</f>
        <v>70.956999999999994</v>
      </c>
      <c r="F13" s="15">
        <f>'Сбор нагрузок'!O11</f>
        <v>0</v>
      </c>
      <c r="G13" s="15">
        <f>'Сбор нагрузок'!J11</f>
        <v>2.9013</v>
      </c>
      <c r="H13" s="15">
        <f>'Сбор нагрузок'!P11</f>
        <v>0</v>
      </c>
      <c r="I13" s="15">
        <f>'Сбор нагрузок'!Q11</f>
        <v>70.956999999999994</v>
      </c>
      <c r="J13" s="23">
        <v>9</v>
      </c>
      <c r="K13" s="16">
        <f>'Сбор нагрузок'!R11</f>
        <v>38.768999999999998</v>
      </c>
      <c r="L13" s="34"/>
      <c r="M13" s="33"/>
      <c r="N13" s="33"/>
      <c r="O13" s="33"/>
      <c r="U13" s="35"/>
    </row>
    <row r="14" spans="1:21" ht="15.75" x14ac:dyDescent="0.25">
      <c r="A14" s="14">
        <f>'Сбор нагрузок'!B12</f>
        <v>-5.7</v>
      </c>
      <c r="B14" s="15">
        <f>'Сбор нагрузок'!C12</f>
        <v>18.899999999999999</v>
      </c>
      <c r="C14" s="15">
        <f>'Сбор нагрузок'!T12</f>
        <v>140.73000000000002</v>
      </c>
      <c r="D14" s="15">
        <f>'Сбор нагрузок'!I12</f>
        <v>0.54600000000000004</v>
      </c>
      <c r="E14" s="15">
        <f>'Сбор нагрузок'!N12</f>
        <v>76.838999999999999</v>
      </c>
      <c r="F14" s="15">
        <f>'Сбор нагрузок'!O12</f>
        <v>0</v>
      </c>
      <c r="G14" s="15">
        <f>'Сбор нагрузок'!J12</f>
        <v>2.9013</v>
      </c>
      <c r="H14" s="15">
        <f>'Сбор нагрузок'!P12</f>
        <v>0</v>
      </c>
      <c r="I14" s="15">
        <f>'Сбор нагрузок'!Q12</f>
        <v>76.838999999999999</v>
      </c>
      <c r="J14" s="23">
        <v>10</v>
      </c>
      <c r="K14" s="16">
        <f>'Сбор нагрузок'!R12</f>
        <v>42.122</v>
      </c>
      <c r="L14" s="34"/>
      <c r="M14" s="33"/>
      <c r="N14" s="33"/>
      <c r="O14" s="33"/>
      <c r="U14" s="35"/>
    </row>
    <row r="15" spans="1:21" ht="15.75" x14ac:dyDescent="0.25">
      <c r="A15" s="14">
        <f>'Сбор нагрузок'!B13</f>
        <v>-5.7</v>
      </c>
      <c r="B15" s="15">
        <f>'Сбор нагрузок'!C13</f>
        <v>19.899999999999999</v>
      </c>
      <c r="C15" s="15">
        <f>'Сбор нагрузок'!T13</f>
        <v>140.73000000000002</v>
      </c>
      <c r="D15" s="15">
        <f>'Сбор нагрузок'!I13</f>
        <v>0.61050000000000004</v>
      </c>
      <c r="E15" s="15">
        <f>'Сбор нагрузок'!N13</f>
        <v>85.915999999999997</v>
      </c>
      <c r="F15" s="15">
        <f>'Сбор нагрузок'!O13</f>
        <v>0</v>
      </c>
      <c r="G15" s="15">
        <f>'Сбор нагрузок'!J13</f>
        <v>1.8868</v>
      </c>
      <c r="H15" s="15">
        <f>'Сбор нагрузок'!P13</f>
        <v>0</v>
      </c>
      <c r="I15" s="15">
        <f>'Сбор нагрузок'!Q13</f>
        <v>85.915999999999997</v>
      </c>
      <c r="J15" s="23">
        <v>0</v>
      </c>
      <c r="K15" s="16">
        <v>0</v>
      </c>
      <c r="L15" s="34"/>
      <c r="M15" s="33"/>
      <c r="N15" s="33"/>
      <c r="O15" s="33"/>
      <c r="U15" s="35"/>
    </row>
    <row r="16" spans="1:21" ht="15.75" x14ac:dyDescent="0.25">
      <c r="A16" s="14">
        <f>'Сбор нагрузок'!B14</f>
        <v>-6.26</v>
      </c>
      <c r="B16" s="15">
        <f>'Сбор нагрузок'!C14</f>
        <v>19.899999999999999</v>
      </c>
      <c r="C16" s="15">
        <f>'Сбор нагрузок'!T14</f>
        <v>118.874</v>
      </c>
      <c r="D16" s="15">
        <f>'Сбор нагрузок'!I14</f>
        <v>0.61050000000000004</v>
      </c>
      <c r="E16" s="15">
        <f>'Сбор нагрузок'!N14</f>
        <v>72.572999999999993</v>
      </c>
      <c r="F16" s="15">
        <f>'Сбор нагрузок'!O14</f>
        <v>0</v>
      </c>
      <c r="G16" s="15">
        <f>'Сбор нагрузок'!J14</f>
        <v>1.8868</v>
      </c>
      <c r="H16" s="15">
        <f>'Сбор нагрузок'!P14</f>
        <v>0</v>
      </c>
      <c r="I16" s="15">
        <f>'Сбор нагрузок'!Q14</f>
        <v>72.572999999999993</v>
      </c>
      <c r="J16" s="23">
        <v>11</v>
      </c>
      <c r="K16" s="16">
        <f>'Сбор нагрузок'!R14</f>
        <v>44.377000000000002</v>
      </c>
      <c r="L16" s="34"/>
      <c r="M16" s="33"/>
      <c r="N16" s="33"/>
      <c r="O16" s="33"/>
      <c r="U16" s="35"/>
    </row>
    <row r="17" spans="1:21" ht="15.75" x14ac:dyDescent="0.25">
      <c r="A17" s="14">
        <f>'Сбор нагрузок'!B15</f>
        <v>-6.82</v>
      </c>
      <c r="B17" s="15">
        <f>'Сбор нагрузок'!C15</f>
        <v>19.899999999999999</v>
      </c>
      <c r="C17" s="15">
        <f>'Сбор нагрузок'!T15</f>
        <v>130.018</v>
      </c>
      <c r="D17" s="15">
        <f>'Сбор нагрузок'!I15</f>
        <v>0.61050000000000004</v>
      </c>
      <c r="E17" s="15">
        <f>'Сбор нагрузок'!N15</f>
        <v>79.751999999999995</v>
      </c>
      <c r="F17" s="15">
        <f>'Сбор нагрузок'!O15</f>
        <v>0</v>
      </c>
      <c r="G17" s="15">
        <f>'Сбор нагрузок'!J15</f>
        <v>1.8868</v>
      </c>
      <c r="H17" s="15">
        <f>'Сбор нагрузок'!P15</f>
        <v>0</v>
      </c>
      <c r="I17" s="15">
        <f>'Сбор нагрузок'!Q15</f>
        <v>79.751999999999995</v>
      </c>
      <c r="J17" s="23">
        <v>12</v>
      </c>
      <c r="K17" s="16">
        <f>'Сбор нагрузок'!R15</f>
        <v>42.651000000000003</v>
      </c>
      <c r="L17" s="34"/>
      <c r="M17" s="33"/>
      <c r="N17" s="33"/>
      <c r="O17" s="33"/>
      <c r="U17" s="35"/>
    </row>
    <row r="18" spans="1:21" ht="15.75" x14ac:dyDescent="0.25">
      <c r="A18" s="14">
        <f>'Сбор нагрузок'!B16</f>
        <v>-7.38</v>
      </c>
      <c r="B18" s="15">
        <f>'Сбор нагрузок'!C16</f>
        <v>19.899999999999999</v>
      </c>
      <c r="C18" s="15">
        <f>'Сбор нагрузок'!T16</f>
        <v>141.16199999999998</v>
      </c>
      <c r="D18" s="15">
        <f>'Сбор нагрузок'!I16</f>
        <v>0.61050000000000004</v>
      </c>
      <c r="E18" s="15">
        <f>'Сбор нагрузок'!N16</f>
        <v>86.932000000000002</v>
      </c>
      <c r="F18" s="15">
        <f>'Сбор нагрузок'!O16</f>
        <v>0</v>
      </c>
      <c r="G18" s="15">
        <f>'Сбор нагрузок'!J16</f>
        <v>1.8868</v>
      </c>
      <c r="H18" s="15">
        <f>'Сбор нагрузок'!P16</f>
        <v>0</v>
      </c>
      <c r="I18" s="15">
        <f>'Сбор нагрузок'!Q16</f>
        <v>86.932000000000002</v>
      </c>
      <c r="J18" s="23">
        <v>13</v>
      </c>
      <c r="K18" s="16">
        <f>'Сбор нагрузок'!R16</f>
        <v>46.671999999999997</v>
      </c>
      <c r="L18" s="34"/>
      <c r="M18" s="33"/>
      <c r="N18" s="33"/>
      <c r="O18" s="33"/>
      <c r="U18" s="35"/>
    </row>
    <row r="19" spans="1:21" ht="15.75" x14ac:dyDescent="0.25">
      <c r="A19" s="14">
        <f>'Сбор нагрузок'!B17</f>
        <v>-7.94</v>
      </c>
      <c r="B19" s="15">
        <f>'Сбор нагрузок'!C17</f>
        <v>19.899999999999999</v>
      </c>
      <c r="C19" s="15">
        <f>'Сбор нагрузок'!T17</f>
        <v>152.30599999999998</v>
      </c>
      <c r="D19" s="15">
        <f>'Сбор нагрузок'!I17</f>
        <v>0.61050000000000004</v>
      </c>
      <c r="E19" s="15">
        <f>'Сбор нагрузок'!N17</f>
        <v>94.111000000000004</v>
      </c>
      <c r="F19" s="15">
        <f>'Сбор нагрузок'!O17</f>
        <v>0</v>
      </c>
      <c r="G19" s="15">
        <f>'Сбор нагрузок'!J17</f>
        <v>1.8868</v>
      </c>
      <c r="H19" s="15">
        <f>'Сбор нагрузок'!P17</f>
        <v>0</v>
      </c>
      <c r="I19" s="15">
        <f>'Сбор нагрузок'!Q17</f>
        <v>94.111000000000004</v>
      </c>
      <c r="J19" s="23">
        <v>14</v>
      </c>
      <c r="K19" s="16">
        <f>'Сбор нагрузок'!R17</f>
        <v>50.692</v>
      </c>
      <c r="L19" s="34"/>
      <c r="M19" s="33"/>
      <c r="N19" s="33"/>
      <c r="O19" s="33"/>
      <c r="U19" s="35"/>
    </row>
    <row r="20" spans="1:21" ht="15.75" x14ac:dyDescent="0.25">
      <c r="A20" s="14">
        <f>'Сбор нагрузок'!B18</f>
        <v>-8.5</v>
      </c>
      <c r="B20" s="15">
        <f>'Сбор нагрузок'!C18</f>
        <v>19.899999999999999</v>
      </c>
      <c r="C20" s="15">
        <f>'Сбор нагрузок'!T18</f>
        <v>163.44999999999999</v>
      </c>
      <c r="D20" s="15">
        <f>'Сбор нагрузок'!I18</f>
        <v>0.61050000000000004</v>
      </c>
      <c r="E20" s="15">
        <f>'Сбор нагрузок'!N18</f>
        <v>101.29</v>
      </c>
      <c r="F20" s="15">
        <f>'Сбор нагрузок'!O18</f>
        <v>0</v>
      </c>
      <c r="G20" s="15">
        <f>'Сбор нагрузок'!J18</f>
        <v>1.8868</v>
      </c>
      <c r="H20" s="15">
        <f>'Сбор нагрузок'!P18</f>
        <v>0</v>
      </c>
      <c r="I20" s="15">
        <f>'Сбор нагрузок'!Q18</f>
        <v>101.29</v>
      </c>
      <c r="J20" s="23">
        <v>15</v>
      </c>
      <c r="K20" s="16">
        <f>'Сбор нагрузок'!R18</f>
        <v>54.712000000000003</v>
      </c>
      <c r="L20" s="34"/>
      <c r="M20" s="33"/>
      <c r="N20" s="33"/>
      <c r="O20" s="33"/>
      <c r="U20" s="35"/>
    </row>
    <row r="21" spans="1:21" ht="15.75" x14ac:dyDescent="0.25">
      <c r="A21" s="14">
        <f>'Сбор нагрузок'!B19</f>
        <v>-8.5</v>
      </c>
      <c r="B21" s="15">
        <f>'Сбор нагрузок'!C19</f>
        <v>18.7</v>
      </c>
      <c r="C21" s="15">
        <f>'Сбор нагрузок'!T19</f>
        <v>163.44999999999999</v>
      </c>
      <c r="D21" s="15">
        <f>'Сбор нагрузок'!I19</f>
        <v>0.58830000000000005</v>
      </c>
      <c r="E21" s="15">
        <f>'Сбор нагрузок'!N19</f>
        <v>97.606999999999999</v>
      </c>
      <c r="F21" s="15">
        <f>'Сбор нагрузок'!O19</f>
        <v>0</v>
      </c>
      <c r="G21" s="15">
        <f>'Сбор нагрузок'!J19</f>
        <v>2.6107</v>
      </c>
      <c r="H21" s="15">
        <f>'Сбор нагрузок'!P19</f>
        <v>0</v>
      </c>
      <c r="I21" s="15">
        <f>'Сбор нагрузок'!Q19</f>
        <v>97.606999999999999</v>
      </c>
      <c r="J21" s="23">
        <v>0</v>
      </c>
      <c r="K21" s="16">
        <v>0</v>
      </c>
      <c r="L21" s="34"/>
      <c r="M21" s="33"/>
      <c r="N21" s="33"/>
      <c r="O21" s="33"/>
      <c r="U21" s="35"/>
    </row>
    <row r="22" spans="1:21" ht="15.75" x14ac:dyDescent="0.25">
      <c r="A22" s="14">
        <f>'Сбор нагрузок'!B20</f>
        <v>-9</v>
      </c>
      <c r="B22" s="15">
        <f>'Сбор нагрузок'!C20</f>
        <v>18.7</v>
      </c>
      <c r="C22" s="15">
        <f>'Сбор нагрузок'!T20</f>
        <v>172.79999999999998</v>
      </c>
      <c r="D22" s="15">
        <f>'Сбор нагрузок'!I20</f>
        <v>0.58830000000000005</v>
      </c>
      <c r="E22" s="15">
        <f>'Сбор нагрузок'!N20</f>
        <v>103.431</v>
      </c>
      <c r="F22" s="15">
        <f>'Сбор нагрузок'!O20</f>
        <v>0</v>
      </c>
      <c r="G22" s="15">
        <f>'Сбор нагрузок'!J20</f>
        <v>2.6107</v>
      </c>
      <c r="H22" s="15">
        <f>'Сбор нагрузок'!P20</f>
        <v>0</v>
      </c>
      <c r="I22" s="15">
        <f>'Сбор нагрузок'!Q20</f>
        <v>103.431</v>
      </c>
      <c r="J22" s="23">
        <v>16</v>
      </c>
      <c r="K22" s="16">
        <f>'Сбор нагрузок'!R20</f>
        <v>50.26</v>
      </c>
      <c r="L22" s="34"/>
      <c r="M22" s="33"/>
      <c r="N22" s="33"/>
      <c r="O22" s="33"/>
      <c r="U22" s="35"/>
    </row>
    <row r="23" spans="1:21" ht="15.75" x14ac:dyDescent="0.25">
      <c r="A23" s="14">
        <f>'Сбор нагрузок'!B21</f>
        <v>-9.5</v>
      </c>
      <c r="B23" s="15">
        <f>'Сбор нагрузок'!C21</f>
        <v>18.7</v>
      </c>
      <c r="C23" s="15">
        <f>'Сбор нагрузок'!T21</f>
        <v>182.14999999999998</v>
      </c>
      <c r="D23" s="15">
        <f>'Сбор нагрузок'!I21</f>
        <v>0.58830000000000005</v>
      </c>
      <c r="E23" s="15">
        <f>'Сбор нагрузок'!N21</f>
        <v>109.256</v>
      </c>
      <c r="F23" s="15">
        <f>'Сбор нагрузок'!O21</f>
        <v>24.410045</v>
      </c>
      <c r="G23" s="15">
        <f>'Сбор нагрузок'!J21</f>
        <v>2.6107</v>
      </c>
      <c r="H23" s="15">
        <f>'Сбор нагрузок'!P21</f>
        <v>63.727304481499999</v>
      </c>
      <c r="I23" s="15">
        <f>'Сбор нагрузок'!Q21</f>
        <v>45.528695518500001</v>
      </c>
      <c r="J23" s="23">
        <v>17</v>
      </c>
      <c r="K23" s="16">
        <f>'Сбор нагрузок'!R21</f>
        <v>37.24</v>
      </c>
      <c r="L23" s="34"/>
      <c r="M23" s="33"/>
      <c r="N23" s="33"/>
      <c r="O23" s="33"/>
      <c r="U23" s="35"/>
    </row>
    <row r="24" spans="1:21" ht="15.75" x14ac:dyDescent="0.25">
      <c r="A24" s="14">
        <f>'Сбор нагрузок'!B22</f>
        <v>-10</v>
      </c>
      <c r="B24" s="15">
        <f>'Сбор нагрузок'!C22</f>
        <v>18.7</v>
      </c>
      <c r="C24" s="15">
        <f>'Сбор нагрузок'!T22</f>
        <v>191.49999999999997</v>
      </c>
      <c r="D24" s="15">
        <f>'Сбор нагрузок'!I22</f>
        <v>0.58830000000000005</v>
      </c>
      <c r="E24" s="15">
        <f>'Сбор нагрузок'!N22</f>
        <v>115.08</v>
      </c>
      <c r="F24" s="15">
        <f>'Сбор нагрузок'!O22</f>
        <v>88.137231999999997</v>
      </c>
      <c r="G24" s="15">
        <f>'Сбор нагрузок'!J22</f>
        <v>2.6107</v>
      </c>
      <c r="H24" s="15">
        <f>'Сбор нагрузок'!P22</f>
        <v>230.0998715824</v>
      </c>
      <c r="I24" s="15">
        <f>'Сбор нагрузок'!Q22</f>
        <v>-115.0198715824</v>
      </c>
      <c r="J24" s="23">
        <v>18</v>
      </c>
      <c r="K24" s="16">
        <f>'Сбор нагрузок'!R22</f>
        <v>-17.373000000000001</v>
      </c>
      <c r="L24" s="34"/>
      <c r="M24" s="33"/>
      <c r="N24" s="33"/>
      <c r="O24" s="33"/>
      <c r="U24" s="35"/>
    </row>
    <row r="25" spans="1:21" ht="15.75" x14ac:dyDescent="0.25">
      <c r="A25" s="14">
        <f>'Сбор нагрузок'!B23</f>
        <v>-10.5</v>
      </c>
      <c r="B25" s="15">
        <f>'Сбор нагрузок'!C23</f>
        <v>18.7</v>
      </c>
      <c r="C25" s="15">
        <f>'Сбор нагрузок'!T23</f>
        <v>200.84999999999997</v>
      </c>
      <c r="D25" s="15">
        <f>'Сбор нагрузок'!I23</f>
        <v>0.58830000000000005</v>
      </c>
      <c r="E25" s="15">
        <f>'Сбор нагрузок'!N23</f>
        <v>120.904</v>
      </c>
      <c r="F25" s="15">
        <f>'Сбор нагрузок'!O23</f>
        <v>254.50931089999997</v>
      </c>
      <c r="G25" s="15">
        <f>'Сбор нагрузок'!J23</f>
        <v>2.6107</v>
      </c>
      <c r="H25" s="15">
        <f>'Сбор нагрузок'!P23</f>
        <v>664.44745796662994</v>
      </c>
      <c r="I25" s="15">
        <f>'Сбор нагрузок'!Q23</f>
        <v>-543.54345796662994</v>
      </c>
      <c r="J25" s="23">
        <v>19</v>
      </c>
      <c r="K25" s="16">
        <f>'Сбор нагрузок'!R23</f>
        <v>-164.64099999999999</v>
      </c>
      <c r="L25" s="34"/>
      <c r="M25" s="33"/>
      <c r="N25" s="33"/>
      <c r="O25" s="33"/>
      <c r="U25" s="35"/>
    </row>
    <row r="26" spans="1:21" ht="16.5" thickBot="1" x14ac:dyDescent="0.3">
      <c r="A26" s="17">
        <f>'Сбор нагрузок'!B24</f>
        <v>-11</v>
      </c>
      <c r="B26" s="18">
        <f>'Сбор нагрузок'!C24</f>
        <v>18.7</v>
      </c>
      <c r="C26" s="18">
        <f>'Сбор нагрузок'!T24</f>
        <v>210.19999999999996</v>
      </c>
      <c r="D26" s="18">
        <f>'Сбор нагрузок'!I24</f>
        <v>0.58830000000000005</v>
      </c>
      <c r="E26" s="18">
        <f>'Сбор нагрузок'!N24</f>
        <v>126.72799999999999</v>
      </c>
      <c r="F26" s="18">
        <f>'Сбор нагрузок'!O24</f>
        <v>688.85669129999997</v>
      </c>
      <c r="G26" s="18">
        <f>'Сбор нагрузок'!J24</f>
        <v>2.6107</v>
      </c>
      <c r="H26" s="18">
        <f>'Сбор нагрузок'!P24</f>
        <v>1798.3981639769099</v>
      </c>
      <c r="I26" s="18">
        <f>'Сбор нагрузок'!Q24</f>
        <v>-1671.6701639769099</v>
      </c>
      <c r="J26" s="24">
        <v>20</v>
      </c>
      <c r="K26" s="19">
        <f>'Сбор нагрузок'!R24</f>
        <v>-553.803</v>
      </c>
      <c r="L26" s="34"/>
      <c r="M26" s="33"/>
      <c r="N26" s="33"/>
      <c r="O26" s="33"/>
      <c r="U26" s="35"/>
    </row>
    <row r="27" spans="1:21" s="21" customFormat="1" ht="15.75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8"/>
      <c r="K27" s="20"/>
    </row>
    <row r="28" spans="1:21" s="21" customFormat="1" ht="15.75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8"/>
      <c r="K28" s="20"/>
    </row>
    <row r="29" spans="1:21" s="21" customFormat="1" ht="15.75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8"/>
      <c r="K29" s="20"/>
    </row>
    <row r="30" spans="1:21" s="21" customFormat="1" ht="15.75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8"/>
      <c r="K30" s="20"/>
    </row>
    <row r="31" spans="1:21" s="21" customFormat="1" ht="15.75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8"/>
      <c r="K31" s="20"/>
    </row>
    <row r="32" spans="1:21" s="21" customFormat="1" ht="15.7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1" s="21" customFormat="1" ht="15.75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 s="21" customFormat="1" ht="15.75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s="21" customFormat="1" ht="15.75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s="21" customFormat="1" ht="15.7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s="21" customFormat="1" ht="15.75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s="21" customFormat="1" ht="15.75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 s="21" customFormat="1" ht="15.75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s="21" customFormat="1" x14ac:dyDescent="0.25"/>
    <row r="41" spans="1:11" s="21" customFormat="1" x14ac:dyDescent="0.25"/>
  </sheetData>
  <mergeCells count="7">
    <mergeCell ref="O8:O26"/>
    <mergeCell ref="A1:K1"/>
    <mergeCell ref="L5:L7"/>
    <mergeCell ref="L8:L26"/>
    <mergeCell ref="M8:M26"/>
    <mergeCell ref="N5:N7"/>
    <mergeCell ref="N8:N2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5" sqref="L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31</vt:i4>
      </vt:variant>
    </vt:vector>
  </HeadingPairs>
  <TitlesOfParts>
    <vt:vector size="36" baseType="lpstr">
      <vt:lpstr>Исходные данные</vt:lpstr>
      <vt:lpstr>Сбор нагрузок</vt:lpstr>
      <vt:lpstr>Нагрузка на шпунт</vt:lpstr>
      <vt:lpstr>Таблица в отчёт</vt:lpstr>
      <vt:lpstr>Нагрузка на подземную часть</vt:lpstr>
      <vt:lpstr>a</vt:lpstr>
      <vt:lpstr>b_0</vt:lpstr>
      <vt:lpstr>c_1</vt:lpstr>
      <vt:lpstr>c_ige_1</vt:lpstr>
      <vt:lpstr>c_ige_2</vt:lpstr>
      <vt:lpstr>c_ige_3</vt:lpstr>
      <vt:lpstr>c_ige_4</vt:lpstr>
      <vt:lpstr>gamma_akt</vt:lpstr>
      <vt:lpstr>gamma_pass</vt:lpstr>
      <vt:lpstr>gamma_q</vt:lpstr>
      <vt:lpstr>gamma_wod</vt:lpstr>
      <vt:lpstr>k_1</vt:lpstr>
      <vt:lpstr>k_2</vt:lpstr>
      <vt:lpstr>k_3</vt:lpstr>
      <vt:lpstr>k_4</vt:lpstr>
      <vt:lpstr>P_q</vt:lpstr>
      <vt:lpstr>phi_1</vt:lpstr>
      <vt:lpstr>phi_ige_1</vt:lpstr>
      <vt:lpstr>phi_ige_2</vt:lpstr>
      <vt:lpstr>phi_ige_3</vt:lpstr>
      <vt:lpstr>phi_ige_4</vt:lpstr>
      <vt:lpstr>q</vt:lpstr>
      <vt:lpstr>ro_ige_1</vt:lpstr>
      <vt:lpstr>ro_ige_2</vt:lpstr>
      <vt:lpstr>ro_ige_3</vt:lpstr>
      <vt:lpstr>ro_ige_4</vt:lpstr>
      <vt:lpstr>ro_wod</vt:lpstr>
      <vt:lpstr>Ur_wod</vt:lpstr>
      <vt:lpstr>y_a</vt:lpstr>
      <vt:lpstr>y_b</vt:lpstr>
      <vt:lpstr>Z_kotlov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2012-03-02T07:49:41Z</dcterms:modified>
</cp:coreProperties>
</file>